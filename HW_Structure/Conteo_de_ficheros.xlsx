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INDRA\HW_Structure\"/>
    </mc:Choice>
  </mc:AlternateContent>
  <xr:revisionPtr revIDLastSave="0" documentId="8_{0CA2167F-9810-45A1-9462-55951BEEE2ED}" xr6:coauthVersionLast="47" xr6:coauthVersionMax="47" xr10:uidLastSave="{00000000-0000-0000-0000-000000000000}"/>
  <bookViews>
    <workbookView xWindow="-120" yWindow="-120" windowWidth="38640" windowHeight="21120" xr2:uid="{97A4A35E-F486-4A41-86E5-C5F72BD5F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1" l="1"/>
  <c r="E75" i="1"/>
  <c r="D75" i="1"/>
  <c r="F75" i="1"/>
</calcChain>
</file>

<file path=xl/sharedStrings.xml><?xml version="1.0" encoding="utf-8"?>
<sst xmlns="http://schemas.openxmlformats.org/spreadsheetml/2006/main" count="24" uniqueCount="23">
  <si>
    <t>A01</t>
  </si>
  <si>
    <t>A02</t>
  </si>
  <si>
    <t>A03</t>
  </si>
  <si>
    <t>A04</t>
  </si>
  <si>
    <t>A05</t>
  </si>
  <si>
    <t>A07</t>
  </si>
  <si>
    <t>A08</t>
  </si>
  <si>
    <t>A12</t>
  </si>
  <si>
    <t>A14</t>
  </si>
  <si>
    <t>A15</t>
  </si>
  <si>
    <t>A18</t>
  </si>
  <si>
    <t>A21</t>
  </si>
  <si>
    <t>A27</t>
  </si>
  <si>
    <t>X01</t>
  </si>
  <si>
    <t>X02</t>
  </si>
  <si>
    <t>Listas</t>
  </si>
  <si>
    <t>Errores</t>
  </si>
  <si>
    <t>Materiales</t>
  </si>
  <si>
    <t>Total</t>
  </si>
  <si>
    <t>ELEMENTO</t>
  </si>
  <si>
    <t>Hay 25 reales el calculo de la pp es ok</t>
  </si>
  <si>
    <t>Hay 2 reales el calculo de la pp es ok</t>
  </si>
  <si>
    <t>se estan cargando en A08 los cables de interconnections y cable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</si>
</sst>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1641F-8446-417B-9C55-6C72F564F079}" name="Tabla1" displayName="Tabla1" ref="C59:F75" totalsRowCount="1">
  <autoFilter ref="C59:F74" xr:uid="{8861641F-8446-417B-9C55-6C72F564F079}"/>
  <tableColumns count="4">
    <tableColumn id="1" xr3:uid="{86DE3E8F-9CF1-4576-9211-8A9A5E404BFE}" name="ELEMENTO" totalsRowLabel="Total"/>
    <tableColumn id="2" xr3:uid="{DF407BA0-D6D0-47D2-AC1A-CA45CD811128}" name="Listas" totalsRowFunction="sum"/>
    <tableColumn id="3" xr3:uid="{6E4B9CCC-772A-4BFA-9388-D9632C74C190}" name="Errores" totalsRowFunction="sum"/>
    <tableColumn id="4" xr3:uid="{98DD10F1-7CF8-4284-A8CB-10298F751B1A}" name="Materiales" totalsRowFunction="sum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A11D-D77B-46C4-BAAA-F3359EE81AFD}">
  <dimension ref="B5:I75"/>
  <sheetViews>
    <sheetView tabSelected="1" topLeftCell="A56" workbookViewId="0">
      <selection activeCell="I67" sqref="I67"/>
    </sheetView>
  </sheetViews>
  <sheetFormatPr baseColWidth="10" defaultRowHeight="15" x14ac:dyDescent="0.25"/>
  <cols>
    <col min="3" max="3" width="12.140625" customWidth="1"/>
    <col min="6" max="6" width="12.42578125" customWidth="1"/>
    <col min="9" max="9" width="44.140625" customWidth="1"/>
  </cols>
  <sheetData>
    <row r="5" spans="2:2" x14ac:dyDescent="0.25">
      <c r="B5" t="s">
        <v>0</v>
      </c>
    </row>
    <row r="59" spans="3:9" x14ac:dyDescent="0.25">
      <c r="C59" t="s">
        <v>19</v>
      </c>
      <c r="D59" t="s">
        <v>15</v>
      </c>
      <c r="E59" t="s">
        <v>16</v>
      </c>
      <c r="F59" t="s">
        <v>17</v>
      </c>
    </row>
    <row r="60" spans="3:9" x14ac:dyDescent="0.25">
      <c r="C60" t="s">
        <v>0</v>
      </c>
      <c r="D60">
        <v>63</v>
      </c>
      <c r="E60">
        <v>0</v>
      </c>
      <c r="F60">
        <v>1505</v>
      </c>
      <c r="H60" s="1">
        <v>63</v>
      </c>
    </row>
    <row r="61" spans="3:9" x14ac:dyDescent="0.25">
      <c r="C61" t="s">
        <v>1</v>
      </c>
      <c r="D61">
        <v>24</v>
      </c>
      <c r="E61">
        <v>1</v>
      </c>
      <c r="F61">
        <v>726</v>
      </c>
      <c r="H61" s="1">
        <v>50</v>
      </c>
      <c r="I61" t="s">
        <v>20</v>
      </c>
    </row>
    <row r="62" spans="3:9" x14ac:dyDescent="0.25">
      <c r="C62" t="s">
        <v>2</v>
      </c>
      <c r="D62">
        <v>82</v>
      </c>
      <c r="F62">
        <v>430</v>
      </c>
      <c r="H62" s="1">
        <v>82</v>
      </c>
    </row>
    <row r="63" spans="3:9" x14ac:dyDescent="0.25">
      <c r="C63" t="s">
        <v>3</v>
      </c>
      <c r="D63">
        <v>5</v>
      </c>
      <c r="F63">
        <v>160</v>
      </c>
      <c r="H63" s="1">
        <v>5</v>
      </c>
    </row>
    <row r="64" spans="3:9" x14ac:dyDescent="0.25">
      <c r="C64" t="s">
        <v>4</v>
      </c>
      <c r="D64">
        <v>2</v>
      </c>
      <c r="F64">
        <v>109</v>
      </c>
      <c r="H64" s="1">
        <v>4</v>
      </c>
      <c r="I64" t="s">
        <v>21</v>
      </c>
    </row>
    <row r="65" spans="3:9" x14ac:dyDescent="0.25">
      <c r="C65" t="s">
        <v>5</v>
      </c>
      <c r="D65">
        <v>3</v>
      </c>
      <c r="F65">
        <v>20</v>
      </c>
      <c r="H65" s="1">
        <v>3</v>
      </c>
    </row>
    <row r="66" spans="3:9" x14ac:dyDescent="0.25">
      <c r="C66" t="s">
        <v>6</v>
      </c>
      <c r="D66">
        <v>2</v>
      </c>
      <c r="F66">
        <v>88</v>
      </c>
      <c r="H66" s="2">
        <v>97</v>
      </c>
      <c r="I66" t="s">
        <v>22</v>
      </c>
    </row>
    <row r="67" spans="3:9" x14ac:dyDescent="0.25">
      <c r="C67" t="s">
        <v>7</v>
      </c>
      <c r="D67">
        <v>0</v>
      </c>
      <c r="F67">
        <v>0</v>
      </c>
      <c r="H67" s="1">
        <v>0</v>
      </c>
    </row>
    <row r="68" spans="3:9" x14ac:dyDescent="0.25">
      <c r="C68" t="s">
        <v>8</v>
      </c>
      <c r="D68">
        <v>1</v>
      </c>
      <c r="F68">
        <v>1</v>
      </c>
      <c r="H68" s="1">
        <v>1</v>
      </c>
    </row>
    <row r="69" spans="3:9" x14ac:dyDescent="0.25">
      <c r="C69" t="s">
        <v>9</v>
      </c>
      <c r="D69">
        <v>1</v>
      </c>
      <c r="F69">
        <v>4</v>
      </c>
      <c r="H69" s="1">
        <v>1</v>
      </c>
    </row>
    <row r="70" spans="3:9" x14ac:dyDescent="0.25">
      <c r="C70" t="s">
        <v>10</v>
      </c>
      <c r="D70">
        <v>2</v>
      </c>
      <c r="F70">
        <v>42</v>
      </c>
      <c r="H70" s="1">
        <v>2</v>
      </c>
    </row>
    <row r="71" spans="3:9" x14ac:dyDescent="0.25">
      <c r="C71" t="s">
        <v>11</v>
      </c>
      <c r="D71">
        <v>1</v>
      </c>
      <c r="F71">
        <v>113</v>
      </c>
      <c r="H71" s="1">
        <v>1</v>
      </c>
    </row>
    <row r="72" spans="3:9" x14ac:dyDescent="0.25">
      <c r="C72" t="s">
        <v>12</v>
      </c>
      <c r="D72">
        <v>1</v>
      </c>
      <c r="F72">
        <v>13</v>
      </c>
      <c r="H72" s="1">
        <v>1</v>
      </c>
    </row>
    <row r="73" spans="3:9" x14ac:dyDescent="0.25">
      <c r="C73" t="s">
        <v>13</v>
      </c>
      <c r="D73">
        <v>100</v>
      </c>
      <c r="F73">
        <v>277</v>
      </c>
      <c r="H73" s="1">
        <v>100</v>
      </c>
    </row>
    <row r="74" spans="3:9" x14ac:dyDescent="0.25">
      <c r="C74" t="s">
        <v>14</v>
      </c>
      <c r="D74">
        <v>239</v>
      </c>
      <c r="F74">
        <v>1754</v>
      </c>
      <c r="H74" s="1">
        <v>239</v>
      </c>
    </row>
    <row r="75" spans="3:9" x14ac:dyDescent="0.25">
      <c r="C75" t="s">
        <v>18</v>
      </c>
      <c r="D75">
        <f>SUBTOTAL(109,Tabla1[Listas])</f>
        <v>526</v>
      </c>
      <c r="E75">
        <f>SUBTOTAL(109,Tabla1[Errores])</f>
        <v>1</v>
      </c>
      <c r="F75">
        <f>SUBTOTAL(109,Tabla1[Materiales])</f>
        <v>5242</v>
      </c>
      <c r="H75">
        <f>SUM(H60:H74)</f>
        <v>649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San Martín, Daniel</dc:creator>
  <cp:lastModifiedBy>Rodrigo San Martín, Daniel</cp:lastModifiedBy>
  <dcterms:created xsi:type="dcterms:W3CDTF">2026-05-03T18:57:26Z</dcterms:created>
  <dcterms:modified xsi:type="dcterms:W3CDTF">2026-05-03T21:33:59Z</dcterms:modified>
</cp:coreProperties>
</file>