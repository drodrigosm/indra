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positorios\INDRA\data_fabricacion\"/>
    </mc:Choice>
  </mc:AlternateContent>
  <xr:revisionPtr revIDLastSave="0" documentId="13_ncr:1_{0E9CFE9F-3222-4440-B4F4-001B30D9ACC0}" xr6:coauthVersionLast="47" xr6:coauthVersionMax="47" xr10:uidLastSave="{00000000-0000-0000-0000-000000000000}"/>
  <bookViews>
    <workbookView xWindow="-120" yWindow="-120" windowWidth="38640" windowHeight="21120" tabRatio="570" xr2:uid="{00000000-000D-0000-FFFF-FFFF00000000}"/>
  </bookViews>
  <sheets>
    <sheet name="BOM A320 FFS" sheetId="16" r:id="rId1"/>
    <sheet name="EDTs" sheetId="17" r:id="rId2"/>
    <sheet name="obsoleta" sheetId="18" r:id="rId3"/>
    <sheet name="SAP Equipos Compras" sheetId="10" state="hidden" r:id="rId4"/>
    <sheet name="CONTRASEÑAS" sheetId="19" r:id="rId5"/>
    <sheet name="BOM TESTBENCH A320 SN06" sheetId="21" r:id="rId6"/>
  </sheets>
  <definedNames>
    <definedName name="_xlnm._FilterDatabase" localSheetId="0" hidden="1">'BOM A320 FFS'!$A$1:$K$1578</definedName>
    <definedName name="_xlnm._FilterDatabase" localSheetId="5" hidden="1">'BOM TESTBENCH A320 SN06'!$A$1:$Y$54</definedName>
    <definedName name="_xlnm._FilterDatabase" localSheetId="4" hidden="1">CONTRASEÑAS!$A$1:$L$21</definedName>
    <definedName name="_xlnm._FilterDatabase" localSheetId="2" hidden="1">obsoleta!$A$1:$AB$1001</definedName>
    <definedName name="_xlnm._FilterDatabase" localSheetId="3" hidden="1">'SAP Equipos Compras'!$A$1:$DG$60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21" l="1"/>
  <c r="K13" i="16" l="1"/>
  <c r="K7" i="16"/>
  <c r="J480" i="16" l="1"/>
  <c r="I3" i="21" l="1"/>
  <c r="I28" i="21" l="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4" i="21"/>
  <c r="I45" i="21"/>
  <c r="I46" i="21"/>
  <c r="I48" i="21"/>
  <c r="I43" i="21"/>
  <c r="I49" i="21"/>
  <c r="I50" i="21"/>
  <c r="I51" i="21"/>
  <c r="I52" i="21"/>
  <c r="I53" i="21"/>
  <c r="I18" i="21"/>
  <c r="I19" i="21"/>
  <c r="I20" i="21"/>
  <c r="I21" i="21"/>
  <c r="I22" i="21"/>
  <c r="I23" i="21"/>
  <c r="I24" i="21"/>
  <c r="I25" i="21"/>
  <c r="I26" i="21"/>
  <c r="I54" i="21"/>
  <c r="I12" i="21"/>
  <c r="I13" i="21"/>
  <c r="I15" i="21"/>
  <c r="I16" i="21"/>
  <c r="I17" i="21"/>
  <c r="I4" i="21"/>
  <c r="I5" i="21"/>
  <c r="I6" i="21"/>
  <c r="I7" i="21"/>
  <c r="I8" i="21"/>
  <c r="I9" i="21"/>
  <c r="I10" i="21"/>
  <c r="I11" i="21"/>
  <c r="AA17" i="18" l="1"/>
  <c r="A7" i="18" l="1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A382" i="18"/>
  <c r="A383" i="18"/>
  <c r="A384" i="18"/>
  <c r="A385" i="18"/>
  <c r="A386" i="18"/>
  <c r="A387" i="18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400" i="18"/>
  <c r="A401" i="18"/>
  <c r="A402" i="18"/>
  <c r="A403" i="18"/>
  <c r="A404" i="18"/>
  <c r="A405" i="18"/>
  <c r="A406" i="18"/>
  <c r="A407" i="18"/>
  <c r="A408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47" i="18"/>
  <c r="A448" i="18"/>
  <c r="A449" i="18"/>
  <c r="A450" i="18"/>
  <c r="A451" i="18"/>
  <c r="A452" i="18"/>
  <c r="A453" i="18"/>
  <c r="A454" i="18"/>
  <c r="A455" i="18"/>
  <c r="A456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471" i="18"/>
  <c r="A472" i="18"/>
  <c r="A473" i="18"/>
  <c r="A474" i="18"/>
  <c r="A475" i="18"/>
  <c r="A476" i="18"/>
  <c r="A477" i="18"/>
  <c r="A478" i="18"/>
  <c r="A479" i="18"/>
  <c r="A480" i="18"/>
  <c r="A481" i="18"/>
  <c r="A482" i="18"/>
  <c r="A483" i="18"/>
  <c r="A484" i="18"/>
  <c r="A485" i="18"/>
  <c r="A486" i="18"/>
  <c r="A487" i="18"/>
  <c r="A488" i="18"/>
  <c r="A489" i="18"/>
  <c r="A490" i="18"/>
  <c r="A491" i="18"/>
  <c r="A492" i="18"/>
  <c r="A493" i="18"/>
  <c r="A494" i="18"/>
  <c r="A495" i="18"/>
  <c r="A496" i="18"/>
  <c r="A497" i="18"/>
  <c r="A498" i="18"/>
  <c r="A499" i="18"/>
  <c r="A500" i="18"/>
  <c r="A501" i="18"/>
  <c r="A502" i="18"/>
  <c r="A503" i="18"/>
  <c r="A504" i="18"/>
  <c r="A505" i="18"/>
  <c r="A506" i="18"/>
  <c r="A507" i="18"/>
  <c r="A508" i="18"/>
  <c r="A509" i="18"/>
  <c r="A510" i="18"/>
  <c r="A511" i="18"/>
  <c r="A512" i="18"/>
  <c r="A513" i="18"/>
  <c r="A514" i="18"/>
  <c r="A515" i="18"/>
  <c r="A516" i="18"/>
  <c r="A517" i="18"/>
  <c r="A518" i="18"/>
  <c r="A519" i="18"/>
  <c r="A520" i="18"/>
  <c r="A521" i="18"/>
  <c r="A522" i="18"/>
  <c r="A523" i="18"/>
  <c r="A524" i="18"/>
  <c r="A525" i="18"/>
  <c r="A526" i="18"/>
  <c r="A527" i="18"/>
  <c r="A528" i="18"/>
  <c r="A529" i="18"/>
  <c r="A530" i="18"/>
  <c r="A531" i="18"/>
  <c r="A532" i="18"/>
  <c r="A533" i="18"/>
  <c r="A534" i="18"/>
  <c r="A535" i="18"/>
  <c r="A536" i="18"/>
  <c r="A537" i="18"/>
  <c r="A538" i="18"/>
  <c r="A539" i="18"/>
  <c r="A540" i="18"/>
  <c r="A541" i="18"/>
  <c r="A542" i="18"/>
  <c r="A543" i="18"/>
  <c r="A544" i="18"/>
  <c r="A545" i="18"/>
  <c r="A546" i="18"/>
  <c r="A547" i="18"/>
  <c r="A548" i="18"/>
  <c r="A549" i="18"/>
  <c r="A550" i="18"/>
  <c r="A551" i="18"/>
  <c r="A552" i="18"/>
  <c r="A553" i="18"/>
  <c r="A554" i="18"/>
  <c r="A555" i="18"/>
  <c r="A556" i="18"/>
  <c r="A557" i="18"/>
  <c r="A558" i="18"/>
  <c r="A559" i="18"/>
  <c r="A560" i="18"/>
  <c r="A561" i="18"/>
  <c r="A562" i="18"/>
  <c r="A563" i="18"/>
  <c r="A564" i="18"/>
  <c r="A565" i="18"/>
  <c r="A566" i="18"/>
  <c r="A567" i="18"/>
  <c r="A568" i="18"/>
  <c r="A569" i="18"/>
  <c r="A570" i="18"/>
  <c r="A571" i="18"/>
  <c r="A572" i="18"/>
  <c r="A573" i="18"/>
  <c r="A574" i="18"/>
  <c r="A575" i="18"/>
  <c r="A576" i="18"/>
  <c r="A577" i="18"/>
  <c r="A578" i="18"/>
  <c r="A579" i="18"/>
  <c r="A580" i="18"/>
  <c r="A581" i="18"/>
  <c r="A582" i="18"/>
  <c r="A583" i="18"/>
  <c r="A584" i="18"/>
  <c r="A585" i="18"/>
  <c r="A586" i="18"/>
  <c r="A587" i="18"/>
  <c r="A588" i="18"/>
  <c r="A589" i="18"/>
  <c r="A590" i="18"/>
  <c r="A591" i="18"/>
  <c r="A592" i="18"/>
  <c r="A593" i="18"/>
  <c r="A594" i="18"/>
  <c r="A595" i="18"/>
  <c r="A596" i="18"/>
  <c r="A597" i="18"/>
  <c r="A598" i="18"/>
  <c r="A599" i="18"/>
  <c r="A600" i="18"/>
  <c r="A601" i="18"/>
  <c r="A602" i="18"/>
  <c r="A603" i="18"/>
  <c r="A604" i="18"/>
  <c r="A605" i="18"/>
  <c r="A606" i="18"/>
  <c r="A607" i="18"/>
  <c r="A608" i="18"/>
  <c r="A609" i="18"/>
  <c r="A610" i="18"/>
  <c r="A611" i="18"/>
  <c r="A612" i="18"/>
  <c r="A613" i="18"/>
  <c r="A614" i="18"/>
  <c r="A615" i="18"/>
  <c r="A616" i="18"/>
  <c r="A617" i="18"/>
  <c r="A618" i="18"/>
  <c r="A619" i="18"/>
  <c r="A620" i="18"/>
  <c r="A621" i="18"/>
  <c r="A622" i="18"/>
  <c r="A623" i="18"/>
  <c r="A624" i="18"/>
  <c r="A625" i="18"/>
  <c r="A626" i="18"/>
  <c r="A627" i="18"/>
  <c r="A628" i="18"/>
  <c r="A629" i="18"/>
  <c r="A630" i="18"/>
  <c r="A631" i="18"/>
  <c r="A632" i="18"/>
  <c r="A633" i="18"/>
  <c r="A634" i="18"/>
  <c r="A635" i="18"/>
  <c r="A636" i="18"/>
  <c r="A637" i="18"/>
  <c r="A638" i="18"/>
  <c r="A639" i="18"/>
  <c r="A640" i="18"/>
  <c r="A641" i="18"/>
  <c r="A642" i="18"/>
  <c r="A643" i="18"/>
  <c r="A644" i="18"/>
  <c r="A645" i="18"/>
  <c r="A646" i="18"/>
  <c r="A647" i="18"/>
  <c r="A648" i="18"/>
  <c r="A649" i="18"/>
  <c r="A650" i="18"/>
  <c r="A651" i="18"/>
  <c r="A652" i="18"/>
  <c r="A653" i="18"/>
  <c r="A654" i="18"/>
  <c r="A655" i="18"/>
  <c r="A656" i="18"/>
  <c r="A657" i="18"/>
  <c r="A658" i="18"/>
  <c r="A659" i="18"/>
  <c r="A660" i="18"/>
  <c r="A661" i="18"/>
  <c r="A662" i="18"/>
  <c r="A663" i="18"/>
  <c r="A664" i="18"/>
  <c r="A665" i="18"/>
  <c r="A666" i="18"/>
  <c r="A667" i="18"/>
  <c r="A668" i="18"/>
  <c r="A669" i="18"/>
  <c r="A670" i="18"/>
  <c r="A671" i="18"/>
  <c r="A672" i="18"/>
  <c r="A673" i="18"/>
  <c r="A674" i="18"/>
  <c r="A675" i="18"/>
  <c r="A676" i="18"/>
  <c r="A677" i="18"/>
  <c r="A678" i="18"/>
  <c r="A679" i="18"/>
  <c r="A680" i="18"/>
  <c r="A681" i="18"/>
  <c r="A682" i="18"/>
  <c r="A683" i="18"/>
  <c r="A684" i="18"/>
  <c r="A685" i="18"/>
  <c r="A686" i="18"/>
  <c r="A687" i="18"/>
  <c r="A688" i="18"/>
  <c r="A689" i="18"/>
  <c r="A690" i="18"/>
  <c r="A691" i="18"/>
  <c r="A692" i="18"/>
  <c r="A693" i="18"/>
  <c r="A694" i="18"/>
  <c r="A695" i="18"/>
  <c r="A696" i="18"/>
  <c r="A697" i="18"/>
  <c r="A698" i="18"/>
  <c r="A699" i="18"/>
  <c r="A700" i="18"/>
  <c r="A701" i="18"/>
  <c r="A702" i="18"/>
  <c r="A703" i="18"/>
  <c r="A704" i="18"/>
  <c r="A705" i="18"/>
  <c r="A706" i="18"/>
  <c r="A707" i="18"/>
  <c r="A708" i="18"/>
  <c r="A709" i="18"/>
  <c r="A710" i="18"/>
  <c r="A711" i="18"/>
  <c r="A712" i="18"/>
  <c r="A713" i="18"/>
  <c r="A714" i="18"/>
  <c r="A715" i="18"/>
  <c r="A716" i="18"/>
  <c r="A717" i="18"/>
  <c r="A718" i="18"/>
  <c r="A719" i="18"/>
  <c r="A720" i="18"/>
  <c r="A721" i="18"/>
  <c r="A722" i="18"/>
  <c r="A723" i="18"/>
  <c r="A724" i="18"/>
  <c r="A725" i="18"/>
  <c r="A726" i="18"/>
  <c r="A727" i="18"/>
  <c r="A728" i="18"/>
  <c r="A729" i="18"/>
  <c r="A730" i="18"/>
  <c r="A731" i="18"/>
  <c r="A732" i="18"/>
  <c r="A733" i="18"/>
  <c r="A734" i="18"/>
  <c r="A735" i="18"/>
  <c r="A736" i="18"/>
  <c r="A737" i="18"/>
  <c r="A738" i="18"/>
  <c r="A739" i="18"/>
  <c r="A740" i="18"/>
  <c r="A741" i="18"/>
  <c r="A742" i="18"/>
  <c r="A743" i="18"/>
  <c r="A744" i="18"/>
  <c r="A745" i="18"/>
  <c r="A746" i="18"/>
  <c r="A747" i="18"/>
  <c r="A748" i="18"/>
  <c r="A749" i="18"/>
  <c r="A750" i="18"/>
  <c r="A751" i="18"/>
  <c r="A752" i="18"/>
  <c r="A753" i="18"/>
  <c r="A754" i="18"/>
  <c r="A755" i="18"/>
  <c r="A756" i="18"/>
  <c r="A757" i="18"/>
  <c r="A758" i="18"/>
  <c r="A759" i="18"/>
  <c r="A760" i="18"/>
  <c r="A761" i="18"/>
  <c r="A762" i="18"/>
  <c r="A763" i="18"/>
  <c r="A764" i="18"/>
  <c r="A765" i="18"/>
  <c r="A766" i="18"/>
  <c r="A767" i="18"/>
  <c r="A768" i="18"/>
  <c r="A769" i="18"/>
  <c r="A770" i="18"/>
  <c r="A771" i="18"/>
  <c r="A772" i="18"/>
  <c r="A773" i="18"/>
  <c r="A774" i="18"/>
  <c r="A775" i="18"/>
  <c r="A776" i="18"/>
  <c r="A777" i="18"/>
  <c r="A778" i="18"/>
  <c r="A779" i="18"/>
  <c r="A780" i="18"/>
  <c r="A781" i="18"/>
  <c r="A782" i="18"/>
  <c r="A783" i="18"/>
  <c r="A784" i="18"/>
  <c r="A785" i="18"/>
  <c r="A786" i="18"/>
  <c r="A787" i="18"/>
  <c r="A788" i="18"/>
  <c r="A789" i="18"/>
  <c r="A790" i="18"/>
  <c r="A791" i="18"/>
  <c r="A792" i="18"/>
  <c r="A793" i="18"/>
  <c r="A794" i="18"/>
  <c r="A795" i="18"/>
  <c r="A796" i="18"/>
  <c r="A797" i="18"/>
  <c r="A798" i="18"/>
  <c r="A799" i="18"/>
  <c r="A800" i="18"/>
  <c r="A801" i="18"/>
  <c r="A802" i="18"/>
  <c r="A803" i="18"/>
  <c r="A804" i="18"/>
  <c r="A805" i="18"/>
  <c r="A806" i="18"/>
  <c r="A807" i="18"/>
  <c r="A808" i="18"/>
  <c r="A809" i="18"/>
  <c r="A810" i="18"/>
  <c r="A811" i="18"/>
  <c r="A812" i="18"/>
  <c r="A813" i="18"/>
  <c r="A814" i="18"/>
  <c r="A815" i="18"/>
  <c r="A816" i="18"/>
  <c r="A817" i="18"/>
  <c r="A818" i="18"/>
  <c r="A819" i="18"/>
  <c r="A820" i="18"/>
  <c r="A821" i="18"/>
  <c r="A822" i="18"/>
  <c r="A823" i="18"/>
  <c r="A824" i="18"/>
  <c r="A825" i="18"/>
  <c r="A826" i="18"/>
  <c r="A827" i="18"/>
  <c r="A828" i="18"/>
  <c r="A829" i="18"/>
  <c r="A830" i="18"/>
  <c r="A831" i="18"/>
  <c r="A832" i="18"/>
  <c r="A833" i="18"/>
  <c r="A834" i="18"/>
  <c r="A835" i="18"/>
  <c r="A836" i="18"/>
  <c r="A837" i="18"/>
  <c r="A838" i="18"/>
  <c r="A839" i="18"/>
  <c r="A840" i="18"/>
  <c r="A841" i="18"/>
  <c r="A842" i="18"/>
  <c r="A843" i="18"/>
  <c r="A844" i="18"/>
  <c r="A845" i="18"/>
  <c r="A846" i="18"/>
  <c r="A847" i="18"/>
  <c r="A848" i="18"/>
  <c r="A849" i="18"/>
  <c r="A850" i="18"/>
  <c r="A851" i="18"/>
  <c r="A852" i="18"/>
  <c r="A853" i="18"/>
  <c r="A854" i="18"/>
  <c r="A855" i="18"/>
  <c r="A856" i="18"/>
  <c r="A857" i="18"/>
  <c r="A858" i="18"/>
  <c r="A859" i="18"/>
  <c r="A860" i="18"/>
  <c r="A861" i="18"/>
  <c r="A862" i="18"/>
  <c r="A863" i="18"/>
  <c r="A864" i="18"/>
  <c r="A865" i="18"/>
  <c r="A866" i="18"/>
  <c r="A867" i="18"/>
  <c r="A868" i="18"/>
  <c r="A869" i="18"/>
  <c r="A870" i="18"/>
  <c r="A871" i="18"/>
  <c r="A872" i="18"/>
  <c r="A873" i="18"/>
  <c r="A874" i="18"/>
  <c r="A875" i="18"/>
  <c r="A876" i="18"/>
  <c r="A877" i="18"/>
  <c r="A878" i="18"/>
  <c r="A879" i="18"/>
  <c r="A880" i="18"/>
  <c r="A881" i="18"/>
  <c r="A882" i="18"/>
  <c r="A883" i="18"/>
  <c r="A884" i="18"/>
  <c r="A885" i="18"/>
  <c r="A886" i="18"/>
  <c r="A887" i="18"/>
  <c r="A888" i="18"/>
  <c r="A889" i="18"/>
  <c r="A890" i="18"/>
  <c r="A891" i="18"/>
  <c r="A892" i="18"/>
  <c r="A893" i="18"/>
  <c r="A894" i="18"/>
  <c r="A895" i="18"/>
  <c r="A896" i="18"/>
  <c r="A897" i="18"/>
  <c r="A898" i="18"/>
  <c r="A899" i="18"/>
  <c r="A900" i="18"/>
  <c r="A901" i="18"/>
  <c r="A902" i="18"/>
  <c r="A903" i="18"/>
  <c r="A904" i="18"/>
  <c r="A905" i="18"/>
  <c r="A906" i="18"/>
  <c r="A907" i="18"/>
  <c r="A908" i="18"/>
  <c r="A909" i="18"/>
  <c r="A910" i="18"/>
  <c r="A911" i="18"/>
  <c r="A912" i="18"/>
  <c r="A913" i="18"/>
  <c r="A914" i="18"/>
  <c r="A915" i="18"/>
  <c r="A916" i="18"/>
  <c r="A917" i="18"/>
  <c r="A918" i="18"/>
  <c r="A919" i="18"/>
  <c r="A920" i="18"/>
  <c r="A921" i="18"/>
  <c r="A922" i="18"/>
  <c r="A923" i="18"/>
  <c r="A924" i="18"/>
  <c r="A925" i="18"/>
  <c r="A926" i="18"/>
  <c r="A927" i="18"/>
  <c r="A928" i="18"/>
  <c r="A929" i="18"/>
  <c r="A930" i="18"/>
  <c r="A931" i="18"/>
  <c r="A932" i="18"/>
  <c r="A933" i="18"/>
  <c r="A934" i="18"/>
  <c r="A935" i="18"/>
  <c r="A936" i="18"/>
  <c r="A937" i="18"/>
  <c r="A938" i="18"/>
  <c r="A939" i="18"/>
  <c r="A940" i="18"/>
  <c r="A941" i="18"/>
  <c r="A942" i="18"/>
  <c r="A943" i="18"/>
  <c r="A944" i="18"/>
  <c r="A945" i="18"/>
  <c r="A946" i="18"/>
  <c r="A947" i="18"/>
  <c r="A948" i="18"/>
  <c r="A949" i="18"/>
  <c r="A950" i="18"/>
  <c r="A951" i="18"/>
  <c r="A952" i="18"/>
  <c r="A953" i="18"/>
  <c r="A954" i="18"/>
  <c r="A955" i="18"/>
  <c r="A956" i="18"/>
  <c r="A957" i="18"/>
  <c r="A958" i="18"/>
  <c r="A959" i="18"/>
  <c r="A960" i="18"/>
  <c r="A961" i="18"/>
  <c r="A962" i="18"/>
  <c r="A963" i="18"/>
  <c r="A964" i="18"/>
  <c r="A965" i="18"/>
  <c r="A966" i="18"/>
  <c r="A967" i="18"/>
  <c r="A968" i="18"/>
  <c r="A969" i="18"/>
  <c r="A970" i="18"/>
  <c r="A971" i="18"/>
  <c r="A972" i="18"/>
  <c r="A973" i="18"/>
  <c r="A974" i="18"/>
  <c r="A975" i="18"/>
  <c r="A976" i="18"/>
  <c r="A977" i="18"/>
  <c r="A978" i="18"/>
  <c r="A979" i="18"/>
  <c r="A980" i="18"/>
  <c r="A981" i="18"/>
  <c r="A982" i="18"/>
  <c r="A983" i="18"/>
  <c r="A984" i="18"/>
  <c r="A985" i="18"/>
  <c r="A986" i="18"/>
  <c r="A987" i="18"/>
  <c r="A988" i="18"/>
  <c r="A989" i="18"/>
  <c r="A990" i="18"/>
  <c r="A991" i="18"/>
  <c r="A992" i="18"/>
  <c r="A993" i="18"/>
  <c r="A994" i="18"/>
  <c r="A995" i="18"/>
  <c r="A996" i="18"/>
  <c r="A997" i="18"/>
  <c r="A998" i="18"/>
  <c r="A999" i="18"/>
  <c r="A1000" i="18"/>
  <c r="A1001" i="18"/>
  <c r="A6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Ochoa Delgado, Raúl</author>
    <author>tc={9CE536B2-C493-4A57-A867-D5C5280C86FF}</author>
    <author>tc={688717F5-8535-4D7E-AEB3-CC00AABC9FDA}</author>
  </authors>
  <commentList>
    <comment ref="K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Actualizar -&gt; Compras</t>
        </r>
      </text>
    </comment>
    <comment ref="A643" authorId="1" shapeId="0" xr:uid="{9CE536B2-C493-4A57-A867-D5C5280C86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repite el mismo codigo en la linea 757 y tiene cesta asignada</t>
      </text>
    </comment>
    <comment ref="A1150" authorId="2" shapeId="0" xr:uid="{688717F5-8535-4D7E-AEB3-CC00AABC9F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repite el mismo codigo en la linea 757 y tiene cesta asignada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Ochoa Delgado, Raúl</author>
  </authors>
  <commentList>
    <comment ref="K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Ochoa Delgado, Raúl:</t>
        </r>
        <r>
          <rPr>
            <sz val="9"/>
            <color indexed="81"/>
            <rFont val="Tahoma"/>
            <family val="2"/>
          </rPr>
          <t xml:space="preserve">
Actualizar -&gt; Compras</t>
        </r>
      </text>
    </comment>
  </commentList>
</comments>
</file>

<file path=xl/sharedStrings.xml><?xml version="1.0" encoding="utf-8"?>
<sst xmlns="http://schemas.openxmlformats.org/spreadsheetml/2006/main" count="19034" uniqueCount="4499">
  <si>
    <t>EDT</t>
  </si>
  <si>
    <t>CODIGO INDRA</t>
  </si>
  <si>
    <t>REF HW</t>
  </si>
  <si>
    <t>Alternativo</t>
  </si>
  <si>
    <t>Alternativo RS</t>
  </si>
  <si>
    <t>DESCRIPCIÓN MATERIAL</t>
  </si>
  <si>
    <t>P/N FABRICANTE</t>
  </si>
  <si>
    <t>FABRICANTE</t>
  </si>
  <si>
    <t>PROVEEDOR</t>
  </si>
  <si>
    <t>QTY</t>
  </si>
  <si>
    <t>P.U.</t>
  </si>
  <si>
    <t>IMPORTE</t>
  </si>
  <si>
    <t>MON</t>
  </si>
  <si>
    <t>CAMBIO</t>
  </si>
  <si>
    <t>2. CONGELADO  (TODO OK)
1. CERRADO PARA LOI (PUEDE HABER PEQUEÑOS CAMBIOS)
3. ABIERTO</t>
  </si>
  <si>
    <t>FREEZING
DATE</t>
  </si>
  <si>
    <t>NOTAS</t>
  </si>
  <si>
    <t>PRIORIDAD</t>
  </si>
  <si>
    <t>LLTI</t>
  </si>
  <si>
    <t>NOTAS2</t>
  </si>
  <si>
    <t>SOLICTUD
LOTE</t>
  </si>
  <si>
    <t>Contraseña GPI</t>
  </si>
  <si>
    <t>SOLICITANTE</t>
  </si>
  <si>
    <t>CHECK</t>
  </si>
  <si>
    <t>QTY
PEDIDO</t>
  </si>
  <si>
    <t>SPARES</t>
  </si>
  <si>
    <t>DACS</t>
  </si>
  <si>
    <t>DISPLAY</t>
  </si>
  <si>
    <t>DATA PACKAGE, SW PACKAGE, LICENCIAS</t>
  </si>
  <si>
    <t>A320 neo std 2.0.0 Simpack</t>
  </si>
  <si>
    <t xml:space="preserve">AIRBUS </t>
  </si>
  <si>
    <t>AIRBUS GO5</t>
  </si>
  <si>
    <t>EUR</t>
  </si>
  <si>
    <t>CONGELADO</t>
  </si>
  <si>
    <t>SI</t>
  </si>
  <si>
    <t>SUBCONTRATO</t>
  </si>
  <si>
    <t>S103</t>
  </si>
  <si>
    <t>CABINA</t>
  </si>
  <si>
    <t>Hardware Package</t>
  </si>
  <si>
    <t>USD</t>
  </si>
  <si>
    <t>S1076</t>
  </si>
  <si>
    <t>SISTEMA DE MOVIMIENTO</t>
  </si>
  <si>
    <t>1390705229900</t>
  </si>
  <si>
    <t>MOTION KIT,3RD GEN,MB-E-6DOF-60.0-14000KG</t>
  </si>
  <si>
    <t>CC91958-000A-075-0</t>
  </si>
  <si>
    <t>MOOG</t>
  </si>
  <si>
    <t>SUBCONTRATO SEGÚN FRAME AGREEMENT</t>
  </si>
  <si>
    <t>S107C</t>
  </si>
  <si>
    <t>rochoa</t>
  </si>
  <si>
    <t>EQUIP SE1 FCU/3XRPM/ATC/BPI/DDRMI/ISIS</t>
  </si>
  <si>
    <t>THALES</t>
  </si>
  <si>
    <t>BASEFRAME Y AFTCABIN</t>
  </si>
  <si>
    <t>FABRICACION BASE FRAME Y AFTER CABIN</t>
  </si>
  <si>
    <t>TALLERES XUQUER, SL</t>
  </si>
  <si>
    <t>S1073</t>
  </si>
  <si>
    <t>N/A</t>
  </si>
  <si>
    <t>HONEYWELL LIC SW SIMULADOR FMS A320 FFS</t>
  </si>
  <si>
    <t>PS4087600-907</t>
  </si>
  <si>
    <t>HONEYWELL</t>
  </si>
  <si>
    <t>AC610000001</t>
  </si>
  <si>
    <t xml:space="preserve">
3166097300005</t>
  </si>
  <si>
    <t>LIC SW FG FUNCTION ROYALTY/SIM C/DONGLE</t>
  </si>
  <si>
    <t>NO</t>
  </si>
  <si>
    <t>S104</t>
  </si>
  <si>
    <t>AC610000002</t>
  </si>
  <si>
    <t>LIC SW EIS 2 FUNCTION REPLICATION FEE</t>
  </si>
  <si>
    <t>1390700590500</t>
  </si>
  <si>
    <t>EGPWC A320 STD 2.0 - Simulado</t>
  </si>
  <si>
    <t>69000942-151</t>
  </si>
  <si>
    <t>SISTEMA DE CONTROL DE FUERZAS</t>
  </si>
  <si>
    <t>TBD</t>
  </si>
  <si>
    <t>CLS A320</t>
  </si>
  <si>
    <t>CA55977-049</t>
  </si>
  <si>
    <t>S107D</t>
  </si>
  <si>
    <t>MODIFICACIONES BASEFRAME Y AFTERCABIN 2018-2024</t>
  </si>
  <si>
    <t>AC610000005</t>
  </si>
  <si>
    <t xml:space="preserve">HONEYWELL SISTEMA EGPWS MKVA 115VAC P/A320/330/340 </t>
  </si>
  <si>
    <t>1390701501301</t>
  </si>
  <si>
    <t xml:space="preserve">Soporte Espejo </t>
  </si>
  <si>
    <t>0712061000001</t>
  </si>
  <si>
    <t>XUQUER</t>
  </si>
  <si>
    <t>S1071</t>
  </si>
  <si>
    <t>AC610000003</t>
  </si>
  <si>
    <t>0973585290100</t>
  </si>
  <si>
    <t>A0301</t>
  </si>
  <si>
    <t>SOPORTE ESPEJO</t>
  </si>
  <si>
    <t>hcano/obenito</t>
  </si>
  <si>
    <t>LIC SW FG FUNCTION STANDARD FEE</t>
  </si>
  <si>
    <t>DCDU</t>
  </si>
  <si>
    <t>401MFD4-3</t>
  </si>
  <si>
    <t>GE AVIATION / SYSTEMS LTD</t>
  </si>
  <si>
    <t>OPCIÓN NO ATSU - NO SE COMPRAN</t>
  </si>
  <si>
    <t>1390701501308</t>
  </si>
  <si>
    <t>BPS matizada 40</t>
  </si>
  <si>
    <t>0712064000001</t>
  </si>
  <si>
    <t>0973585290800</t>
  </si>
  <si>
    <t>A0308</t>
  </si>
  <si>
    <t>BPS MATIZADA</t>
  </si>
  <si>
    <t>A320 Std 2.1.0 HW Update Kit without TOS Option</t>
  </si>
  <si>
    <t>ABIERTO</t>
  </si>
  <si>
    <t>3140301350000</t>
  </si>
  <si>
    <t xml:space="preserve">PROYECTOR LED DLP 4K UHD P10 WQXGA </t>
  </si>
  <si>
    <t>101-1112</t>
  </si>
  <si>
    <t>NORXE</t>
  </si>
  <si>
    <t>JA2578/1001</t>
  </si>
  <si>
    <t>COCKPIT</t>
  </si>
  <si>
    <t>FABRICACION CABINA COMPLETA</t>
  </si>
  <si>
    <t>S1072</t>
  </si>
  <si>
    <t>SISTEMAS AUXILIARES</t>
  </si>
  <si>
    <t>1264011783500</t>
  </si>
  <si>
    <t>UPS</t>
  </si>
  <si>
    <t>GVSUPS80KHS/221213-12728957</t>
  </si>
  <si>
    <t>Schneider Electric</t>
  </si>
  <si>
    <t>SCHNEIDER ELECTRIC</t>
  </si>
  <si>
    <t>S1075</t>
  </si>
  <si>
    <t>AC610000007</t>
  </si>
  <si>
    <t>1390701501306</t>
  </si>
  <si>
    <t>Panel Posterior</t>
  </si>
  <si>
    <t>0712062000001</t>
  </si>
  <si>
    <t>0973585290600</t>
  </si>
  <si>
    <t>A0306</t>
  </si>
  <si>
    <t>PANEL POSTERIOR</t>
  </si>
  <si>
    <t>1390701500700</t>
  </si>
  <si>
    <t>MCDU</t>
  </si>
  <si>
    <t>GR-SEQ27901</t>
  </si>
  <si>
    <t>GRABYSUR</t>
  </si>
  <si>
    <t>0972825430000.00 / TBD</t>
  </si>
  <si>
    <t>POWER RACK</t>
  </si>
  <si>
    <t>ISC / INDRA</t>
  </si>
  <si>
    <t>ISC /AEMSYS</t>
  </si>
  <si>
    <t>CERRADO</t>
  </si>
  <si>
    <t>PO de referencia 1101586223</t>
  </si>
  <si>
    <t>DU NO REC</t>
  </si>
  <si>
    <t>GRABYSUR - NREC
Es hablar con ellos</t>
  </si>
  <si>
    <t>1390701501302</t>
  </si>
  <si>
    <t xml:space="preserve">Cierre superior   </t>
  </si>
  <si>
    <t>0918686422200</t>
  </si>
  <si>
    <t>0973585290200</t>
  </si>
  <si>
    <t>A0302</t>
  </si>
  <si>
    <t>CIERRE SUPERIOR</t>
  </si>
  <si>
    <t>1390701501307</t>
  </si>
  <si>
    <t>Estructura de proyectores, bandejas de proyectores y soportes mascaras</t>
  </si>
  <si>
    <t>0712063000001</t>
  </si>
  <si>
    <t>AC610000016</t>
  </si>
  <si>
    <t>0973585290700</t>
  </si>
  <si>
    <t>A0307</t>
  </si>
  <si>
    <t>ESTRUCTURA PROY BANDEJA PROY SOPORT MASC</t>
  </si>
  <si>
    <t>1390701501304</t>
  </si>
  <si>
    <t>Cierre Posterior Superior + Anillo adaptación</t>
  </si>
  <si>
    <t>0913385042700</t>
  </si>
  <si>
    <t>0973585290400</t>
  </si>
  <si>
    <t>A0304</t>
  </si>
  <si>
    <t>CIERRE POST SUP + ANILLOS ADAPT</t>
  </si>
  <si>
    <t>1390701501200</t>
  </si>
  <si>
    <t>PASARELA</t>
  </si>
  <si>
    <t>0712100000001</t>
  </si>
  <si>
    <t>ASIENTO IOS</t>
  </si>
  <si>
    <t>1390705801395</t>
  </si>
  <si>
    <t>FFIOS PANEL A320</t>
  </si>
  <si>
    <t>GR-SEQ40411</t>
  </si>
  <si>
    <t>CON PEQUEÑAS MODIFICACIONES</t>
  </si>
  <si>
    <t>S107B</t>
  </si>
  <si>
    <t>AC610000013</t>
  </si>
  <si>
    <t>1390701501303</t>
  </si>
  <si>
    <t xml:space="preserve">Soporte pantalla bps   </t>
  </si>
  <si>
    <t>0918686423300</t>
  </si>
  <si>
    <t>0973585290300</t>
  </si>
  <si>
    <t>A0303</t>
  </si>
  <si>
    <t>SOPORTE PANTALLA BPS</t>
  </si>
  <si>
    <t>COMPUTADORES</t>
  </si>
  <si>
    <t>3010201822301</t>
  </si>
  <si>
    <t>ORDENADOR ENRACABLE Z4 RTXA6000 (GAMA HIGH PC - TIPO IG)</t>
  </si>
  <si>
    <t>52258736/7178862</t>
  </si>
  <si>
    <t>HP</t>
  </si>
  <si>
    <t>HP /DELL / SUPERMICRO</t>
  </si>
  <si>
    <t>S1078</t>
  </si>
  <si>
    <t>1264611110000</t>
  </si>
  <si>
    <t>Convertidor 115Vac 400Hz</t>
  </si>
  <si>
    <t>LF3-400</t>
  </si>
  <si>
    <t>MAGNUS POWER</t>
  </si>
  <si>
    <t>ENELEC</t>
  </si>
  <si>
    <t>3140390474100</t>
  </si>
  <si>
    <t>LENS PROYECTOR GRANDE 1.20-1.60:1 WQ</t>
  </si>
  <si>
    <t>N2</t>
  </si>
  <si>
    <t>1312600040400</t>
  </si>
  <si>
    <t>PANTALLA RETROPROYECCION 6306X2305MM AER</t>
  </si>
  <si>
    <t>CUTM2249CAV10</t>
  </si>
  <si>
    <t>STEEWART FILMSCREEN C</t>
  </si>
  <si>
    <t>FABRICACION CIRCUIT BREAKER PANEL</t>
  </si>
  <si>
    <t>1390704693802</t>
  </si>
  <si>
    <t>DU</t>
  </si>
  <si>
    <t>AC610000008</t>
  </si>
  <si>
    <t>CONJUNTO CLS COMPLETO</t>
  </si>
  <si>
    <t>3010201822302</t>
  </si>
  <si>
    <t>ORDENADOR ENRACABLE Z4 T1000 (GAMA HIGH PC  - TIPO SENCILLO)</t>
  </si>
  <si>
    <t>52258775/7178862</t>
  </si>
  <si>
    <t>GRAFICA 4 SALIDAS</t>
  </si>
  <si>
    <t>jjzapatera</t>
  </si>
  <si>
    <t>3120201290701</t>
  </si>
  <si>
    <t>Rack Rittal - VX IT 5311116</t>
  </si>
  <si>
    <t>RITTAL</t>
  </si>
  <si>
    <t>UTILES DE VERIFICACIÓN BPS PANELES</t>
  </si>
  <si>
    <t>1279901170900</t>
  </si>
  <si>
    <t>COMPASS</t>
  </si>
  <si>
    <t xml:space="preserve">10-7133  CFG 01 </t>
  </si>
  <si>
    <t>SIMTEK</t>
  </si>
  <si>
    <t>3166092900000</t>
  </si>
  <si>
    <t>Lic sw simulador scalable disp manager</t>
  </si>
  <si>
    <t>SCALABLE DISP MANAGER/GA/SU/202207-070VB</t>
  </si>
  <si>
    <t>ST ENGINEERING</t>
  </si>
  <si>
    <t>1390701501305</t>
  </si>
  <si>
    <t xml:space="preserve">Cerramiento inferior </t>
  </si>
  <si>
    <t>0918686403700</t>
  </si>
  <si>
    <t>0973585290500</t>
  </si>
  <si>
    <t>A0305</t>
  </si>
  <si>
    <t>CERRAMIENTO INFERIOR</t>
  </si>
  <si>
    <t>ASIENTO MOD. PEDESTAL ELECTRICO. BAJO</t>
  </si>
  <si>
    <t>RTIO Y AVICOM</t>
  </si>
  <si>
    <t>1351201490500</t>
  </si>
  <si>
    <t>MOD MEZZANINE IPM MULTI 8TX-8RX PARAMETR</t>
  </si>
  <si>
    <t>MAX-IP-200142</t>
  </si>
  <si>
    <t>MAX TECHNOLOGIES INC</t>
  </si>
  <si>
    <t>ARIES ING. Y SISTEMAS S.A.</t>
  </si>
  <si>
    <t>S1079</t>
  </si>
  <si>
    <t>EV4S02_P1</t>
  </si>
  <si>
    <t>ok</t>
  </si>
  <si>
    <t>TRANSPORTE BASE FRAME,AFTER, COCKPIT</t>
  </si>
  <si>
    <t>SONIDOS Y COMUNICACIONES</t>
  </si>
  <si>
    <t>1250200510200</t>
  </si>
  <si>
    <t>Interfaz MADI de 12 micrófonos</t>
  </si>
  <si>
    <t>12MIC</t>
  </si>
  <si>
    <t>RME AUDIO</t>
  </si>
  <si>
    <t>S1077</t>
  </si>
  <si>
    <t>mmvicente</t>
  </si>
  <si>
    <t>1279990680000</t>
  </si>
  <si>
    <t>Luminacimetro mod. LS-150</t>
  </si>
  <si>
    <t>LS-150</t>
  </si>
  <si>
    <t>KONICA MINOLTA</t>
  </si>
  <si>
    <t>DISEÑO ESTRUCTURA CUADERNAS</t>
  </si>
  <si>
    <t>3060399700200  / TBD</t>
  </si>
  <si>
    <t>NAS – QNAP TS-H1277XU-RP-3700X-32G</t>
  </si>
  <si>
    <t>TS-H1277XU-RP / TBD</t>
  </si>
  <si>
    <t>QNAP / TBD</t>
  </si>
  <si>
    <t>TEMPEL / TBD</t>
  </si>
  <si>
    <t>1390705449000</t>
  </si>
  <si>
    <t>Servicio soporte/mantenimiento 1 año obligatorio</t>
  </si>
  <si>
    <t>1YR SUPPORT AND MAIN/GA/SU/202207-070VB</t>
  </si>
  <si>
    <t>1312704910100</t>
  </si>
  <si>
    <t>MOD CONV D/A 32CH 192KHZ I/O MADI/ADAT</t>
  </si>
  <si>
    <t xml:space="preserve">M-32 DA </t>
  </si>
  <si>
    <t>1351201460000</t>
  </si>
  <si>
    <t>T. PXI 3U INTELLIGENT CARRIER 2X MOD SIT</t>
  </si>
  <si>
    <t>MAX-SBC-400105</t>
  </si>
  <si>
    <t>3200501301700</t>
  </si>
  <si>
    <t>RTIO COMPUTER PC IND Q370 I7-8700 256GB-SSD SATA3 S/OF</t>
  </si>
  <si>
    <t>EMB-PC-X86E/MIC-770Q-00A2/231000387</t>
  </si>
  <si>
    <t>TEMPEL</t>
  </si>
  <si>
    <t>3200501561700</t>
  </si>
  <si>
    <t>RTIO COMPUTER</t>
  </si>
  <si>
    <t>EMB-PC-X86E/ARK-352 0P-U8A1E/221100370</t>
  </si>
  <si>
    <t>DELL</t>
  </si>
  <si>
    <t>1390704692600</t>
  </si>
  <si>
    <t>PANEL FFIOS 170X85X58.25MM</t>
  </si>
  <si>
    <t>GR-SEQ40402 /TBD</t>
  </si>
  <si>
    <t>1351001440100</t>
  </si>
  <si>
    <t>1-slot (4HP) 3U CompactPCI Xeon E-2276ML 16GB DDR4-2666  DVI, 2x GbE, 1x USB 3.0  128GB SSD</t>
  </si>
  <si>
    <t>cPCI-3520/2776/M16/S128</t>
  </si>
  <si>
    <t>ADLINK TECHNOLOGY</t>
  </si>
  <si>
    <t>NOVATRONIC SISTEMAS, S.L.</t>
  </si>
  <si>
    <t>1243602470000</t>
  </si>
  <si>
    <t>Aire respirable</t>
  </si>
  <si>
    <t>COMPRESOR EKOM DK50 2V/50S/M C/ACC S/OF</t>
  </si>
  <si>
    <t>Hidrohenares</t>
  </si>
  <si>
    <t>PO de referencia 1101610194</t>
  </si>
  <si>
    <t>adalvarezm</t>
  </si>
  <si>
    <t>1312702890000</t>
  </si>
  <si>
    <t>UNIDAD ECUALIZADORA 12ENT/8SAL SOUNDWEB LONDON</t>
  </si>
  <si>
    <t>BLU-100</t>
  </si>
  <si>
    <t>BSS</t>
  </si>
  <si>
    <t>FAB. Y SUMINISTRO CONSOLA INSTUCTOR</t>
  </si>
  <si>
    <t>1351709000800</t>
  </si>
  <si>
    <t>MOD INTERFAZ AUDIO 192KHZ 188-CH USB3.0</t>
  </si>
  <si>
    <t>FIREFACE UFX III</t>
  </si>
  <si>
    <t>1</t>
  </si>
  <si>
    <t>PORTE CARENADOS, BPS Y RESTO SIMULADOR</t>
  </si>
  <si>
    <t>MONTAJE CLS</t>
  </si>
  <si>
    <t>ANTIINCENDIOS</t>
  </si>
  <si>
    <t>1351705469000</t>
  </si>
  <si>
    <t>FIRE CONTROLLER UNIT</t>
  </si>
  <si>
    <t>ID3004-2-001</t>
  </si>
  <si>
    <t>1701001920000</t>
  </si>
  <si>
    <t>CHASIS BACKPLANE 3U P/COMPACTPCI</t>
  </si>
  <si>
    <t>CPCIS-2632</t>
  </si>
  <si>
    <t>ARMARIO DOCUMENTACIÓN</t>
  </si>
  <si>
    <t>3170101514700</t>
  </si>
  <si>
    <t>SWITCH 28 PORT 10-GB PRO 4 SFP+ - IG STRG</t>
  </si>
  <si>
    <t>XS728T-100NES</t>
  </si>
  <si>
    <t>NETGEAR</t>
  </si>
  <si>
    <t>MECANICA</t>
  </si>
  <si>
    <t>0973528190300</t>
  </si>
  <si>
    <t>DISTRIBUTION PANEL ASSY</t>
  </si>
  <si>
    <t>TALLER MECANICO</t>
  </si>
  <si>
    <t>En diseño 
ligera modificación del 0970825471000</t>
  </si>
  <si>
    <t>S1074</t>
  </si>
  <si>
    <t>1390705801295</t>
  </si>
  <si>
    <t>AUDIO AND SEAT PANEL A320</t>
  </si>
  <si>
    <t>GR-SEQ40410</t>
  </si>
  <si>
    <t>7279902590000</t>
  </si>
  <si>
    <t>Teodolito digital 30X PREC 2" Laser 100m</t>
  </si>
  <si>
    <t>DE2A-L</t>
  </si>
  <si>
    <t>TSINGTAO</t>
  </si>
  <si>
    <t>1390705440000</t>
  </si>
  <si>
    <t>Camara calibra GIGE fisheye 165x165 FOV</t>
  </si>
  <si>
    <t>GIGE CALIBRATION CAM/GA/SU/202207-070VB</t>
  </si>
  <si>
    <t>CABLEADOS E INTERCONEXIONES</t>
  </si>
  <si>
    <t>1229598230401</t>
  </si>
  <si>
    <t>CBL EQ HDMI 1.4-M/M HD PRO P/150 L=45.7M</t>
  </si>
  <si>
    <t>26-726-150</t>
  </si>
  <si>
    <t>EXTRON</t>
  </si>
  <si>
    <t>1351710950100</t>
  </si>
  <si>
    <t xml:space="preserve">USB AI ACQ MODULE USB-6218 </t>
  </si>
  <si>
    <t>779678-01</t>
  </si>
  <si>
    <t>National Instruments</t>
  </si>
  <si>
    <t>1390700725500</t>
  </si>
  <si>
    <t>GEAR BOX REDUCTION</t>
  </si>
  <si>
    <t>D3231007000100</t>
  </si>
  <si>
    <t>AIRBUS / DEALER</t>
  </si>
  <si>
    <t>3170102910900</t>
  </si>
  <si>
    <t>SWITCH 24 PORT 10X100X1000BASE-T SFP+</t>
  </si>
  <si>
    <t>GSM4328S-100NES</t>
  </si>
  <si>
    <t>1229590910009</t>
  </si>
  <si>
    <t>Fibra DP Pro P/100</t>
  </si>
  <si>
    <t>26-727-100</t>
  </si>
  <si>
    <t>3170106020100</t>
  </si>
  <si>
    <t>SWITCH 52P 176GBPS 10/1000GBASE US/EU</t>
  </si>
  <si>
    <t>GSM4352S-100NES</t>
  </si>
  <si>
    <t>1390704692700</t>
  </si>
  <si>
    <t>PANEL SEAT 71X85MM ALUM 6061T6</t>
  </si>
  <si>
    <t>GR-SEQ40403 /TBD</t>
  </si>
  <si>
    <t>3170108870000</t>
  </si>
  <si>
    <t>MOD SWITCH KVM ANALOG 16-PORT S/OFERTA</t>
  </si>
  <si>
    <t>DAV2216-G01</t>
  </si>
  <si>
    <t>3170108880000</t>
  </si>
  <si>
    <t>CONSOLA KVM-USB-18,5" 1U</t>
  </si>
  <si>
    <t>A7485910</t>
  </si>
  <si>
    <t>1390705801195</t>
  </si>
  <si>
    <t>USB PANEL A320</t>
  </si>
  <si>
    <t>GR-SEQ40409</t>
  </si>
  <si>
    <t>1390705801095</t>
  </si>
  <si>
    <t>IOS AUDIO CONNECTION PANEL A320</t>
  </si>
  <si>
    <t>GR-SEQ40408</t>
  </si>
  <si>
    <t>1229598250100</t>
  </si>
  <si>
    <t>Cable DP 1.4-M/M 8K DP PRO P/150 L45.7M</t>
  </si>
  <si>
    <t>26-727-150</t>
  </si>
  <si>
    <t>Extron</t>
  </si>
  <si>
    <t>3120500340100</t>
  </si>
  <si>
    <t>APC Switched Rack PDU 2G Zero U - 24 SALIDAS</t>
  </si>
  <si>
    <t>A7067529</t>
  </si>
  <si>
    <t>APC</t>
  </si>
  <si>
    <t>3010200471700</t>
  </si>
  <si>
    <t>Mod serv lan 8P RS232/422/485</t>
  </si>
  <si>
    <t>NPORT 6650-8</t>
  </si>
  <si>
    <t>Moxa</t>
  </si>
  <si>
    <t>1390704692800</t>
  </si>
  <si>
    <t>PANEL CONEXION AUDIO IOS 50X85MM ALUM</t>
  </si>
  <si>
    <t>GR-SEQ40404 /TBD</t>
  </si>
  <si>
    <t>DBS</t>
  </si>
  <si>
    <t>3190701010000</t>
  </si>
  <si>
    <t>MONITOR UHD 4K 24" 3840X2160 1000:1</t>
  </si>
  <si>
    <t>P2415Q</t>
  </si>
  <si>
    <t>DELL COMPUTER</t>
  </si>
  <si>
    <t>S107A</t>
  </si>
  <si>
    <t>1753000990000</t>
  </si>
  <si>
    <t>Valv Mariposa Thesis DN40 WAFER/GG25/304/EPDM + actuador eléctrico EH-020 24Vdc</t>
  </si>
  <si>
    <t>EA2AA THESIS</t>
  </si>
  <si>
    <t>EFFEBI</t>
  </si>
  <si>
    <t>REBOUND ELECTRONICS</t>
  </si>
  <si>
    <t>1309006400000</t>
  </si>
  <si>
    <t>PLC 1215C AC/DC/RLY</t>
  </si>
  <si>
    <t>6ES7215-1BG40-0XB0</t>
  </si>
  <si>
    <t>SIEMENS</t>
  </si>
  <si>
    <t>1390705610100</t>
  </si>
  <si>
    <t>Filtros ópticos</t>
  </si>
  <si>
    <t>1246001770000</t>
  </si>
  <si>
    <t>1246001770100</t>
  </si>
  <si>
    <t>Ventilador centrifugo multietapa 240V 1PH</t>
  </si>
  <si>
    <t>2MS08-0069</t>
  </si>
  <si>
    <t>Air control industries</t>
  </si>
  <si>
    <t>0917488032000</t>
  </si>
  <si>
    <t>Soporte de teodolito</t>
  </si>
  <si>
    <t>3170107821000</t>
  </si>
  <si>
    <t>A020215</t>
  </si>
  <si>
    <t>SWITCH KVM 8P USB DIGITAL AV-3108</t>
  </si>
  <si>
    <t>AV-3108</t>
  </si>
  <si>
    <t>AVOCENT</t>
  </si>
  <si>
    <t>1390704692500</t>
  </si>
  <si>
    <t>PANEL EMERGENCIA IOS 135X60MM AL 6061T6</t>
  </si>
  <si>
    <t>GR-SEQ40401 /TBD</t>
  </si>
  <si>
    <t>1229594740000</t>
  </si>
  <si>
    <t>CBL EQUIPADO INTERFACE 2X CNC SUB-D 25P-</t>
  </si>
  <si>
    <t>MAX-AC-40300</t>
  </si>
  <si>
    <t>DRAWBRIDGE</t>
  </si>
  <si>
    <t>7883000570000</t>
  </si>
  <si>
    <t>SAFETY MAT</t>
  </si>
  <si>
    <t>1390704693000</t>
  </si>
  <si>
    <t>PANEL SEAT+AUDIO ALUM 6061T6</t>
  </si>
  <si>
    <t>GR-SEQ40406 /TBD</t>
  </si>
  <si>
    <t>1252500140000</t>
  </si>
  <si>
    <t>Amplificador de cascos de 6 canales</t>
  </si>
  <si>
    <t>HP60</t>
  </si>
  <si>
    <t>PRESONUS</t>
  </si>
  <si>
    <t>1250101570000</t>
  </si>
  <si>
    <t>ALTAVOZ SUBWOOFER 170W 20-200HZ SUB/HPF</t>
  </si>
  <si>
    <t>TEMBLOR T10</t>
  </si>
  <si>
    <t>TEMBLOR T11</t>
  </si>
  <si>
    <t>1390705801495</t>
  </si>
  <si>
    <t>BLANCK PANEL A320</t>
  </si>
  <si>
    <t>GR-SEQ40412</t>
  </si>
  <si>
    <t>1241300250900</t>
  </si>
  <si>
    <t>Actuador eléctrico 150mm motor DER 24Vdc</t>
  </si>
  <si>
    <t>LEFS16RB-150</t>
  </si>
  <si>
    <t>SMC</t>
  </si>
  <si>
    <t>1702003980000</t>
  </si>
  <si>
    <t>Caja control vacío (ESTRUCTURA METÁLCIA)</t>
  </si>
  <si>
    <t>ESCTRUC. METALICA SOPORTE CONSOLA</t>
  </si>
  <si>
    <t>1709904470000</t>
  </si>
  <si>
    <t>NETSHELTER ZERO U ACCESSORY MNT BRACKET</t>
  </si>
  <si>
    <t>AR7711</t>
  </si>
  <si>
    <t>AC610000010</t>
  </si>
  <si>
    <t>1229594740100</t>
  </si>
  <si>
    <t>CBL EUIPADO INTERFACE 30CM C/INTERFACE D</t>
  </si>
  <si>
    <t>MAX-AC-40311</t>
  </si>
  <si>
    <t>1390303690000</t>
  </si>
  <si>
    <t>ETH-CAN MODULE</t>
  </si>
  <si>
    <t>IPEH-004010</t>
  </si>
  <si>
    <t>PEAK SYSTEMS</t>
  </si>
  <si>
    <t>1263011080700</t>
  </si>
  <si>
    <t>F.A. 100/115/200/230VAC +/-12V/0,75A 15W +/-10Vdc</t>
  </si>
  <si>
    <t>NND15-1212</t>
  </si>
  <si>
    <t>TDK-LAMBDA</t>
  </si>
  <si>
    <t>1138022400100</t>
  </si>
  <si>
    <t>CONTROLADOR ILC 170 ETH 2T</t>
  </si>
  <si>
    <t>PHOENIX CONTACT</t>
  </si>
  <si>
    <t>1309006400100</t>
  </si>
  <si>
    <t>Modulo PLC E/S analógicas SM1234</t>
  </si>
  <si>
    <t>6ES7234-4HE32-0XB0</t>
  </si>
  <si>
    <t>1311006740100</t>
  </si>
  <si>
    <t>2M H.265 NW Mobile Flat Camera</t>
  </si>
  <si>
    <t>XNV-6012</t>
  </si>
  <si>
    <t>Hanwha Vision</t>
  </si>
  <si>
    <t>1351708680400</t>
  </si>
  <si>
    <t>CTRL UNIT Poseidon2 3468</t>
  </si>
  <si>
    <t>HW GROUP</t>
  </si>
  <si>
    <t>3210503440000</t>
  </si>
  <si>
    <t>USB 2.0 EXTENDER RJ45 CAT5</t>
  </si>
  <si>
    <t>EXT-USB2.0-LR</t>
  </si>
  <si>
    <t>GEFEN</t>
  </si>
  <si>
    <t>1263511005000</t>
  </si>
  <si>
    <t>Fuente de alimentación conmutada TDK-Lambda, 24V dc, 14A, 336W, 1 salida, Montaje en panel</t>
  </si>
  <si>
    <t>GWS500-24</t>
  </si>
  <si>
    <t>TDK-Lambda</t>
  </si>
  <si>
    <t>RS</t>
  </si>
  <si>
    <t>ASIENTO IOS / KVM</t>
  </si>
  <si>
    <t>3190700971100</t>
  </si>
  <si>
    <t>Monitor Táctil 23.8"</t>
  </si>
  <si>
    <t>HP E24T G5</t>
  </si>
  <si>
    <t>1759990510300</t>
  </si>
  <si>
    <t>Kit actuador P/VALVULA DPS 20-85</t>
  </si>
  <si>
    <t>KIT DPS J4C 20-85</t>
  </si>
  <si>
    <t>J.J BCN INTEN</t>
  </si>
  <si>
    <t>VENTANAS COCKPIT SIM A320 SN04</t>
  </si>
  <si>
    <t>1702002020100</t>
  </si>
  <si>
    <t>19" RACK DRAWER / SHELF BLACK 445X44X721MM 1U</t>
  </si>
  <si>
    <t>AR8123BLK</t>
  </si>
  <si>
    <t>INSTALACION EN FABRICA</t>
  </si>
  <si>
    <t>1750101350000</t>
  </si>
  <si>
    <t>Tubo CORRUGADO catenaria 30 M</t>
  </si>
  <si>
    <t>122090</t>
  </si>
  <si>
    <t>1709800000000</t>
  </si>
  <si>
    <t>PEQUEÑO MATERIAL FERRETERIA E INSTALACIO</t>
  </si>
  <si>
    <t>ABACO SUYTEC, S.A.U.</t>
  </si>
  <si>
    <t>1250100210600</t>
  </si>
  <si>
    <t>DBF SPEAKER</t>
  </si>
  <si>
    <t>MSP3A</t>
  </si>
  <si>
    <t>YAMAHA</t>
  </si>
  <si>
    <t>1232025255900</t>
  </si>
  <si>
    <t>MANG IDENTIF TERMO 3:1 1" POLYOLE BLANCO</t>
  </si>
  <si>
    <t>TMS-SCE-1-2.0-9</t>
  </si>
  <si>
    <t>TE CONNECTIVITY</t>
  </si>
  <si>
    <t>Son rollos</t>
  </si>
  <si>
    <t>MANG IDENTIF TERMO 3/16" 3:1 POLIOL BLAN YELLOW</t>
  </si>
  <si>
    <t>TMS-SCE-3/16-4</t>
  </si>
  <si>
    <t>1232024475900</t>
  </si>
  <si>
    <t>MANG IDENTIF TERMO 3/16" 3:1 POLIOL BLAN WHITE</t>
  </si>
  <si>
    <t>TMS-SCE-3/16-2.0-9</t>
  </si>
  <si>
    <t>1232025385900</t>
  </si>
  <si>
    <t>MANG IDENTIF TERMO 1-1/2" 3:1 POLIOLE BLAN</t>
  </si>
  <si>
    <t>TMS-SCE 1-1/2-2.0-9</t>
  </si>
  <si>
    <t>1232025135900</t>
  </si>
  <si>
    <t>A01</t>
  </si>
  <si>
    <t>MANG IDENTIF TERMO 1/2" 3:1 POLIOLE BLAN</t>
  </si>
  <si>
    <t>TMS-SCE-1/2-2.0-9</t>
  </si>
  <si>
    <t>DETECCIÓN INCENDIOS (central, detectores, sirenas)</t>
  </si>
  <si>
    <t>PUESTA A PUNTO/EN SERVICIO SIMULACION</t>
  </si>
  <si>
    <t>Ibercoin / Honeywell</t>
  </si>
  <si>
    <t>Servicio de puesta en marcha PO de refencia 1101678965</t>
  </si>
  <si>
    <t>AIRE ACONDICIONADO</t>
  </si>
  <si>
    <t>Yntegra</t>
  </si>
  <si>
    <t>SUBCONTRATO PO de referencia 1101592008</t>
  </si>
  <si>
    <t>1709904970600</t>
  </si>
  <si>
    <t>MOD C/RUEDAS P/800MM VX IT</t>
  </si>
  <si>
    <t>5301.518</t>
  </si>
  <si>
    <t>1263511130400</t>
  </si>
  <si>
    <t>MOD SELECT 6 SLOT 1000W 85VAC</t>
  </si>
  <si>
    <t>XCC</t>
  </si>
  <si>
    <t>EXCELSYS</t>
  </si>
  <si>
    <t>AVNET / RS</t>
  </si>
  <si>
    <t>0915437020000</t>
  </si>
  <si>
    <t>VDIM CARD 400HZ 5VAC EQUIPADA</t>
  </si>
  <si>
    <t>INDRA SISTEMAS S.A.</t>
  </si>
  <si>
    <t>3210500130300</t>
  </si>
  <si>
    <t>Dongle Scalable</t>
  </si>
  <si>
    <t>SDINDRA</t>
  </si>
  <si>
    <t>1285001000100</t>
  </si>
  <si>
    <t>SMOKE DETECTOR HIGH SENS</t>
  </si>
  <si>
    <t>NFXI-VIEW</t>
  </si>
  <si>
    <t>3210501151200</t>
  </si>
  <si>
    <t>ADAPT PCAN/USB OPTO-DECOUPLED</t>
  </si>
  <si>
    <t>IPEH-002022</t>
  </si>
  <si>
    <t>1209996806400</t>
  </si>
  <si>
    <t>CBL ACTUATOR ROBOTIC 8M FOR STEP MOTOR</t>
  </si>
  <si>
    <t>LE-CP-8</t>
  </si>
  <si>
    <t>1240100630300</t>
  </si>
  <si>
    <t>Controladora actuador eléctrico 150mm</t>
  </si>
  <si>
    <t>JXC617-LEFS16RB-150-XZ34</t>
  </si>
  <si>
    <t>3170408510000</t>
  </si>
  <si>
    <t>Intel Ethernet I350-T4 4-Port 1Gb NIC</t>
  </si>
  <si>
    <t>W8X25AA</t>
  </si>
  <si>
    <t>INTEL</t>
  </si>
  <si>
    <t>1351202410300</t>
  </si>
  <si>
    <t xml:space="preserve">MODULO E/S DIGITAL IB IL 24 DI 16-PAC </t>
  </si>
  <si>
    <t>2861250</t>
  </si>
  <si>
    <t>3060303930200</t>
  </si>
  <si>
    <t>DISCO M.2 22x80 NVMe (M)</t>
  </si>
  <si>
    <t>SKC2500M8/250G</t>
  </si>
  <si>
    <t>1351202410200</t>
  </si>
  <si>
    <t xml:space="preserve">MODULO E/S DIGITAL IB IL 24 DO 16-PAC </t>
  </si>
  <si>
    <t>2861292</t>
  </si>
  <si>
    <t>SAFETY</t>
  </si>
  <si>
    <t>1289902150200</t>
  </si>
  <si>
    <t>AIRFLOW SENSOR</t>
  </si>
  <si>
    <t>SL5101</t>
  </si>
  <si>
    <t>3190402881100</t>
  </si>
  <si>
    <t>A0210</t>
  </si>
  <si>
    <t>Monitor trainig in progress</t>
  </si>
  <si>
    <t>MB169C+</t>
  </si>
  <si>
    <t>ASSUS</t>
  </si>
  <si>
    <t>1232525308000</t>
  </si>
  <si>
    <t>Cinta de doble cara</t>
  </si>
  <si>
    <t>4930P/30MM</t>
  </si>
  <si>
    <t>3M</t>
  </si>
  <si>
    <t>1351710230100</t>
  </si>
  <si>
    <t>Tarjeta Relé control LEDs: T.8XRELES 12V 16A SPCO ETH RJ45 RACK CABINA</t>
  </si>
  <si>
    <t>ETH008</t>
  </si>
  <si>
    <t>DEVANTECH</t>
  </si>
  <si>
    <t>0918630010000</t>
  </si>
  <si>
    <t>CANIF-DIO32AVN 21B (TARJ. MONTADA/EQUIPADA)</t>
  </si>
  <si>
    <t>ELATESA / KONELTEC SL</t>
  </si>
  <si>
    <t>1289900000001</t>
  </si>
  <si>
    <t>Sensor ultrasonico EEPROM 18-30VCC 50MA</t>
  </si>
  <si>
    <t>UC400-F77-IU-IO-V31</t>
  </si>
  <si>
    <t>PEPPERL+FUCHS</t>
  </si>
  <si>
    <t>0918530000000</t>
  </si>
  <si>
    <t>CANIF-DIO32CB  11B (tarjeta montada/equipada)</t>
  </si>
  <si>
    <t>0918630000000</t>
  </si>
  <si>
    <t>CANIF-DIO32UD 11A (TARJETA MONTADA/EQUIPADA)</t>
  </si>
  <si>
    <t>1250100210700</t>
  </si>
  <si>
    <t>ALTAVOZ 54HZ-30kHZ 70W</t>
  </si>
  <si>
    <t>HS5I</t>
  </si>
  <si>
    <t>1390704694600</t>
  </si>
  <si>
    <t>24MQ - CRT DOOR PANEL</t>
  </si>
  <si>
    <t>GR-PNL27802</t>
  </si>
  <si>
    <t>1210790220200</t>
  </si>
  <si>
    <t>CONECTOR ARINC</t>
  </si>
  <si>
    <t>8660-206</t>
  </si>
  <si>
    <t>RADIALL</t>
  </si>
  <si>
    <t>SUMINISTROS CONECTORES PROF.,SA.</t>
  </si>
  <si>
    <t>3170100013000</t>
  </si>
  <si>
    <t xml:space="preserve">APC repisa para rack (ventilada) </t>
  </si>
  <si>
    <t>A0008259</t>
  </si>
  <si>
    <t>3170103091600</t>
  </si>
  <si>
    <t>SWITCH 8P POE/POE+</t>
  </si>
  <si>
    <t>GS108PP</t>
  </si>
  <si>
    <t>1251000590000</t>
  </si>
  <si>
    <t>MICRÓFONO AMBIENTE COND UNIDIREC C/CBL 105DB</t>
  </si>
  <si>
    <t>PRO42</t>
  </si>
  <si>
    <t>AUDIO TECHNICA</t>
  </si>
  <si>
    <t>1589903549000</t>
  </si>
  <si>
    <t>Adaptador para trípode (micrófonos de 1/2" y 1/4")</t>
  </si>
  <si>
    <t>AL0003</t>
  </si>
  <si>
    <t>GRAS</t>
  </si>
  <si>
    <t>ALAVA INGENIEROS, S.A.</t>
  </si>
  <si>
    <t>3170100060400</t>
  </si>
  <si>
    <t>Switch 8-Puertos RJ45 10/100/1000 GB</t>
  </si>
  <si>
    <t>GS308PP</t>
  </si>
  <si>
    <t>3210505150000</t>
  </si>
  <si>
    <t>MODULO SERV INTERF DISP USB MED-VIRT CAC</t>
  </si>
  <si>
    <t>MPUIQ-VMCDP</t>
  </si>
  <si>
    <t>1229599576000</t>
  </si>
  <si>
    <t>MODULO SERV INTERF VGA USB MED-VIRT CAC</t>
  </si>
  <si>
    <t>DMPUIQ-VMCHS</t>
  </si>
  <si>
    <t>3210505160000</t>
  </si>
  <si>
    <t>MODULO SERV INTERF DVI USB MED-VIRT CAC</t>
  </si>
  <si>
    <t>MPUIQ-VMCDV</t>
  </si>
  <si>
    <t>1250100870100</t>
  </si>
  <si>
    <t>ALTAVOZ AUTO AMPLI 132-20000HZ 40W 230VA NEGRO (REAR SPEAKER)</t>
  </si>
  <si>
    <t>AMBIENT-20A</t>
  </si>
  <si>
    <t>FONESTAR</t>
  </si>
  <si>
    <t>1218000070000</t>
  </si>
  <si>
    <t>REGLETA RED 9 TOMAS 2P+T 250VAC 10/16A L</t>
  </si>
  <si>
    <t>60110-202</t>
  </si>
  <si>
    <t>SCHROFF</t>
  </si>
  <si>
    <t>CENVALSA, S.L.</t>
  </si>
  <si>
    <t>0972881220000</t>
  </si>
  <si>
    <t>SMOKE DETEC AND TEMP SENSOR SUPPORT PLATE</t>
  </si>
  <si>
    <t>3050501221300</t>
  </si>
  <si>
    <t>RAM DDR4-3200 1.2V SODIMMs</t>
  </si>
  <si>
    <t xml:space="preserve">CT16G4SFD832A </t>
  </si>
  <si>
    <t>1390704693100</t>
  </si>
  <si>
    <t>PANEL BLANCO 50X85X2MM ALUM 6061T6</t>
  </si>
  <si>
    <t>GR-SEQ40407 /TBD</t>
  </si>
  <si>
    <t>3170412070000</t>
  </si>
  <si>
    <t>MOD SFP MADI MULTIMOD C/CBL2M/ACOP-SC-SC</t>
  </si>
  <si>
    <t>100159</t>
  </si>
  <si>
    <t>1351800390000</t>
  </si>
  <si>
    <t>SD Flash 512MB Memory</t>
  </si>
  <si>
    <t>1263516109000</t>
  </si>
  <si>
    <t>MOD SALIDA F.A. 3.2-6VDC 40A 200W XGEN</t>
  </si>
  <si>
    <t>Xg2</t>
  </si>
  <si>
    <t>1263516109002</t>
  </si>
  <si>
    <t>MOD SALIDA F.A. 12-30VDC 10A 240W XGEN</t>
  </si>
  <si>
    <t>Xg4</t>
  </si>
  <si>
    <t>1263516109001</t>
  </si>
  <si>
    <t>MOD SALIDA F.A. 6-15VDC 20A 240W XGEN</t>
  </si>
  <si>
    <t>Xg3</t>
  </si>
  <si>
    <t>1263516109005</t>
  </si>
  <si>
    <t>T.PWRMOD 85-264VAC/2,5VDC 50A 125W XLITE</t>
  </si>
  <si>
    <t>Xg1</t>
  </si>
  <si>
    <t>3170103090800</t>
  </si>
  <si>
    <t>SWITCH 16P GIGABIT PROSAFE DESKTOP</t>
  </si>
  <si>
    <t>GS116</t>
  </si>
  <si>
    <t>1759990311000</t>
  </si>
  <si>
    <t>Brida DN-40 C/ESP P/MANG 45M/M AC</t>
  </si>
  <si>
    <t>PORTAS EURORAPID</t>
  </si>
  <si>
    <t>TCX MICRO, S.L.</t>
  </si>
  <si>
    <t>1146002242500</t>
  </si>
  <si>
    <t>ELECTRONIC OPTIC-ACOUSTIC SOUNDER</t>
  </si>
  <si>
    <t>WSS-PC-I02</t>
  </si>
  <si>
    <t>1309006400200</t>
  </si>
  <si>
    <t>Tarjeta PLC E/S digital 5V SB1223</t>
  </si>
  <si>
    <t>6ES7223-3AD30-0XB0</t>
  </si>
  <si>
    <t>1263511140101</t>
  </si>
  <si>
    <t>Fuente de alimentación 24V 120W</t>
  </si>
  <si>
    <t>S8VK-G12024</t>
  </si>
  <si>
    <t>OMROM</t>
  </si>
  <si>
    <t>1282001480200</t>
  </si>
  <si>
    <t>Temp-1Wire Rack19</t>
  </si>
  <si>
    <t>1587080790400</t>
  </si>
  <si>
    <t>ETIQ ADH 35X18MM PLATA PE TRASNF TERMI</t>
  </si>
  <si>
    <t>M71EP-7-7593-SL</t>
  </si>
  <si>
    <t>Son cajas de 100</t>
  </si>
  <si>
    <t>1235026150800</t>
  </si>
  <si>
    <t>BANDEJA LISA 60X150MM PVC GRIS</t>
  </si>
  <si>
    <t>0970185470200</t>
  </si>
  <si>
    <t>CARD SUPPORT 271VU</t>
  </si>
  <si>
    <t>24VU/56VU/48VU/
301VU/500VU</t>
  </si>
  <si>
    <t>1146093240100</t>
  </si>
  <si>
    <t>WARNING LIGHT</t>
  </si>
  <si>
    <t>E2S</t>
  </si>
  <si>
    <t>DISCOEL, S.L. / RS</t>
  </si>
  <si>
    <t>0970785470500</t>
  </si>
  <si>
    <t>FIXING STEEL STICK</t>
  </si>
  <si>
    <t>0970785470300</t>
  </si>
  <si>
    <t>CARD SUPPORT 54VU</t>
  </si>
  <si>
    <t>54VU-1/2</t>
  </si>
  <si>
    <t>0970785241600</t>
  </si>
  <si>
    <t>CHASSIS 24VU</t>
  </si>
  <si>
    <t>24VU/</t>
  </si>
  <si>
    <t>0970785470600</t>
  </si>
  <si>
    <t>CARD SUPPORT 402VU</t>
  </si>
  <si>
    <t>402VU</t>
  </si>
  <si>
    <t>0970185470100</t>
  </si>
  <si>
    <t>CARD SUPPORT 241VU</t>
  </si>
  <si>
    <t>23VU/</t>
  </si>
  <si>
    <t>0970185470500</t>
  </si>
  <si>
    <t>CARD SUPPORT 135VU</t>
  </si>
  <si>
    <t xml:space="preserve">8VU/ </t>
  </si>
  <si>
    <t>0970785470900</t>
  </si>
  <si>
    <t>CARD SUPPORT 131VU</t>
  </si>
  <si>
    <t>131VU</t>
  </si>
  <si>
    <t>0970785470800</t>
  </si>
  <si>
    <t>CARD SUPPORT 130VU</t>
  </si>
  <si>
    <t>130VU</t>
  </si>
  <si>
    <t>0970785470700</t>
  </si>
  <si>
    <t>CARD SUPPORT 119VU</t>
  </si>
  <si>
    <t>119VU</t>
  </si>
  <si>
    <t>0970785470100</t>
  </si>
  <si>
    <t>CARD SUPPORT 115VU</t>
  </si>
  <si>
    <t>115VU</t>
  </si>
  <si>
    <t>0970785470400</t>
  </si>
  <si>
    <t>CARD SUPPORT 110VU</t>
  </si>
  <si>
    <t>110VU</t>
  </si>
  <si>
    <t>0970785241700</t>
  </si>
  <si>
    <t>CAN SUPPORT 24VU</t>
  </si>
  <si>
    <t>0970785011700</t>
  </si>
  <si>
    <t>24VU PANEL</t>
  </si>
  <si>
    <t>1200300890200</t>
  </si>
  <si>
    <t>MOD CNC  8P #16 HL103 SELLADO</t>
  </si>
  <si>
    <t>001115 302 02</t>
  </si>
  <si>
    <t>AMPHENOL AIR-LB</t>
  </si>
  <si>
    <t>1709904470100</t>
  </si>
  <si>
    <t>NETSHELTER SX 600MM/750MM STABILIZER PLATE</t>
  </si>
  <si>
    <t>AR7700</t>
  </si>
  <si>
    <t>1124320115000</t>
  </si>
  <si>
    <t>Microswitch ramp up #1,2</t>
  </si>
  <si>
    <t>1289980760100</t>
  </si>
  <si>
    <t>Humid-1Wire 3m</t>
  </si>
  <si>
    <t xml:space="preserve">APC NetShelter Zero U - Kit de montaje rack </t>
  </si>
  <si>
    <t>A7239792</t>
  </si>
  <si>
    <t>1126622240000</t>
  </si>
  <si>
    <t>CONTROL BOX DB</t>
  </si>
  <si>
    <t>SCHNEIDER</t>
  </si>
  <si>
    <t>1229599330200</t>
  </si>
  <si>
    <t>Cbl eq conversion L300MM P/CONTROL JXC91</t>
  </si>
  <si>
    <t>P5062-5</t>
  </si>
  <si>
    <t>1587080101200</t>
  </si>
  <si>
    <t>ETIQUETA ADH TRANSF TERM 50,8X38,1MM TLS</t>
  </si>
  <si>
    <t>PTL-107-427</t>
  </si>
  <si>
    <t>MARKABLE SOLUTIONS, S.L.</t>
  </si>
  <si>
    <t>1237000262200</t>
  </si>
  <si>
    <t>BORNERO 21P AWG22-26 5A</t>
  </si>
  <si>
    <t>NSA 937 901 M 22 06</t>
  </si>
  <si>
    <t>EADS NORMALISATION S</t>
  </si>
  <si>
    <t>1805710000000</t>
  </si>
  <si>
    <t>Imprimación Base</t>
  </si>
  <si>
    <t>94 PRIMER</t>
  </si>
  <si>
    <t>TORNILLO DIN 912 M24X80. CALIDAD 8.8</t>
  </si>
  <si>
    <t>1708500960000</t>
  </si>
  <si>
    <t>826-2868</t>
  </si>
  <si>
    <t>BARRA DE CHASIS</t>
  </si>
  <si>
    <t>1229501660800</t>
  </si>
  <si>
    <t xml:space="preserve">REGLETA 8 tomas </t>
  </si>
  <si>
    <t>0200X00082301</t>
  </si>
  <si>
    <t>BODO EHMANN</t>
  </si>
  <si>
    <t>1229501660600</t>
  </si>
  <si>
    <t xml:space="preserve">REGLETA 3 tomas </t>
  </si>
  <si>
    <t>0200X00032303</t>
  </si>
  <si>
    <t>1126690440000</t>
  </si>
  <si>
    <t>EMERGENCY BUTTON (RED)</t>
  </si>
  <si>
    <t>M5A-RP02FF-N026-41</t>
  </si>
  <si>
    <t>1125110113403</t>
  </si>
  <si>
    <t>RED EMERGENCY STOP ASSY</t>
  </si>
  <si>
    <t>XALK1781</t>
  </si>
  <si>
    <t>AMSYS / RS</t>
  </si>
  <si>
    <t>1222700280000</t>
  </si>
  <si>
    <t>Cable teléfono rollo 50 m</t>
  </si>
  <si>
    <t>SPE191354</t>
  </si>
  <si>
    <t>1136090066400</t>
  </si>
  <si>
    <t>SWITCH DISYUNTOR TERMICO 3P</t>
  </si>
  <si>
    <t>3130-F130-H7T1-W01Q-16A</t>
  </si>
  <si>
    <t>E-T-A</t>
  </si>
  <si>
    <t>REGLETA CON RCP 30mA</t>
  </si>
  <si>
    <t>0221X00042301</t>
  </si>
  <si>
    <t>1218000542500</t>
  </si>
  <si>
    <t>REGLETA 5 tomas SCHUKO ALEMAN</t>
  </si>
  <si>
    <t>0200X00052300</t>
  </si>
  <si>
    <t>1585003060000</t>
  </si>
  <si>
    <t>CIERRE MAGNET 24V 150MA</t>
  </si>
  <si>
    <t>n0fh15qubm</t>
  </si>
  <si>
    <t>1200301890000</t>
  </si>
  <si>
    <t>MOD CNC 18P(2X12+4X16+12X20) HL103 SELL</t>
  </si>
  <si>
    <t>001115 503 02</t>
  </si>
  <si>
    <t>1214200430721</t>
  </si>
  <si>
    <t>CONECTOR D38999 SERIE III TRISTAR</t>
  </si>
  <si>
    <t>D38999/26ZC4SN</t>
  </si>
  <si>
    <t>MILITARY SPECS.</t>
  </si>
  <si>
    <t>1214306631920</t>
  </si>
  <si>
    <t>D38999/20ZF35SN</t>
  </si>
  <si>
    <t>1209994130024</t>
  </si>
  <si>
    <t>ACC BACKSHELL #13 RECTO AL ZN/CO NEGRO</t>
  </si>
  <si>
    <t>M85049/38-13Z</t>
  </si>
  <si>
    <t>MILITARY STANDARD</t>
  </si>
  <si>
    <t>1204206631120</t>
  </si>
  <si>
    <t>D38999/26ZF35PN</t>
  </si>
  <si>
    <t>1214100333620</t>
  </si>
  <si>
    <t>CONECTOR 26382 SERIE II</t>
  </si>
  <si>
    <t>MS3470L8-98S</t>
  </si>
  <si>
    <t>1204000333720</t>
  </si>
  <si>
    <t>MS3476L8-98P</t>
  </si>
  <si>
    <t>1204100333620</t>
  </si>
  <si>
    <t>MS3470L8-98P</t>
  </si>
  <si>
    <t>1214000333721</t>
  </si>
  <si>
    <t>MS3476L8-98S</t>
  </si>
  <si>
    <t>1214305530821</t>
  </si>
  <si>
    <t>D38999/20ZH55SN</t>
  </si>
  <si>
    <t>1214304130920</t>
  </si>
  <si>
    <t>D38999/20ZG41SN</t>
  </si>
  <si>
    <t>1204204130820</t>
  </si>
  <si>
    <t>D38999/26ZG41PN</t>
  </si>
  <si>
    <t>1204205530820</t>
  </si>
  <si>
    <t>D38999/26ZH55PN</t>
  </si>
  <si>
    <t>1209994000021</t>
  </si>
  <si>
    <t>ABRAZ P/CNC CIR #13 NICKEL ALUM ACOD</t>
  </si>
  <si>
    <t xml:space="preserve">M85049/39-13W </t>
  </si>
  <si>
    <t>1214001033721</t>
  </si>
  <si>
    <t>MS3476L12-10S</t>
  </si>
  <si>
    <t>1209994130022</t>
  </si>
  <si>
    <t>STRAIN RELIEF #13 AL/NI M85049/38-13N</t>
  </si>
  <si>
    <t>M85049/38-13N</t>
  </si>
  <si>
    <t>1204306631620</t>
  </si>
  <si>
    <t>D38999/20ZF35PN</t>
  </si>
  <si>
    <t>1214206630620</t>
  </si>
  <si>
    <t>D38999/26ZF35SN</t>
  </si>
  <si>
    <t>1209994240424</t>
  </si>
  <si>
    <t>ACC BACKSHELL 21 ALU MIL-DTL-38999III IV</t>
  </si>
  <si>
    <t>M85049/38-21N</t>
  </si>
  <si>
    <t>1204300430820</t>
  </si>
  <si>
    <t>D38999/20ZC4PN</t>
  </si>
  <si>
    <t>1214002633727</t>
  </si>
  <si>
    <t>MS3476L16-26S</t>
  </si>
  <si>
    <t>1204304130820</t>
  </si>
  <si>
    <t>D38999/20ZG41PN</t>
  </si>
  <si>
    <t>1214204130820</t>
  </si>
  <si>
    <t>D38999/26ZG41SN</t>
  </si>
  <si>
    <t>1214002633742</t>
  </si>
  <si>
    <t>MS3476L16-26SY</t>
  </si>
  <si>
    <t>1214003132620</t>
  </si>
  <si>
    <t>PLUG CONNECTOR AWG 20, 31 PINS</t>
  </si>
  <si>
    <t>M83723/75-R18 31 N</t>
  </si>
  <si>
    <t>JA2581/1001</t>
  </si>
  <si>
    <t>1204300431820</t>
  </si>
  <si>
    <t>D38999/20ZC4PA</t>
  </si>
  <si>
    <t>1214200430722</t>
  </si>
  <si>
    <t>D38999/26ZC4SA</t>
  </si>
  <si>
    <t>1204301230620</t>
  </si>
  <si>
    <t>D38999/20ZD97PN</t>
  </si>
  <si>
    <t>1214201230020</t>
  </si>
  <si>
    <t>D38999/26ZD97SN</t>
  </si>
  <si>
    <t>1214304131820</t>
  </si>
  <si>
    <t>D38999/20ZG41SA</t>
  </si>
  <si>
    <t>1204204131820</t>
  </si>
  <si>
    <t>D38999/26ZG41PA</t>
  </si>
  <si>
    <t>1214001933723</t>
  </si>
  <si>
    <t>MS3476L14-19SX</t>
  </si>
  <si>
    <t>1214005533721</t>
  </si>
  <si>
    <t>MS3476L22-55S</t>
  </si>
  <si>
    <t>1214006133721</t>
  </si>
  <si>
    <t>MS3476L24-61S</t>
  </si>
  <si>
    <t>1209994000023</t>
  </si>
  <si>
    <t>ACC CNC CIR BACKSHELL 15 ALU ROHS</t>
  </si>
  <si>
    <t>M85049/38-15N</t>
  </si>
  <si>
    <t>1209994090221</t>
  </si>
  <si>
    <t>ACC BACKSHELL #9 RECTO AL ELEC-NI</t>
  </si>
  <si>
    <t>M85049/38-9N</t>
  </si>
  <si>
    <t>1209994190024</t>
  </si>
  <si>
    <t>ABRAZADERA CNC CIR #19 RECT AL/EL-NI</t>
  </si>
  <si>
    <t>M85049/38-19N</t>
  </si>
  <si>
    <t>1214300330020</t>
  </si>
  <si>
    <t>D38999/20ZA98SN</t>
  </si>
  <si>
    <t>1204200330020</t>
  </si>
  <si>
    <t>D38999/26ZA98PN</t>
  </si>
  <si>
    <t>1204301331920</t>
  </si>
  <si>
    <t>D38999/20ZB35PN</t>
  </si>
  <si>
    <t>1214301330920</t>
  </si>
  <si>
    <t>D38999/20ZB35SN</t>
  </si>
  <si>
    <t>1204201330722</t>
  </si>
  <si>
    <t>D38999/26ZB35PN</t>
  </si>
  <si>
    <t>1204300630021</t>
  </si>
  <si>
    <t>D38999/20ZB98PN</t>
  </si>
  <si>
    <t>1214209830020</t>
  </si>
  <si>
    <t>D38999/26ZB98SN</t>
  </si>
  <si>
    <t>1214300431820</t>
  </si>
  <si>
    <t>D38999/20ZC4SN</t>
  </si>
  <si>
    <t>1204200430722</t>
  </si>
  <si>
    <t>D38999/26ZC4PN</t>
  </si>
  <si>
    <t>1204301030820</t>
  </si>
  <si>
    <t>D38999/20ZC98PN</t>
  </si>
  <si>
    <t>1214209830120</t>
  </si>
  <si>
    <t>D38999/26ZC98SN</t>
  </si>
  <si>
    <t>1214200530720</t>
  </si>
  <si>
    <t>D38999/20ZD5SN</t>
  </si>
  <si>
    <t>1204200530620</t>
  </si>
  <si>
    <t>D38999/26ZD5PN</t>
  </si>
  <si>
    <t>1214303230820</t>
  </si>
  <si>
    <t>D38999/20ZF32SN</t>
  </si>
  <si>
    <t>1204203230820</t>
  </si>
  <si>
    <t>D38999/26ZF32PN</t>
  </si>
  <si>
    <t>1204305530022</t>
  </si>
  <si>
    <t>D38999/20ZH55PA</t>
  </si>
  <si>
    <t>1214205530022</t>
  </si>
  <si>
    <t>D38999/26ZH55SA</t>
  </si>
  <si>
    <t>1214306632020</t>
  </si>
  <si>
    <t>D38999/20ZF35SA</t>
  </si>
  <si>
    <t>1204206631820</t>
  </si>
  <si>
    <t>D38999/26ZF35PA</t>
  </si>
  <si>
    <t>1214305530020</t>
  </si>
  <si>
    <t>D38999/20ZH55SA</t>
  </si>
  <si>
    <t>1204205530021</t>
  </si>
  <si>
    <t>D38999/26ZH55PA</t>
  </si>
  <si>
    <t>1214101033620</t>
  </si>
  <si>
    <t>MS3470L12-10S</t>
  </si>
  <si>
    <t>1204101933620</t>
  </si>
  <si>
    <t>MS3470L14-19P</t>
  </si>
  <si>
    <t>1214003233721</t>
  </si>
  <si>
    <t>MS3476L18-32S</t>
  </si>
  <si>
    <t>1214003233761</t>
  </si>
  <si>
    <t>MS3476L18-32SW</t>
  </si>
  <si>
    <t>1214103233627</t>
  </si>
  <si>
    <t>MS3470L18-32S</t>
  </si>
  <si>
    <t>1214103233621</t>
  </si>
  <si>
    <t>MS3470L18-32SW</t>
  </si>
  <si>
    <t>1214004133721</t>
  </si>
  <si>
    <t>MS3476L20-41S</t>
  </si>
  <si>
    <t>1204894000006</t>
  </si>
  <si>
    <t>ACC P/CNC BACKSHELL SR R/A NIC SIZE 19</t>
  </si>
  <si>
    <t>M85049/39-19N</t>
  </si>
  <si>
    <t>1214300631720</t>
  </si>
  <si>
    <t>D38999/20ZA35SN</t>
  </si>
  <si>
    <t>1204200630320</t>
  </si>
  <si>
    <t>D38999/26ZA35PN</t>
  </si>
  <si>
    <t>1214201330020</t>
  </si>
  <si>
    <t>D38999/26ZB35SN</t>
  </si>
  <si>
    <t>1204300730820</t>
  </si>
  <si>
    <t>D38999/20ZB99PN</t>
  </si>
  <si>
    <t>1204200730720</t>
  </si>
  <si>
    <t>D38999/26ZB99SN</t>
  </si>
  <si>
    <t>1214302231620</t>
  </si>
  <si>
    <t>D38999/20ZC35SN</t>
  </si>
  <si>
    <t>1204202230730</t>
  </si>
  <si>
    <t>D38999/26ZC35PN</t>
  </si>
  <si>
    <t>1204301931820</t>
  </si>
  <si>
    <t>D38999/20ZD19PA</t>
  </si>
  <si>
    <t>1214201931820</t>
  </si>
  <si>
    <t>D38999/26ZD19SA</t>
  </si>
  <si>
    <t>1204301930821</t>
  </si>
  <si>
    <t>D38999/20ZD19PN</t>
  </si>
  <si>
    <t>1214201930820</t>
  </si>
  <si>
    <t>D38999/26ZD19SN</t>
  </si>
  <si>
    <t>1214301930821</t>
  </si>
  <si>
    <t>D38999/20ZD19SN</t>
  </si>
  <si>
    <t>1204201930820</t>
  </si>
  <si>
    <t>D38999/26ZD19PN</t>
  </si>
  <si>
    <t>1214303734920</t>
  </si>
  <si>
    <t>D38999/20ZD35SN</t>
  </si>
  <si>
    <t>1204203730120</t>
  </si>
  <si>
    <t>D38999/26ZD35PN</t>
  </si>
  <si>
    <t>1204301130021</t>
  </si>
  <si>
    <t>D38999/20ZF11PN</t>
  </si>
  <si>
    <t>1214201130020</t>
  </si>
  <si>
    <t>D38999/26ZF11SN</t>
  </si>
  <si>
    <t>1214301130022</t>
  </si>
  <si>
    <t>D38999/20ZF11SN</t>
  </si>
  <si>
    <t>1204201130020</t>
  </si>
  <si>
    <t>D38999/26ZF11PN</t>
  </si>
  <si>
    <t>1214306630021</t>
  </si>
  <si>
    <t>D38999/20ZF35SB</t>
  </si>
  <si>
    <t>1214333530020</t>
  </si>
  <si>
    <t>D38999/26ZF35PB</t>
  </si>
  <si>
    <t>1214201138020</t>
  </si>
  <si>
    <t>D38999/26ZG11SN</t>
  </si>
  <si>
    <t>1214301130620</t>
  </si>
  <si>
    <t>D38999/20ZG11SN</t>
  </si>
  <si>
    <t>1204301130020</t>
  </si>
  <si>
    <t>D38999/26ZG11PN</t>
  </si>
  <si>
    <t>1214305330820</t>
  </si>
  <si>
    <t>D38999/20ZH54SN</t>
  </si>
  <si>
    <t>1204205300020</t>
  </si>
  <si>
    <t>D38999/26ZH54PN</t>
  </si>
  <si>
    <t>1204305530820</t>
  </si>
  <si>
    <t>D38999/20ZH55PN</t>
  </si>
  <si>
    <t>1214205530820</t>
  </si>
  <si>
    <t>D38999/26ZH55SN</t>
  </si>
  <si>
    <t>1214101933621</t>
  </si>
  <si>
    <t>MS3470L14-19S</t>
  </si>
  <si>
    <t>1214000633721</t>
  </si>
  <si>
    <t>MS3476L10-6S</t>
  </si>
  <si>
    <t>1214001933721</t>
  </si>
  <si>
    <t>MS3476L14-19S</t>
  </si>
  <si>
    <t>1214001933722</t>
  </si>
  <si>
    <t>MS3476L14-19SW</t>
  </si>
  <si>
    <t>1214002633762</t>
  </si>
  <si>
    <t>MS3476L16-26SW</t>
  </si>
  <si>
    <t>1214003233731</t>
  </si>
  <si>
    <t>MS3476L18-32SX</t>
  </si>
  <si>
    <t>1214004130021</t>
  </si>
  <si>
    <t>MS3476L20-41SY</t>
  </si>
  <si>
    <t>1214005533760</t>
  </si>
  <si>
    <t>MS3476L22-55SW</t>
  </si>
  <si>
    <t>1214006133761</t>
  </si>
  <si>
    <t>MS3476L24-61SW</t>
  </si>
  <si>
    <t>1214002432621</t>
  </si>
  <si>
    <t>CONECTOR</t>
  </si>
  <si>
    <t>M83723/75-R16 24 7</t>
  </si>
  <si>
    <t>1214002432622</t>
  </si>
  <si>
    <t>M83723/75-R16 24 8</t>
  </si>
  <si>
    <t>1214105330530</t>
  </si>
  <si>
    <t>MS27472E18F53S</t>
  </si>
  <si>
    <t>1807901190100</t>
  </si>
  <si>
    <t>AEROSOL PRUEBA DETECTORES HUMO</t>
  </si>
  <si>
    <t>Solo A10</t>
  </si>
  <si>
    <t>1209994210022</t>
  </si>
  <si>
    <t>ACC BACKSHELL #21 RECTO AL ZN/CO NEGRO</t>
  </si>
  <si>
    <t>M85049/38-21Z</t>
  </si>
  <si>
    <t>1209993210020</t>
  </si>
  <si>
    <t>ABRAZ ACOD CNC CIR #21 M85049/39-21W</t>
  </si>
  <si>
    <t>M85049/39-21W</t>
  </si>
  <si>
    <t>1751100080100</t>
  </si>
  <si>
    <t>BASE DE 8 ENCHUFES INTERRUPTOR RACK 19"</t>
  </si>
  <si>
    <t>60110-206</t>
  </si>
  <si>
    <t>1229502470000</t>
  </si>
  <si>
    <t>CBL EQ EXTENSION CCP BNC-BNC 50R L=3M</t>
  </si>
  <si>
    <t>AA0035</t>
  </si>
  <si>
    <t>1235026159000</t>
  </si>
  <si>
    <t>CUBIERTA 60X150 PVC GRIS P/BANDEJA LISA</t>
  </si>
  <si>
    <t>1136090066200</t>
  </si>
  <si>
    <t>Switch disyuntor termico 1P 10A</t>
  </si>
  <si>
    <t>3130-F110-H7T1-W01Q-10A</t>
  </si>
  <si>
    <t>1282001480400</t>
  </si>
  <si>
    <t>TEMP SENSOR CABLE 3M</t>
  </si>
  <si>
    <t>1309005060200</t>
  </si>
  <si>
    <t>SPLITTER HUB 1/5 SENSOR 5XRJ11 10CM</t>
  </si>
  <si>
    <t>1263011094800</t>
  </si>
  <si>
    <t>FA 85-264VAC 12VDC (12-16VDC) 2.5A 30W</t>
  </si>
  <si>
    <t>TBL 030-112</t>
  </si>
  <si>
    <t>TRACO POWER</t>
  </si>
  <si>
    <t>TORNILLO DIN 933 M20X100. CALIDAD 8.8</t>
  </si>
  <si>
    <t>1232525509004</t>
  </si>
  <si>
    <t>CINTA VELCRO NEGRA HOOK &amp; LOOP 50MMX5M</t>
  </si>
  <si>
    <t>423-9533</t>
  </si>
  <si>
    <t>RS AMIDATA</t>
  </si>
  <si>
    <t>RS AMIDATA, S.A.</t>
  </si>
  <si>
    <t>1146093241000</t>
  </si>
  <si>
    <t>SONF1DC24SA0A1W</t>
  </si>
  <si>
    <t>WARNING BUZZER</t>
  </si>
  <si>
    <t>SONF1DC24W</t>
  </si>
  <si>
    <t>TORNILLO DIN 933 M20X60. CALIDAD 8.8</t>
  </si>
  <si>
    <t>1229511850000</t>
  </si>
  <si>
    <t>CBL EQ STEREO-3.5MM-H ACOD/2XRCA-M L=3M</t>
  </si>
  <si>
    <t>103-326-704</t>
  </si>
  <si>
    <t>VAN DAMME</t>
  </si>
  <si>
    <t>AC610000012</t>
  </si>
  <si>
    <t>3210104720700</t>
  </si>
  <si>
    <t>ETHERNET CABLE CAT 6 50M</t>
  </si>
  <si>
    <t>CBT-CAT6-50M</t>
  </si>
  <si>
    <t>CUBITEL</t>
  </si>
  <si>
    <t>1589991012301</t>
  </si>
  <si>
    <t xml:space="preserve">ANCLAJE 16MM HEX M5 1/4" P/13-55MM NE </t>
  </si>
  <si>
    <t>MAN035</t>
  </si>
  <si>
    <t>MANFROTO</t>
  </si>
  <si>
    <t>FOTO CASANOVA, S.L.</t>
  </si>
  <si>
    <t>1210300938000</t>
  </si>
  <si>
    <t>CNC HOUSING RECEPT 9H 3,68MM CRIMP NYLON</t>
  </si>
  <si>
    <t>03-06-1092</t>
  </si>
  <si>
    <t>MOLEX</t>
  </si>
  <si>
    <t>1219000490700</t>
  </si>
  <si>
    <t>CAJA PORTACONTACTOS 4H 1,57MM RECEP</t>
  </si>
  <si>
    <t>0050291758</t>
  </si>
  <si>
    <t>1214000600000</t>
  </si>
  <si>
    <t>CNC CIR PANEL 08-35 6P (H) AWG22 ROJO PL</t>
  </si>
  <si>
    <t>8STA6 08-35SN</t>
  </si>
  <si>
    <t>SOURIAU/FCI</t>
  </si>
  <si>
    <t>GIZA TECHNOLOGIES, INC</t>
  </si>
  <si>
    <t>1581200080000</t>
  </si>
  <si>
    <t>NIVELADOR PIES 30-80MM</t>
  </si>
  <si>
    <t>VX 5301.326</t>
  </si>
  <si>
    <t>1705502500200</t>
  </si>
  <si>
    <t>Panel ciego 5U Negro</t>
  </si>
  <si>
    <t>30118-952</t>
  </si>
  <si>
    <t>1130622471000</t>
  </si>
  <si>
    <t>RELE DPDT 12A MINI PLUG-IN 24VDC</t>
  </si>
  <si>
    <t>56.32.9.024.0040 (RS 154-526)</t>
  </si>
  <si>
    <t>1126690520000</t>
  </si>
  <si>
    <t>HEAD EMERG SWITCH YELLOW P/PULS D=22MM IP66</t>
  </si>
  <si>
    <t>ZB5AS55</t>
  </si>
  <si>
    <t>SCHNEIDER / RS</t>
  </si>
  <si>
    <t>1128991608201</t>
  </si>
  <si>
    <t>YELLOW MOMENTARY RECESSED 22MM</t>
  </si>
  <si>
    <t>ZB4BA56 (RS 746-8422)</t>
  </si>
  <si>
    <t>1229590140400</t>
  </si>
  <si>
    <t>WIRE CAT6A YELLOW FTP/STP 50 CM</t>
  </si>
  <si>
    <t>XS6W-6LSZH8SS50CM-Y</t>
  </si>
  <si>
    <t>1263011603300</t>
  </si>
  <si>
    <t>F.A. VE=90-264VAC VS=12VDC 6W CNC-P1J</t>
  </si>
  <si>
    <t>GS06E-3P1J</t>
  </si>
  <si>
    <t>MEAN WELL</t>
  </si>
  <si>
    <t>1130622470402</t>
  </si>
  <si>
    <t xml:space="preserve">56.34.9.024.0040 </t>
  </si>
  <si>
    <t>1128901240800</t>
  </si>
  <si>
    <t>CONTROL BOX 1 CUTOUT</t>
  </si>
  <si>
    <t>XALD01H7</t>
  </si>
  <si>
    <t>1128991608200</t>
  </si>
  <si>
    <t>RED MOMENTARY RECESSED 22MM</t>
  </si>
  <si>
    <t>ZB4BA46 (RS 746-8428)</t>
  </si>
  <si>
    <t>1263511000106</t>
  </si>
  <si>
    <t>POWER SUPPLY DIN 12VDC</t>
  </si>
  <si>
    <t>ALE1202</t>
  </si>
  <si>
    <t>1263011604400</t>
  </si>
  <si>
    <t>F.A. VE=90-264VAC VS=12VDC 18W 1.5A</t>
  </si>
  <si>
    <t>121-7147</t>
  </si>
  <si>
    <t>XP POWER</t>
  </si>
  <si>
    <t>1263011000903</t>
  </si>
  <si>
    <t>F.A. 85-264VAC/24VDC 630MA 15,2W DIN RAI</t>
  </si>
  <si>
    <t>HDR-15-24</t>
  </si>
  <si>
    <t>1390800921002</t>
  </si>
  <si>
    <t>DISCRETE OUT CARD</t>
  </si>
  <si>
    <t>M701</t>
  </si>
  <si>
    <t>1390800921000</t>
  </si>
  <si>
    <t>DISCRETE INPUT CARD</t>
  </si>
  <si>
    <t>M710</t>
  </si>
  <si>
    <t>1208000322100</t>
  </si>
  <si>
    <t>CNC ALIMENT 2P+T 16A/250VAC CBL LATERAL</t>
  </si>
  <si>
    <t>849-6115</t>
  </si>
  <si>
    <t>RS PRO</t>
  </si>
  <si>
    <t>1239990800000</t>
  </si>
  <si>
    <t>RAIL P/BORNEROS MODULARES 1M NSA937901</t>
  </si>
  <si>
    <t>NSA937901RA1000</t>
  </si>
  <si>
    <t>1800600900000</t>
  </si>
  <si>
    <t>Adhesivo</t>
  </si>
  <si>
    <t>524-6059</t>
  </si>
  <si>
    <t>Teroson</t>
  </si>
  <si>
    <t>1235026150804</t>
  </si>
  <si>
    <t>BANDEJA LISA 3MX100X500MM PVC GRIS</t>
  </si>
  <si>
    <t>66521</t>
  </si>
  <si>
    <t>(AEMSA)ALMACENES ELECTRICOS MADRILE</t>
  </si>
  <si>
    <t>0917447970000</t>
  </si>
  <si>
    <t>NPORT TO MASK CONTROLLERS BUNDLES  (1,5m)</t>
  </si>
  <si>
    <t>Auxitel</t>
  </si>
  <si>
    <t>0917447970400</t>
  </si>
  <si>
    <t xml:space="preserve">CBL PWR CONTROLADORA MASCARAS (1,5 m) </t>
  </si>
  <si>
    <t>1204800600000</t>
  </si>
  <si>
    <t>CNC CIR PANEL 08-35 6P (M) AWG22 ROJO</t>
  </si>
  <si>
    <t>8STA0 08-35PN</t>
  </si>
  <si>
    <t>1237000102900</t>
  </si>
  <si>
    <t>BORNERO 10P 2X12/8X20</t>
  </si>
  <si>
    <t>NSA 937 901 M 12 02</t>
  </si>
  <si>
    <t>1237090062101</t>
  </si>
  <si>
    <t>BORNA RAIL SIZE#22 DISENO#3 5A S/SELLAR</t>
  </si>
  <si>
    <t>8559N2202B</t>
  </si>
  <si>
    <t>1124510125300</t>
  </si>
  <si>
    <t>SWITCH MAGNETICO SPDT 28VDC 7A 200MA C/D</t>
  </si>
  <si>
    <t>9510-G111-P1F1-Z0R2A2-7A</t>
  </si>
  <si>
    <t>E.T.A.</t>
  </si>
  <si>
    <t>ELPO ELECTRIC, S.A.</t>
  </si>
  <si>
    <t>1124510125400</t>
  </si>
  <si>
    <t>SWITCH MAGNETICO SPDT 28VDC 7.5A 200MA C</t>
  </si>
  <si>
    <t>9510-G111-P1F1-Z0R2A2-7.5A</t>
  </si>
  <si>
    <t>1124510125200</t>
  </si>
  <si>
    <t>SWITCH MAGNETICO SPDT 28VDC 5A VERDE C/D</t>
  </si>
  <si>
    <t>9510-G111-P1F1-Z0R2A2-5A</t>
  </si>
  <si>
    <t>1124510126000</t>
  </si>
  <si>
    <t>SWITCH MAGNETICO SPDT 28VDC 50A 200MA C/</t>
  </si>
  <si>
    <t>9510-G111-P1F1-Z0R2A2-50A</t>
  </si>
  <si>
    <t>1124510126100</t>
  </si>
  <si>
    <t>SWITCH MAGNETICO SPDT 28VDC 3A 200MA C/D</t>
  </si>
  <si>
    <t>9510-G111-P1F1-Z0R2A2-3A</t>
  </si>
  <si>
    <t>1124510125900</t>
  </si>
  <si>
    <t>SWITCH MAGNETICO SPDT 28VDC 35A 200MA C/</t>
  </si>
  <si>
    <t>9510-G111-P1F1-Z0R2A2-35A</t>
  </si>
  <si>
    <t>1124510125700</t>
  </si>
  <si>
    <t>SWITCH MAGNETICO SPDT 28VDC 20A 200MA C/</t>
  </si>
  <si>
    <t>9510-G111-P1F1-Z0R2A2-20A</t>
  </si>
  <si>
    <t>1124510125000</t>
  </si>
  <si>
    <t>SWITCH MAGNETICO SPDT 28VDC 200MA C/FUS</t>
  </si>
  <si>
    <t>9510-G111-P1F1-Z0R2B2</t>
  </si>
  <si>
    <t>1124510125600</t>
  </si>
  <si>
    <t>SWITCH MAGNETICO SPDT 28VDC 15A 200MA C/</t>
  </si>
  <si>
    <t>9510-G111-P1F1-Z0R2A2-15A</t>
  </si>
  <si>
    <t>1124510125500</t>
  </si>
  <si>
    <t>SWITCH MAGNETICO SPDT 28VDC 10A 200MA C/</t>
  </si>
  <si>
    <t>9510-G111-P1F1-Z0R2A2-10A</t>
  </si>
  <si>
    <t>1214300420500</t>
  </si>
  <si>
    <t>Conector serie M12 recta montaje en panel 4 pines, hembra</t>
  </si>
  <si>
    <t>1838891-2</t>
  </si>
  <si>
    <t>1235026303200</t>
  </si>
  <si>
    <t>BANDEJA REJILLA 35X300MM GAL C8 REJIBAND</t>
  </si>
  <si>
    <t>1807300100000.VO</t>
  </si>
  <si>
    <t>Desengrasante</t>
  </si>
  <si>
    <t>Loctite sf 7063</t>
  </si>
  <si>
    <t>Loctite</t>
  </si>
  <si>
    <t>3210104722200</t>
  </si>
  <si>
    <t>ETHERNET CABLE CAT 6 15M</t>
  </si>
  <si>
    <t>CBT-CAT6-15</t>
  </si>
  <si>
    <t>1212090240000</t>
  </si>
  <si>
    <t>CONECTOR SUBD</t>
  </si>
  <si>
    <t>17RRD1F11400</t>
  </si>
  <si>
    <t>AMPHENOL</t>
  </si>
  <si>
    <t>1139990091100</t>
  </si>
  <si>
    <t>ZOCALO RELE CARRIL DIN P/RELE</t>
  </si>
  <si>
    <t>96.72</t>
  </si>
  <si>
    <t>1139990091300</t>
  </si>
  <si>
    <t>96.74</t>
  </si>
  <si>
    <t>1212001590501</t>
  </si>
  <si>
    <t>812-6368</t>
  </si>
  <si>
    <t>CNC SUB-D 15H S/PINES CRIMP ROHS</t>
  </si>
  <si>
    <t>177RRE15S</t>
  </si>
  <si>
    <t>1200391070100</t>
  </si>
  <si>
    <t>ACC PROTECTOR 5 BORN CNC BJT TYP2</t>
  </si>
  <si>
    <t>001129 205 39</t>
  </si>
  <si>
    <t>3210104720300</t>
  </si>
  <si>
    <t>ETHERNET CABLE CAT 6 10M</t>
  </si>
  <si>
    <t>CBT-CAT6-10</t>
  </si>
  <si>
    <t>1807990092800</t>
  </si>
  <si>
    <t>Cinta de velcro</t>
  </si>
  <si>
    <t>423-9476</t>
  </si>
  <si>
    <t>Velcro</t>
  </si>
  <si>
    <t>1750100820000</t>
  </si>
  <si>
    <t>Tubo flex poliuretano Dint=45MM E=1,8MM</t>
  </si>
  <si>
    <t>ESPIROFLEX</t>
  </si>
  <si>
    <t>1217000100002</t>
  </si>
  <si>
    <t>Conector RJ45 RS PRO</t>
  </si>
  <si>
    <t>175-0145</t>
  </si>
  <si>
    <t>1209090010320</t>
  </si>
  <si>
    <t>PUENTE REGLETA TERM 10P MS25226-2-10</t>
  </si>
  <si>
    <t>MS25226-2-10</t>
  </si>
  <si>
    <t>MILITARY STANDARDS</t>
  </si>
  <si>
    <t>1215500702900</t>
  </si>
  <si>
    <t>CNC TWINAX CABLE CRIMP JACK</t>
  </si>
  <si>
    <t>CJ70-29</t>
  </si>
  <si>
    <t>TROMPETER</t>
  </si>
  <si>
    <t>Termoretractil 19mm verde</t>
  </si>
  <si>
    <t>RS 364-1266</t>
  </si>
  <si>
    <t>para identificar cables de red largos</t>
  </si>
  <si>
    <t>Termoretractil 19mm rojo</t>
  </si>
  <si>
    <t>RS 700-4529</t>
  </si>
  <si>
    <t>RS 341-6010</t>
  </si>
  <si>
    <t>Termoretractil 19mm marron</t>
  </si>
  <si>
    <t>RS 487-4300</t>
  </si>
  <si>
    <t>Termoretractil 19mm gris</t>
  </si>
  <si>
    <t>RS 487-4401</t>
  </si>
  <si>
    <t>Termoretractil 19mm azul</t>
  </si>
  <si>
    <t>RS 341-6026</t>
  </si>
  <si>
    <t>Termoretractil 19mm amarillo</t>
  </si>
  <si>
    <t>RS 113-2439</t>
  </si>
  <si>
    <t>1220315404000</t>
  </si>
  <si>
    <t>Cable 5x4mm (LSZH)</t>
  </si>
  <si>
    <t xml:space="preserve">RZ1K (AS) 5X4MM2 RZ1-K 0,6/1KV </t>
  </si>
  <si>
    <t>LSZH ROHS</t>
  </si>
  <si>
    <t>1235026159804</t>
  </si>
  <si>
    <t>CUBIERTA 3MX100X500MM PVC GRIS P/BANDEJA</t>
  </si>
  <si>
    <t>66502</t>
  </si>
  <si>
    <t>3210104722600</t>
  </si>
  <si>
    <t>ETHERNET CABLE CAT 6 2M</t>
  </si>
  <si>
    <t>CBT-CAT6-2M</t>
  </si>
  <si>
    <t>1235026159809</t>
  </si>
  <si>
    <t>TAPA P/CURVA PLANA 90º 500MM U23X GRIS</t>
  </si>
  <si>
    <t>1220117041000</t>
  </si>
  <si>
    <t>CAB FLEX. LIBRE HALOGE 70</t>
  </si>
  <si>
    <t>RZ1K1X70
1657115NG
820401007009203</t>
  </si>
  <si>
    <t>1128990760000</t>
  </si>
  <si>
    <t>BODY FIXING COLLAR</t>
  </si>
  <si>
    <t>ZB5AZ009 (RS 609-3143)</t>
  </si>
  <si>
    <t>1229500280101</t>
  </si>
  <si>
    <t>Cable teléfono 6m</t>
  </si>
  <si>
    <t>11.04.1906-10</t>
  </si>
  <si>
    <t>1218000523200</t>
  </si>
  <si>
    <t>CNC RED AEREO 3P+N+T 32A 400V ROJO IP44</t>
  </si>
  <si>
    <t>PM32/2800FPB</t>
  </si>
  <si>
    <t>1218000523210</t>
  </si>
  <si>
    <t>CNC RED AEREA 5P H 400V 32A IP44 ROJO</t>
  </si>
  <si>
    <t>RS 236-0405</t>
  </si>
  <si>
    <t>1261121205001</t>
  </si>
  <si>
    <t>BATTERY 12VDC 12AH</t>
  </si>
  <si>
    <t>PS-1212</t>
  </si>
  <si>
    <t>3210300120200</t>
  </si>
  <si>
    <t xml:space="preserve">ALIMENTACIÓN TARJETA RELÉS F.A EQ INTER 36W 50/60HZ 12VDC 2A </t>
  </si>
  <si>
    <t>SW4047D</t>
  </si>
  <si>
    <t>POWERPAX</t>
  </si>
  <si>
    <t>3210104721600</t>
  </si>
  <si>
    <t>ETHERNET CABLE CAT 6 8M</t>
  </si>
  <si>
    <t>CBT-CAT6-8</t>
  </si>
  <si>
    <t>1231024740900</t>
  </si>
  <si>
    <t xml:space="preserve">TERMORRETRACTIL 5,72-1,27MM L=30MM </t>
  </si>
  <si>
    <t>1586690870000</t>
  </si>
  <si>
    <t>ABRAZADERA HI-TORQUE INOX DINT 50MM</t>
  </si>
  <si>
    <t>HTJ50P</t>
  </si>
  <si>
    <t>HI-TORQUE</t>
  </si>
  <si>
    <t>1220314254505</t>
  </si>
  <si>
    <t>Cable 5x2,5mm (LSZH)</t>
  </si>
  <si>
    <t>RZ1K (AS) 5X2,5MM2 RZ1-K 0,6/1KV 
RZ15025</t>
  </si>
  <si>
    <t>1238090100000</t>
  </si>
  <si>
    <t>TERMINAL CNC BJT M5</t>
  </si>
  <si>
    <t>001152 935 37</t>
  </si>
  <si>
    <t>1130622466200</t>
  </si>
  <si>
    <t>RELE DPDT  24VDC 10A LED/DIODO SUPR PLUG</t>
  </si>
  <si>
    <t>LY2N-D2 24VDC</t>
  </si>
  <si>
    <t>OMRON TATEISI</t>
  </si>
  <si>
    <t>AUTOMATISMOS SERVICIOS DISTRIBUCION</t>
  </si>
  <si>
    <t>1220115502001</t>
  </si>
  <si>
    <t>CBL FLEX 1X50MM2 NE H07Z1-K 750V CU Z1</t>
  </si>
  <si>
    <t>1220115356000</t>
  </si>
  <si>
    <t>CBL FLX 1X35MM2 H07Z1-K(AS) 750V POL A/V</t>
  </si>
  <si>
    <t>1220115045000</t>
  </si>
  <si>
    <t>CBL FLEX 1X50MM2 H07Z1-K 750V HFLS AZ RH</t>
  </si>
  <si>
    <t>RZ1K1X50AZ
1656114AZ
820501005008200</t>
  </si>
  <si>
    <t>1220115502002</t>
  </si>
  <si>
    <t>CBL FLEX 1X50MM2 AV H07Z1-K 750V CU Z1</t>
  </si>
  <si>
    <t>RZ1K1X50AV
INPLASNU H07Z1-K/1X50MM2 AM/VE</t>
  </si>
  <si>
    <t>1235090006001</t>
  </si>
  <si>
    <t>TAPA P/CURVA PLANA 90º 150MM U23X GRIS</t>
  </si>
  <si>
    <t>1229513250800</t>
  </si>
  <si>
    <t>Cable sensor ultrasonidos 5m</t>
  </si>
  <si>
    <t>V31-GM-5M-PVC</t>
  </si>
  <si>
    <t>949901050-05</t>
  </si>
  <si>
    <t>Terminal Board</t>
  </si>
  <si>
    <t>MS27212-1-5</t>
  </si>
  <si>
    <t>BERG ELECTRONICS</t>
  </si>
  <si>
    <t>1208000381700</t>
  </si>
  <si>
    <t>Conector IEC, C14, macho, con interruptor</t>
  </si>
  <si>
    <t>DC11.0001.001</t>
  </si>
  <si>
    <t>SCHURTER</t>
  </si>
  <si>
    <t>1220314404100</t>
  </si>
  <si>
    <t xml:space="preserve">Cable 3x4mm (LSZH) </t>
  </si>
  <si>
    <t>RZ1K (AS) 06/1KV 3X4MM2 VER</t>
  </si>
  <si>
    <t>1124520224100</t>
  </si>
  <si>
    <t>CNM SEG MAG NC+NO 24VDC 100MA C/CBL-5M</t>
  </si>
  <si>
    <t>XCSDMP5915</t>
  </si>
  <si>
    <t>1218000520700</t>
  </si>
  <si>
    <t>CNC RED 5P (H) 400V AEREO 16A IP67</t>
  </si>
  <si>
    <t>RS 492-6035</t>
  </si>
  <si>
    <t>1124110210004</t>
  </si>
  <si>
    <t>switch palanca INTLCK</t>
  </si>
  <si>
    <t>159-4433</t>
  </si>
  <si>
    <t>1283500040000</t>
  </si>
  <si>
    <t>switch door aftercabin (switch, 0.5A, 200V)</t>
  </si>
  <si>
    <t>361-4911</t>
  </si>
  <si>
    <t>1283500040100</t>
  </si>
  <si>
    <t>switch door aftercabin (Iman)</t>
  </si>
  <si>
    <t>361-4927</t>
  </si>
  <si>
    <t>1229500280000</t>
  </si>
  <si>
    <t>Cable teléfono 3m</t>
  </si>
  <si>
    <t>446-664</t>
  </si>
  <si>
    <t>1208000521604</t>
  </si>
  <si>
    <t>CNC RED CLAVIJA 3P+N+T/M PLUG AER 400V 5</t>
  </si>
  <si>
    <t>0124880013500</t>
  </si>
  <si>
    <t>VARILLA ROSCADA M6X40MM</t>
  </si>
  <si>
    <t>INDRA</t>
  </si>
  <si>
    <t>1237090072100</t>
  </si>
  <si>
    <t>BORNA RAIL SIZE20 7,5A 8559N2002B S/SELL</t>
  </si>
  <si>
    <t>8559N2002B</t>
  </si>
  <si>
    <t>SOURIAU</t>
  </si>
  <si>
    <t>1229500260611</t>
  </si>
  <si>
    <t>Cable Cat6a RS PRO Azul S/FTP</t>
  </si>
  <si>
    <t>778-5149</t>
  </si>
  <si>
    <t>1520520120012</t>
  </si>
  <si>
    <t>VARILLA ROSCADA M12X120MM</t>
  </si>
  <si>
    <t>DIN913-M12X120</t>
  </si>
  <si>
    <t>DIN</t>
  </si>
  <si>
    <t>1130622410200</t>
  </si>
  <si>
    <t>Rele sin enclavamiento</t>
  </si>
  <si>
    <t>1589991012400</t>
  </si>
  <si>
    <t>PASADOR CORTO REV M/M 3/8"-1/4" BRONCE</t>
  </si>
  <si>
    <t>MAN037</t>
  </si>
  <si>
    <t>1220115163700</t>
  </si>
  <si>
    <t>CBL FLX 1X16MM2 450/750V H07Z1-K AS VEAM</t>
  </si>
  <si>
    <t>151V016.R100</t>
  </si>
  <si>
    <t>ARANDELA PLANA DIN 125 M20</t>
  </si>
  <si>
    <t>1204800300000</t>
  </si>
  <si>
    <t>CNC RECT AEREO 2P+E (M) 32A 230V IP44 AZ</t>
  </si>
  <si>
    <t>464-6228</t>
  </si>
  <si>
    <t>1237090062100</t>
  </si>
  <si>
    <t>BORNA RAIL SIZE22 5A 8559N2203B S/SELLAR</t>
  </si>
  <si>
    <t>8559N2203B</t>
  </si>
  <si>
    <t>1200394000101</t>
  </si>
  <si>
    <t>TOPE RETENC IZQUIERDO CNC MOD HL103/104</t>
  </si>
  <si>
    <t>001102 007 60</t>
  </si>
  <si>
    <t>1200394000102</t>
  </si>
  <si>
    <t>TOPE RETENC DERECHO CNC MOD HL103/104</t>
  </si>
  <si>
    <t>001102 004 60</t>
  </si>
  <si>
    <t>1220314254508</t>
  </si>
  <si>
    <t xml:space="preserve">Cable 3x2,5mm (LSZH) </t>
  </si>
  <si>
    <t>RZ1K (AS) 06/1KV 3X2,5MM2 VER</t>
  </si>
  <si>
    <t>1220115100000</t>
  </si>
  <si>
    <t>CBL FLX 1X10MM2 H07Z1-K AST2 750V POL AV</t>
  </si>
  <si>
    <t>1656110AVP
20302835</t>
  </si>
  <si>
    <t>1209994085220</t>
  </si>
  <si>
    <t>ACC CNC CIR #8 .500-20UNF STRN RELIEF NI</t>
  </si>
  <si>
    <t>M85049/52-1-8N</t>
  </si>
  <si>
    <t>AC610000011</t>
  </si>
  <si>
    <t>1221200243200.LO</t>
  </si>
  <si>
    <t>DATA BUS CABLE 24AWG 125OHM CAP MAX 12 P</t>
  </si>
  <si>
    <t>ELECTRONIC CBL SPEC</t>
  </si>
  <si>
    <t>1218000325100</t>
  </si>
  <si>
    <t>CNC RED 2P+T H 230V 32A JACK IP44 ROJO</t>
  </si>
  <si>
    <t>522</t>
  </si>
  <si>
    <t>MENNEKES ELECT.</t>
  </si>
  <si>
    <t>DISCOEL, S.L.</t>
  </si>
  <si>
    <t>1204800305000</t>
  </si>
  <si>
    <t>CNC UNION 3P AER CBL 6-8MM IP68 NEGRA</t>
  </si>
  <si>
    <t>PX0777</t>
  </si>
  <si>
    <t>BULGIN</t>
  </si>
  <si>
    <t>1208000320301</t>
  </si>
  <si>
    <t>CNC RED 3P/M AER IEC320 10A 250VAC NYLON</t>
  </si>
  <si>
    <t>PX0686</t>
  </si>
  <si>
    <t>1204300420400</t>
  </si>
  <si>
    <t>Conector circular serie T411 Recta Montaje Aéreo</t>
  </si>
  <si>
    <t>T4111002041-000</t>
  </si>
  <si>
    <t>1200394000106</t>
  </si>
  <si>
    <t>RAIL CONEXION 5 AGUJEROS D=5</t>
  </si>
  <si>
    <t>024055 005 04</t>
  </si>
  <si>
    <t>1229591010007</t>
  </si>
  <si>
    <t>CBL EQ ALIM C13-IEC/CNC-B  250V NG L=5M</t>
  </si>
  <si>
    <t>901-0753</t>
  </si>
  <si>
    <t>1208000300300</t>
  </si>
  <si>
    <t>CNC RECT IEC C20 3P (M) 16A 250V</t>
  </si>
  <si>
    <t>776-9125</t>
  </si>
  <si>
    <t>1220114602013</t>
  </si>
  <si>
    <t>Cable H07V-K V/A 6 mm² Filamentos del Núcleo 75/0.3 mm</t>
  </si>
  <si>
    <t>902-8451</t>
  </si>
  <si>
    <t>1200394000103</t>
  </si>
  <si>
    <t>SEPARADOR MTJE MODULO BJT PTFE</t>
  </si>
  <si>
    <t>001126 000 39</t>
  </si>
  <si>
    <t>1235090006000</t>
  </si>
  <si>
    <t>BANDEJA AISL CURVA 60X150MM U23X PA66 GR</t>
  </si>
  <si>
    <t>ARANDELA DIN 127 M24</t>
  </si>
  <si>
    <t>1200394000104</t>
  </si>
  <si>
    <t>SEPARADOR SH MTJE MODULO BJT PTFE</t>
  </si>
  <si>
    <t>001123 000 39</t>
  </si>
  <si>
    <t>1233590160200</t>
  </si>
  <si>
    <t>Clamp Module</t>
  </si>
  <si>
    <t>8559S</t>
  </si>
  <si>
    <t>1202107830000</t>
  </si>
  <si>
    <t>CNC SUB-D AD 78P M CRIMP RECT</t>
  </si>
  <si>
    <t>CT50-78P7</t>
  </si>
  <si>
    <t>FCT ELECTRONIC</t>
  </si>
  <si>
    <t>1212107830000</t>
  </si>
  <si>
    <t>CT50-78S7</t>
  </si>
  <si>
    <t>1220314154502</t>
  </si>
  <si>
    <t xml:space="preserve">Cable 3x1,5mm (LSZH) </t>
  </si>
  <si>
    <t>RZ1K (AS) 06/1KV 3X1,5MM2 VER</t>
  </si>
  <si>
    <t>1263516109007</t>
  </si>
  <si>
    <t>link serie fuentes</t>
  </si>
  <si>
    <t>XS1</t>
  </si>
  <si>
    <t>1263516109006</t>
  </si>
  <si>
    <t>link paralelo fuentes</t>
  </si>
  <si>
    <t>XP1</t>
  </si>
  <si>
    <t>3210512000200</t>
  </si>
  <si>
    <t>ADAPT USB-C/DISPLAYPORT 4K 60HZ CBL=14CM</t>
  </si>
  <si>
    <t>CDP2DP</t>
  </si>
  <si>
    <t>STARTECH.COM LTD</t>
  </si>
  <si>
    <t>1217000831000</t>
  </si>
  <si>
    <t>COUPLER RJ45 SHIELDED 2 PORTS</t>
  </si>
  <si>
    <t>186-3111</t>
  </si>
  <si>
    <t>1220114402004</t>
  </si>
  <si>
    <t>Cable H07V-K V/A 4 mm² Filamentos del Núcleo 50/0,3 mm Verde/Amarillo, 750 V</t>
  </si>
  <si>
    <t>902-8432</t>
  </si>
  <si>
    <t>1237525872000</t>
  </si>
  <si>
    <t>BASE PUSH BUTTON</t>
  </si>
  <si>
    <t>PS031W</t>
  </si>
  <si>
    <t>1706090904000</t>
  </si>
  <si>
    <t>CARRIL DIN PERFORADO DE ACERO  755X35X7.5MM</t>
  </si>
  <si>
    <t>1235025400802</t>
  </si>
  <si>
    <t>CANALETA 40X40MM PVC GRIS RAL7035 U43X</t>
  </si>
  <si>
    <t>40.40.88</t>
  </si>
  <si>
    <t>1235025400900</t>
  </si>
  <si>
    <t>CANALETA 40X40MM L=3M (48M) PVC M1 BLANC</t>
  </si>
  <si>
    <t>1218000325200</t>
  </si>
  <si>
    <t>CNC RED 2P+T H 230V 16A JACK IP44 ROJO</t>
  </si>
  <si>
    <t>510</t>
  </si>
  <si>
    <t>1202091000002</t>
  </si>
  <si>
    <t>CARCASA P/CNC SUB-D #15 METALICA ROHS</t>
  </si>
  <si>
    <t>8655MH1502BKLF</t>
  </si>
  <si>
    <t>1128990390300</t>
  </si>
  <si>
    <t>ANILLO BLOQUEO OFF ROJO</t>
  </si>
  <si>
    <t>Y 307 005 01</t>
  </si>
  <si>
    <t>1235026159808</t>
  </si>
  <si>
    <t>CURVA PLANA 90º 100X500MM U23X GRIS</t>
  </si>
  <si>
    <t>1237790900000</t>
  </si>
  <si>
    <t>TERMINAL RED DESNUDO M8 70MM2 D8MM</t>
  </si>
  <si>
    <t>A14-M8</t>
  </si>
  <si>
    <t>1238015500102</t>
  </si>
  <si>
    <t>TERMINAL RED DESNUDO M8 50MM2 D8MM</t>
  </si>
  <si>
    <t>710025-5</t>
  </si>
  <si>
    <t>1238514250605</t>
  </si>
  <si>
    <t>TERMINAL M6 2.5MM2</t>
  </si>
  <si>
    <t>267-3739</t>
  </si>
  <si>
    <t>1238514260603</t>
  </si>
  <si>
    <t>TERM PREAISL REDONDO 1-2,6MM2 M5 AZ NYLO</t>
  </si>
  <si>
    <t>1238015250500</t>
  </si>
  <si>
    <t>TERM DESN RED M8 25MM2 L=32.2MM CU/SN</t>
  </si>
  <si>
    <t>1219000390300</t>
  </si>
  <si>
    <t>Conector receptor 3 vias</t>
  </si>
  <si>
    <t>39-01-4031 (679-5842)</t>
  </si>
  <si>
    <t>1209000390300</t>
  </si>
  <si>
    <t>Conector plug 3 vias</t>
  </si>
  <si>
    <t>39-01-4033 (670-4587)</t>
  </si>
  <si>
    <t>1229590001001</t>
  </si>
  <si>
    <t>CBL EQ ALIM C13-IEC/CNC-B  250V NG L=2M</t>
  </si>
  <si>
    <t>731-6153</t>
  </si>
  <si>
    <t>Cable Alimentacion C13/C14 2 m</t>
  </si>
  <si>
    <t>RS 487-277A</t>
  </si>
  <si>
    <t>1218000640300</t>
  </si>
  <si>
    <t>Conector receptor 6 vias</t>
  </si>
  <si>
    <t>43025-0600
(RS 233-2769)</t>
  </si>
  <si>
    <t>1208000640100</t>
  </si>
  <si>
    <t>Conector macho 6 vias</t>
  </si>
  <si>
    <t>43020-0600
(RS 233-2826)</t>
  </si>
  <si>
    <t>CARCASA CONECTOR MOLEX HEMBRA 2.54MM 4 vias</t>
  </si>
  <si>
    <t>50-57-9204
(670-3887)</t>
  </si>
  <si>
    <t>1219000431000</t>
  </si>
  <si>
    <t>50-57-9404
(678-3161)</t>
  </si>
  <si>
    <t>1219000691400</t>
  </si>
  <si>
    <t>CAJA PORTACONTACTOS 6H RECT 2,54MM P/POS</t>
  </si>
  <si>
    <t>CO 3406</t>
  </si>
  <si>
    <t>ARISTON</t>
  </si>
  <si>
    <t>1219000292300</t>
  </si>
  <si>
    <t>CAJA PORTACONTACTOS 10P (H) PASO 3,96MM</t>
  </si>
  <si>
    <t>1509016016091</t>
  </si>
  <si>
    <t>1509016016091.UN</t>
  </si>
  <si>
    <t>287-9770</t>
  </si>
  <si>
    <t>M6x16 DIN7985 SCREW</t>
  </si>
  <si>
    <t>21100-021</t>
  </si>
  <si>
    <t>nVent SCHROFF</t>
  </si>
  <si>
    <t>1238015350100</t>
  </si>
  <si>
    <t>TERMINAL RED DESNUDO M8 35MM2 D8MM</t>
  </si>
  <si>
    <t>531-885</t>
  </si>
  <si>
    <t>1237790902100</t>
  </si>
  <si>
    <t>TERMINAL RED DESNUDO M8 70MM2 D10MM</t>
  </si>
  <si>
    <t>A14-M10</t>
  </si>
  <si>
    <t>1853200020000</t>
  </si>
  <si>
    <t>INSERTADOR/EXTRACTOR M81969/1-01</t>
  </si>
  <si>
    <t>M81969/1-01</t>
  </si>
  <si>
    <t>1212090200020</t>
  </si>
  <si>
    <t>CONTACT AWG 20 (SUBD</t>
  </si>
  <si>
    <t xml:space="preserve">M39029/63-368 </t>
  </si>
  <si>
    <t>1208000323400</t>
  </si>
  <si>
    <t>CNC RED 2P+T M 230V 60HZ 16A PLUG IP44</t>
  </si>
  <si>
    <t>248</t>
  </si>
  <si>
    <t>1221300222000.LO</t>
  </si>
  <si>
    <t>CBL APAN 3XAWG22 APANT RO/AM/AZ</t>
  </si>
  <si>
    <t>44A1131-22-2/4/6-9</t>
  </si>
  <si>
    <t>RAYCHEM</t>
  </si>
  <si>
    <t>1220100163401.LO</t>
  </si>
  <si>
    <t>Cable AWG16 v/a</t>
  </si>
  <si>
    <t xml:space="preserve">44A0111-16-5/4 </t>
  </si>
  <si>
    <t>1208000325700</t>
  </si>
  <si>
    <t>Conector IEC C14 macho RS PRO, , Montaje de Cable, 250 V, 10A</t>
  </si>
  <si>
    <t>776-9113</t>
  </si>
  <si>
    <t>1220114253000</t>
  </si>
  <si>
    <t>CBL FLEX 1X2,5 MM2 PVC 750V NE H07VK</t>
  </si>
  <si>
    <t>H07V-K/1X2,5MM2 NE</t>
  </si>
  <si>
    <t>1220114253800</t>
  </si>
  <si>
    <t>CBL FLEX 1X2,5 MM2 PVC 750V GR H07VK</t>
  </si>
  <si>
    <t>H07V-K/1X2,5MM2 GR</t>
  </si>
  <si>
    <t>1220114252000</t>
  </si>
  <si>
    <t>CBL FLEX 1X2,5 MM2 PVC 750V AV H07VK</t>
  </si>
  <si>
    <t>H07V-K/1X2,5MM2 A/V</t>
  </si>
  <si>
    <t>1128900670000</t>
  </si>
  <si>
    <t>CUERPO DE FIJACION ZB4-BZ009</t>
  </si>
  <si>
    <t>ZB4-BZ009</t>
  </si>
  <si>
    <t>0972888300200</t>
  </si>
  <si>
    <t>RELAY SUPPORT PLATE</t>
  </si>
  <si>
    <t>OP INDRA</t>
  </si>
  <si>
    <t>1285000449000</t>
  </si>
  <si>
    <t>BASE DETECTOR</t>
  </si>
  <si>
    <t>B501AP</t>
  </si>
  <si>
    <t>1218000346400</t>
  </si>
  <si>
    <t>242-5811</t>
  </si>
  <si>
    <t>CNC RED SCHUKO 2P+E/H 250V 16A NE ELAMID</t>
  </si>
  <si>
    <t>ABL SURSUM</t>
  </si>
  <si>
    <t>1218000324400</t>
  </si>
  <si>
    <t>CNC IEC C13 3P/H+T 250V LSZH C/BLOQUEO</t>
  </si>
  <si>
    <t>PA130100BK</t>
  </si>
  <si>
    <t>IEC LOCK</t>
  </si>
  <si>
    <t>1229593780102</t>
  </si>
  <si>
    <t>CBL EQ USB2.0 A-M/B-M 480MBPS NEGRO L=1M</t>
  </si>
  <si>
    <t>KNC60100E30</t>
  </si>
  <si>
    <t>1238514350100</t>
  </si>
  <si>
    <t>PUNTERA 35 MM2</t>
  </si>
  <si>
    <t>PKC 35016</t>
  </si>
  <si>
    <t>1229500280015</t>
  </si>
  <si>
    <t>CBL EQ CEE7/7 ACOD-M/IECC13 RECT-H L=2M</t>
  </si>
  <si>
    <t>PXT101EUR</t>
  </si>
  <si>
    <t>MECÁNICA</t>
  </si>
  <si>
    <t>1510436013001</t>
  </si>
  <si>
    <t>TOR ALO CRUZ 0,164-32UNC2-AX0.500 CRES P</t>
  </si>
  <si>
    <t>1853200020100</t>
  </si>
  <si>
    <t>INSERTADOR/EXTRACTOR M81969/1-02</t>
  </si>
  <si>
    <t>M81969/1-02</t>
  </si>
  <si>
    <t>1239024369000</t>
  </si>
  <si>
    <t>MANG AUTOSOLD DI=3.68MM L=18.25MM PVDF ROSH</t>
  </si>
  <si>
    <t>SO96-2-00</t>
  </si>
  <si>
    <t>1237090959001</t>
  </si>
  <si>
    <t>BORNA BLOQUE MOTAJE CARRIL DIN</t>
  </si>
  <si>
    <t>2002-1401 (RS 758-1682)</t>
  </si>
  <si>
    <t>RS / GIZA TECHNOLOGIES, INC</t>
  </si>
  <si>
    <t>1016072008902</t>
  </si>
  <si>
    <t>Condensador, PP Metalizado, Cilíndrico, 2 µF, ± 10%</t>
  </si>
  <si>
    <t>MR/P/440/2/B</t>
  </si>
  <si>
    <t>1230125600000</t>
  </si>
  <si>
    <t>TUBO CORRUGADO POLIET.DOBLE PARED 160MM</t>
  </si>
  <si>
    <t>DECAPLAST-N 160R</t>
  </si>
  <si>
    <t>1200390091200</t>
  </si>
  <si>
    <t>PIN CNC MOD #12 CRIMP AWG12-14 HL103</t>
  </si>
  <si>
    <t>001104 400 02</t>
  </si>
  <si>
    <t>1221200242223</t>
  </si>
  <si>
    <t>CBL APANT 2XAWG24 PVDF 600V NE/BL-BL</t>
  </si>
  <si>
    <t>44A0121-24-9/0-9</t>
  </si>
  <si>
    <t>1587080100800</t>
  </si>
  <si>
    <t>ETIQUETA AUTOADHESIVA DE VINILO TRANSPAR</t>
  </si>
  <si>
    <t>PTL-33-427</t>
  </si>
  <si>
    <t>BRADY</t>
  </si>
  <si>
    <t>DILLERS, S.A. / RS</t>
  </si>
  <si>
    <t>AJUSTAR CANTIDADES SEGÚN CANTIDAD UNITARIA</t>
  </si>
  <si>
    <t>1549090009090</t>
  </si>
  <si>
    <t>1549090009090.UN</t>
  </si>
  <si>
    <t>286-5387</t>
  </si>
  <si>
    <t>M6 BLACK PLASTIC WASHER</t>
  </si>
  <si>
    <t>21100-015</t>
  </si>
  <si>
    <t>1539090003090</t>
  </si>
  <si>
    <t>245-7843</t>
  </si>
  <si>
    <t>CAGE NUT M6</t>
  </si>
  <si>
    <t>21100-003</t>
  </si>
  <si>
    <t>1221900222900</t>
  </si>
  <si>
    <t>CBL APANT 5XAWG22</t>
  </si>
  <si>
    <t>44A1151-22-0/1/2/3/4-9</t>
  </si>
  <si>
    <t>1220114152003</t>
  </si>
  <si>
    <t>WIRE 1.5mm2 NEGRO</t>
  </si>
  <si>
    <t>1100G0111-1.50-0</t>
  </si>
  <si>
    <t>1220114152601</t>
  </si>
  <si>
    <t>WIRE 1.5mm2 AZUL</t>
  </si>
  <si>
    <t>1100G0111-1.50-6</t>
  </si>
  <si>
    <t>1220114153600</t>
  </si>
  <si>
    <t>H07V-K/1X1,5MM2 AZ</t>
  </si>
  <si>
    <t>1220114253600</t>
  </si>
  <si>
    <t>pedido desbloqueo ROD</t>
  </si>
  <si>
    <t>CBL FLEX 1X2,5MM2 PVC 450/750V H07V-K AZ</t>
  </si>
  <si>
    <t>H07V-K/1X2,5MM2 AZ</t>
  </si>
  <si>
    <t>1220114253100</t>
  </si>
  <si>
    <t>CBL FLEX 1X2,5 MM2 PVC 750V MA H07VK</t>
  </si>
  <si>
    <t>H07V-K/1X2,5MM2 MA</t>
  </si>
  <si>
    <t>1220114153000</t>
  </si>
  <si>
    <t>CBL FLEX 1X1,5 MM2 PVC 750V NE H07VK</t>
  </si>
  <si>
    <t>H07V-K/1X1,5MM2 NE</t>
  </si>
  <si>
    <t>1220114153100</t>
  </si>
  <si>
    <t>CBL FLEX 1X1,5 MM2 PVC 750V MA H07VK</t>
  </si>
  <si>
    <t>H07V-K/1X1,5MM2 MA</t>
  </si>
  <si>
    <t>RALOCAR</t>
  </si>
  <si>
    <t>1220114153800</t>
  </si>
  <si>
    <t>CBL FLEX 1X1,5 MM2 PVC 750V GR H07VK</t>
  </si>
  <si>
    <t>H07V-K/1X1,5MM2 GR</t>
  </si>
  <si>
    <t>1220114152000</t>
  </si>
  <si>
    <t>CBL FLEX 1X1,5 MM2 PVC 750V AV H07VK</t>
  </si>
  <si>
    <t>H07V-K/1X1,5MM2 AV</t>
  </si>
  <si>
    <t>1222291900200</t>
  </si>
  <si>
    <t>CBL 2X1,50MM TRENZADO 500V ROJO/NEGRO</t>
  </si>
  <si>
    <t>GESFIRE RF 90 AS+</t>
  </si>
  <si>
    <t>CESCABLE</t>
  </si>
  <si>
    <t>0972880000000</t>
  </si>
  <si>
    <t>IDENTIFICATION LABEL</t>
  </si>
  <si>
    <t>964506035</t>
  </si>
  <si>
    <t>ARA DENT INT N.6 INOX MS35333-71</t>
  </si>
  <si>
    <t>MS35333-71</t>
  </si>
  <si>
    <t>TRANSPORT DELAY</t>
  </si>
  <si>
    <t>1209503600000</t>
  </si>
  <si>
    <t>TIRA 36P DORA.75160-802-36  PCI L=3.43MM</t>
  </si>
  <si>
    <t>1060900040000</t>
  </si>
  <si>
    <t>PORTALED T1 3/4  D=9,5MM P/LED 5MM PANEL</t>
  </si>
  <si>
    <t>1232024325900</t>
  </si>
  <si>
    <t>MANG IDENTI TERM 1/8" 3:1 POLYOLE BLAN R</t>
  </si>
  <si>
    <t>TMS-SCE-1/8-2.0-9</t>
  </si>
  <si>
    <t>falta</t>
  </si>
  <si>
    <t>1229590956500</t>
  </si>
  <si>
    <t>CBL EQ ETH RJ45/M-M UTP LSZH VERD L300MM</t>
  </si>
  <si>
    <t>21.15.3931-100</t>
  </si>
  <si>
    <t>ROLINE</t>
  </si>
  <si>
    <t>1219001090100</t>
  </si>
  <si>
    <t>CAJA PORTACONTACTOS 10/H CRIMP SERIE SL</t>
  </si>
  <si>
    <t>50-57-9410</t>
  </si>
  <si>
    <t>G1824224106P2</t>
  </si>
  <si>
    <t>CLAVIJA DE ENCHUFE AEREA SOCKET AMERICAN</t>
  </si>
  <si>
    <t>488-208</t>
  </si>
  <si>
    <t>RS-AMIDATA</t>
  </si>
  <si>
    <t>1221400222402.LO</t>
  </si>
  <si>
    <t>CBL APANT 4XAWG22</t>
  </si>
  <si>
    <t>44A1141-22-0/2/5/9-9</t>
  </si>
  <si>
    <t>1221400222940</t>
  </si>
  <si>
    <t>956001033</t>
  </si>
  <si>
    <t>MAC TERMO 1/8" M23053/5-104-0</t>
  </si>
  <si>
    <t>OTROS FABRICANTES</t>
  </si>
  <si>
    <t>1128990401500</t>
  </si>
  <si>
    <t>current label 7,5 A</t>
  </si>
  <si>
    <t>X 222 175 09</t>
  </si>
  <si>
    <t>1128990400100</t>
  </si>
  <si>
    <t>current label 50 A</t>
  </si>
  <si>
    <t>X 222 175 19</t>
  </si>
  <si>
    <t>1128990400900</t>
  </si>
  <si>
    <t>current label 5 A</t>
  </si>
  <si>
    <t>X 222 175 08</t>
  </si>
  <si>
    <t>1128990400800</t>
  </si>
  <si>
    <t>current label 3 A</t>
  </si>
  <si>
    <t>X 222 175 07</t>
  </si>
  <si>
    <t>1128990401100</t>
  </si>
  <si>
    <t>current label 25 A</t>
  </si>
  <si>
    <t>X 222 175 14</t>
  </si>
  <si>
    <t>1128990400300</t>
  </si>
  <si>
    <t>current label 20 A</t>
  </si>
  <si>
    <t>X 222 175 13</t>
  </si>
  <si>
    <t>1128990400200</t>
  </si>
  <si>
    <t>current label 15 A</t>
  </si>
  <si>
    <t>X 222 175 12</t>
  </si>
  <si>
    <t>1128990400400</t>
  </si>
  <si>
    <t>current label 10 A</t>
  </si>
  <si>
    <t>X 222 175 11</t>
  </si>
  <si>
    <t>1221200202900</t>
  </si>
  <si>
    <t>CBL APANT 2XAWG20 PVDF 600V BL/NE-BL</t>
  </si>
  <si>
    <t>44A1121-20-9/0-9</t>
  </si>
  <si>
    <t>1139900463000</t>
  </si>
  <si>
    <t>ZOCALO RELE SPDT/DPDT S/CBL LY</t>
  </si>
  <si>
    <t>PT08</t>
  </si>
  <si>
    <t>1237000289001</t>
  </si>
  <si>
    <t>Borne terminal pasante 4 vías</t>
  </si>
  <si>
    <t>1208000381500</t>
  </si>
  <si>
    <t>Conector IEC, C14, macho</t>
  </si>
  <si>
    <t>539-2039</t>
  </si>
  <si>
    <t>1221200222900</t>
  </si>
  <si>
    <t>CBL APANT 2XAWG22 CU-SN BL-NE 600V BL</t>
  </si>
  <si>
    <t>44A1121-22-9/0-9</t>
  </si>
  <si>
    <t>1202091050300</t>
  </si>
  <si>
    <t>CAPERUZA P/SUB-D 9 C/TOR UNC 4-40 POLIAM</t>
  </si>
  <si>
    <t>DPPK09-SLIM</t>
  </si>
  <si>
    <t>AMPHENOL CORP</t>
  </si>
  <si>
    <t>1208000324100</t>
  </si>
  <si>
    <t>CNC CLAVIJA 2P+T/M ACOD 250VAC 16A BLANC</t>
  </si>
  <si>
    <t>SOLERA</t>
  </si>
  <si>
    <t>1220100222002.LO</t>
  </si>
  <si>
    <t>Cable AWG22 v/a</t>
  </si>
  <si>
    <t xml:space="preserve">44A0111-22-5/4 </t>
  </si>
  <si>
    <t>G03RA0025CTL0</t>
  </si>
  <si>
    <t>1230525310000.LO</t>
  </si>
  <si>
    <t>FUNDA DE CABLES ALPHA GRP-110-3/4 D=12.7</t>
  </si>
  <si>
    <t>GRP-110-3/4</t>
  </si>
  <si>
    <t>ALPHA WIRE</t>
  </si>
  <si>
    <t>1230524620000</t>
  </si>
  <si>
    <t>Funda 1/4  (FINA)</t>
  </si>
  <si>
    <t>GPR-110-1/4</t>
  </si>
  <si>
    <t>1222200202210</t>
  </si>
  <si>
    <t>Cable trenzado 2x AWG20BL-NG</t>
  </si>
  <si>
    <t>44A0121-20-0/9</t>
  </si>
  <si>
    <t>1222200202211
'1229991079506</t>
  </si>
  <si>
    <t>ALT 1229991079506</t>
  </si>
  <si>
    <t>Cable trenzado 2x AWG20 RO-NG</t>
  </si>
  <si>
    <t>44A0121-20-0/2</t>
  </si>
  <si>
    <t>1221100182500</t>
  </si>
  <si>
    <t>Cable AWG18 ve</t>
  </si>
  <si>
    <t xml:space="preserve">44A0111-18-5/4 </t>
  </si>
  <si>
    <t>1221100182200</t>
  </si>
  <si>
    <t>Cable AWG18 rojo</t>
  </si>
  <si>
    <t>44A0111-18-2</t>
  </si>
  <si>
    <t>1231024160020</t>
  </si>
  <si>
    <t>TUBO TERMO 1/16" NEGRO POLIOLEFINA</t>
  </si>
  <si>
    <t>FIT221 1/16" BLACK</t>
  </si>
  <si>
    <t>1238500100409</t>
  </si>
  <si>
    <t>TERMINAL M6 4-6MM2 D6MM</t>
  </si>
  <si>
    <t>267-6441</t>
  </si>
  <si>
    <t>TERMINAL M6 2.5MM2 D5MM</t>
  </si>
  <si>
    <t>1207000640100</t>
  </si>
  <si>
    <t>Conector RJ11</t>
  </si>
  <si>
    <t>331-6342</t>
  </si>
  <si>
    <t>TERMINAL RED M6 10MM2 D6MM</t>
  </si>
  <si>
    <t>809-2274</t>
  </si>
  <si>
    <t>1237790902000</t>
  </si>
  <si>
    <t>PUNTERA S/AISL D=11.5X55MM 70MM2 CRIMP</t>
  </si>
  <si>
    <t>A14-P30</t>
  </si>
  <si>
    <t>1238025102000</t>
  </si>
  <si>
    <t>PUNTERA S/AISL D=10X45MM 50MM2 CRIMP</t>
  </si>
  <si>
    <t>A10-P25</t>
  </si>
  <si>
    <t>1238000070300</t>
  </si>
  <si>
    <t>710031-4</t>
  </si>
  <si>
    <t>1202091379000</t>
  </si>
  <si>
    <t>CAPERUZA P/SUB-D 37 PLASTICO</t>
  </si>
  <si>
    <t>949170063</t>
  </si>
  <si>
    <t>INDRA SIST.ARANJUEZ</t>
  </si>
  <si>
    <t>1002531203209</t>
  </si>
  <si>
    <t>120 ohm</t>
  </si>
  <si>
    <t>1000242711000</t>
  </si>
  <si>
    <t>RST PELMET 2K71  1%  1/4W 100PPM</t>
  </si>
  <si>
    <t>CCF552K71FKE36</t>
  </si>
  <si>
    <t>VISHAY</t>
  </si>
  <si>
    <t>1239991180200</t>
  </si>
  <si>
    <t>Jumper</t>
  </si>
  <si>
    <t>2002-402</t>
  </si>
  <si>
    <t>WAGO</t>
  </si>
  <si>
    <t>0930181510300</t>
  </si>
  <si>
    <t>DIN RAIL</t>
  </si>
  <si>
    <t>1066090000000</t>
  </si>
  <si>
    <t>PHOTODIODE 3MM T-1 IR ROHS</t>
  </si>
  <si>
    <t>1065001380100</t>
  </si>
  <si>
    <t>FOTOTRANSISTOR NPN 70V 100MA T-1/D3MM R</t>
  </si>
  <si>
    <t>BPW85A</t>
  </si>
  <si>
    <t>1002541009009</t>
  </si>
  <si>
    <t>1 KOHM</t>
  </si>
  <si>
    <t>1050106909000</t>
  </si>
  <si>
    <t>ZTX690B TRT NPN 45V 2A 1W TO-92 ROHS</t>
  </si>
  <si>
    <t>1002545103100</t>
  </si>
  <si>
    <t>5K1</t>
  </si>
  <si>
    <t>1002551003509</t>
  </si>
  <si>
    <t>10 KOHM</t>
  </si>
  <si>
    <t>1219090030000</t>
  </si>
  <si>
    <t>CONTACTO HEMBRA CRIMPAR AWG22-24</t>
  </si>
  <si>
    <t>7853200161200</t>
  </si>
  <si>
    <t>INSERTADOR/EXTRACTOR PINES 22D M81969/14</t>
  </si>
  <si>
    <t>M81969/14-01</t>
  </si>
  <si>
    <t>1139900462000</t>
  </si>
  <si>
    <t>PLACA MTJE ZOCALOS RELES SPDT/DPDT 18 LY</t>
  </si>
  <si>
    <t>PYP-18</t>
  </si>
  <si>
    <t>1220100123930</t>
  </si>
  <si>
    <t>Cable AWG12 blanco</t>
  </si>
  <si>
    <t>44A0111-12-9</t>
  </si>
  <si>
    <t>1219990020620</t>
  </si>
  <si>
    <t xml:space="preserve">	CONTACT AWG 20 (FIRE PUSHBUTTON)</t>
  </si>
  <si>
    <t>M39029/57-357</t>
  </si>
  <si>
    <t>1230123802000.LO</t>
  </si>
  <si>
    <t>TUBO SILICONA TRANSLUC DI=10 GROS=0,5MM</t>
  </si>
  <si>
    <t>TSTR600120100</t>
  </si>
  <si>
    <t>MEREFSA</t>
  </si>
  <si>
    <t>1204890010121</t>
  </si>
  <si>
    <t>CONTACTO H  SIZE 12 P/CNC CIR M39029/56-353</t>
  </si>
  <si>
    <t>M39029/56-353</t>
  </si>
  <si>
    <t>1229991069512</t>
  </si>
  <si>
    <t>CABLE  1 COND AWG=12 ROJO RAYCHEM 44A011</t>
  </si>
  <si>
    <t>44A0111-12-2</t>
  </si>
  <si>
    <t>1221100122500</t>
  </si>
  <si>
    <t>Cable AWG12 v/a</t>
  </si>
  <si>
    <t xml:space="preserve">44A0111-12-5/4 </t>
  </si>
  <si>
    <t>1229991069511</t>
  </si>
  <si>
    <t>Cable AWG12 negro</t>
  </si>
  <si>
    <t>44A0111-12-0</t>
  </si>
  <si>
    <t>1222200242210</t>
  </si>
  <si>
    <t>Cable trenzado 2x AWG24 BL-NG</t>
  </si>
  <si>
    <t>44A0121-24-0/9</t>
  </si>
  <si>
    <t>1202094330000</t>
  </si>
  <si>
    <t>TORNILLO FIJACION SUBD</t>
  </si>
  <si>
    <t>D20420-13</t>
  </si>
  <si>
    <t>ITT CANNON</t>
  </si>
  <si>
    <t>1238500103400</t>
  </si>
  <si>
    <t>Terminal Pre.Faston Amarillo awg12-10</t>
  </si>
  <si>
    <t>457-4044</t>
  </si>
  <si>
    <t>1238500140602</t>
  </si>
  <si>
    <t>TERM PREAISL M6 AZUL AWG16</t>
  </si>
  <si>
    <t>34162 / 842-034</t>
  </si>
  <si>
    <t>TYCO / RS AMIDATA</t>
  </si>
  <si>
    <t>1233090000040</t>
  </si>
  <si>
    <t>LACING CORD</t>
  </si>
  <si>
    <t>MIL-T-43435B SIZE 21</t>
  </si>
  <si>
    <t>1222200182010.LO</t>
  </si>
  <si>
    <t>CBL TRENZ 2XAWG18 PVDF 600V NE/RO</t>
  </si>
  <si>
    <t>44A0121-18-0/2</t>
  </si>
  <si>
    <t>1509011010190</t>
  </si>
  <si>
    <t>TORN PHILIPS M3X10MM C/JUNTA L2615</t>
  </si>
  <si>
    <t>RM3X0.5-10MM-L2615</t>
  </si>
  <si>
    <t>APM-HEXSEAL</t>
  </si>
  <si>
    <t>1232024955900</t>
  </si>
  <si>
    <t>MANG IDENTIF TERMO 3/8" 3:1 POLIOLE BLAN</t>
  </si>
  <si>
    <t>TMS-SCE-3/8-2.0-9</t>
  </si>
  <si>
    <t>AC610000009</t>
  </si>
  <si>
    <t>1232025195900</t>
  </si>
  <si>
    <t>MANG IDENTIF TERMO 3/4" 3:1 POLIOLE BLAN</t>
  </si>
  <si>
    <t>TMS-SCE-3/4-2.0-9</t>
  </si>
  <si>
    <t>1220100163000</t>
  </si>
  <si>
    <t>Cable AWG16 negro</t>
  </si>
  <si>
    <t>44A0111-16-0</t>
  </si>
  <si>
    <t>1220100163901</t>
  </si>
  <si>
    <t>ALT 1220100163930</t>
  </si>
  <si>
    <t>Cable AWG16 blanco</t>
  </si>
  <si>
    <t>44A0111-16-9</t>
  </si>
  <si>
    <t>1222200222210</t>
  </si>
  <si>
    <t>Cable trenzado 2x AWG22 BL-NG</t>
  </si>
  <si>
    <t>44A0121-22-0/9</t>
  </si>
  <si>
    <t>1202091258100</t>
  </si>
  <si>
    <t>CAPERUZA P/SUB-D 25 C/TOR UNC 4-40 POLIA</t>
  </si>
  <si>
    <t>N330641400020</t>
  </si>
  <si>
    <t>1580160200000</t>
  </si>
  <si>
    <t>SPACER</t>
  </si>
  <si>
    <t>606-709</t>
  </si>
  <si>
    <t>1580160050100</t>
  </si>
  <si>
    <t>SEPARADOR EX E/C 5 M/H M3X30MM LATON/NI</t>
  </si>
  <si>
    <t>221-178</t>
  </si>
  <si>
    <t>1229991069524</t>
  </si>
  <si>
    <t>Cable AWG22 rojo</t>
  </si>
  <si>
    <t>44A0111-22-2</t>
  </si>
  <si>
    <t>1220100163200</t>
  </si>
  <si>
    <t>Cable AWG16 rojo</t>
  </si>
  <si>
    <t>44A0111-16-2</t>
  </si>
  <si>
    <t>1220100243230</t>
  </si>
  <si>
    <t>Cable AWG24 rojo</t>
  </si>
  <si>
    <t>44A0111-24-2</t>
  </si>
  <si>
    <t>1230525190000</t>
  </si>
  <si>
    <t>1230525190000.LO</t>
  </si>
  <si>
    <t>Funda 1/2  (FINA)</t>
  </si>
  <si>
    <t>GRP-110-1/2</t>
  </si>
  <si>
    <t>1232024245400</t>
  </si>
  <si>
    <t>MANG IDENTIF TERMO 3/32" AMARILLO</t>
  </si>
  <si>
    <t>956000286</t>
  </si>
  <si>
    <t>1239024593000</t>
  </si>
  <si>
    <t>MANG AUTOSOLDABLE DI= 5,97MM M83519/2-9</t>
  </si>
  <si>
    <t>S02-09-R</t>
  </si>
  <si>
    <t>RAYCHEM LTD</t>
  </si>
  <si>
    <t>1238015500100</t>
  </si>
  <si>
    <t>TERMINAL RED DESNUDO M8 50MM2 D8MM CU/SN</t>
  </si>
  <si>
    <t>A10-M8</t>
  </si>
  <si>
    <t>FUNDA CBL 1/4" EXPAND-A-FLEX FR POLYESTE</t>
  </si>
  <si>
    <t>WFFRBK250</t>
  </si>
  <si>
    <t>WESTERN FILAMENT</t>
  </si>
  <si>
    <t>1232024645900</t>
  </si>
  <si>
    <t>MANG IDENTIF TERMO 1/4" BLANCO</t>
  </si>
  <si>
    <t>TMS-SCE-1/4"-9</t>
  </si>
  <si>
    <t>1230590020000.LO</t>
  </si>
  <si>
    <t xml:space="preserve">FUNDA CABLE EXPAND-A-FLEX 1/2" NEGRA   </t>
  </si>
  <si>
    <t>WFFRBK500</t>
  </si>
  <si>
    <t>1229991039503</t>
  </si>
  <si>
    <t>44A0111-24-0</t>
  </si>
  <si>
    <t>1209990020720</t>
  </si>
  <si>
    <t>CONTACTO MACHO SIZE 12 M39029/58-365</t>
  </si>
  <si>
    <t>M39029/58-365</t>
  </si>
  <si>
    <t>1580160090000</t>
  </si>
  <si>
    <t>SEPARADOR HEXAG M3 M/H L=5MM LATON NI</t>
  </si>
  <si>
    <t>HSL.3050.06</t>
  </si>
  <si>
    <t>1540112000001</t>
  </si>
  <si>
    <t>WASHER</t>
  </si>
  <si>
    <t>DIN 125 A3,2-A2-70</t>
  </si>
  <si>
    <t>DIN / ISO</t>
  </si>
  <si>
    <t>1530111000010</t>
  </si>
  <si>
    <t>TUERCA</t>
  </si>
  <si>
    <t>M3 DIN934 A2-70</t>
  </si>
  <si>
    <t>1500811008001</t>
  </si>
  <si>
    <t>TOR AV CRUC M3X8 INOX DIN965/ISO7046</t>
  </si>
  <si>
    <t>ISO7046-M3X8-A2-70-H</t>
  </si>
  <si>
    <t>1500811004001</t>
  </si>
  <si>
    <t>TOR AV CRUC  M3X4   INOX DIN965/ISO7046</t>
  </si>
  <si>
    <t>ISO7046-M3X4-A2-70</t>
  </si>
  <si>
    <t>1500811004002</t>
  </si>
  <si>
    <t>TOR AV CRUC  M3X4   INOX DIN965</t>
  </si>
  <si>
    <t>DIN965-M3X4-A4-70-H</t>
  </si>
  <si>
    <t>HSL.3050.05</t>
  </si>
  <si>
    <t>1580165032502</t>
  </si>
  <si>
    <t>SEPARADOR EXA M/H M3X25MM E/C=5MM LATON</t>
  </si>
  <si>
    <t>HTS-M3-25-5-2</t>
  </si>
  <si>
    <t>1390702000000</t>
  </si>
  <si>
    <t>SCREW/PLATES INST LIGHT CTR PEDEST Z210</t>
  </si>
  <si>
    <t>ASNA2083BG2-10</t>
  </si>
  <si>
    <t>1501213012001</t>
  </si>
  <si>
    <t>SCREW</t>
  </si>
  <si>
    <t>M4X12-A2-70 DIN7985</t>
  </si>
  <si>
    <t>1202094170000</t>
  </si>
  <si>
    <t>KIT SUB-D TORRETAS 4-40/4-40 7,92MM</t>
  </si>
  <si>
    <t>453-886</t>
  </si>
  <si>
    <t>1540115000001</t>
  </si>
  <si>
    <t>ARA PLANA P/M5 INOX DIN125A/ISO7089</t>
  </si>
  <si>
    <t>DIN125-A5-A2</t>
  </si>
  <si>
    <t>1540215000001</t>
  </si>
  <si>
    <t>ARA GROWER P/M5 INOX DIN127B</t>
  </si>
  <si>
    <t>DIN127-B5-A2</t>
  </si>
  <si>
    <t>1540913000001</t>
  </si>
  <si>
    <t>ARA ABA EXT P/M4 INOX DIN 6798A</t>
  </si>
  <si>
    <t>DIN6798-A4,3-A2</t>
  </si>
  <si>
    <t>M51R400044758</t>
  </si>
  <si>
    <t>CONJUNTO DE CIERRE ATORNILLADO NIQUELADO</t>
  </si>
  <si>
    <t>453-892</t>
  </si>
  <si>
    <t>1209990080100</t>
  </si>
  <si>
    <t>PIN M ENGASTAR #22 WIRED END NSA937910</t>
  </si>
  <si>
    <t>8559-122</t>
  </si>
  <si>
    <t>N07025SA4H5T0</t>
  </si>
  <si>
    <t>CONECTOR SUB-D SIN PINES 25P H ENG. AMPH</t>
  </si>
  <si>
    <t>117RRB25S</t>
  </si>
  <si>
    <t>1200390091600</t>
  </si>
  <si>
    <t>PIN CNC MOD #16 CRIMP AWG16-20 HL103</t>
  </si>
  <si>
    <t>001104 300 02</t>
  </si>
  <si>
    <t>1214890160020</t>
  </si>
  <si>
    <t>CONTACTO H AWG16 M39029/5-116</t>
  </si>
  <si>
    <t>M39029/5-116</t>
  </si>
  <si>
    <t>1238000022000</t>
  </si>
  <si>
    <t>TERMINAL RED DESNUDO AWG=2 S=35MM2 SERIE</t>
  </si>
  <si>
    <t>A7-P20</t>
  </si>
  <si>
    <t>1204890370020</t>
  </si>
  <si>
    <t>PIN KORRY</t>
  </si>
  <si>
    <t>EN3155-003F2222</t>
  </si>
  <si>
    <t>1219990110080</t>
  </si>
  <si>
    <t>PIN M ENGASTAR #20 WIRED END NSA937910</t>
  </si>
  <si>
    <t>8559-120</t>
  </si>
  <si>
    <t>1580160080000</t>
  </si>
  <si>
    <t>SEPARADOR DE LATON ROSCADO Y TORNILLO PR</t>
  </si>
  <si>
    <t>221-162</t>
  </si>
  <si>
    <t>HSL.3050.20</t>
  </si>
  <si>
    <t>HUCO ENGINEERING IND</t>
  </si>
  <si>
    <t>1238015350400</t>
  </si>
  <si>
    <t>TERMINAL RED DESNUDO M8 35MM2 D8MM CU/SN</t>
  </si>
  <si>
    <t>A7-M8</t>
  </si>
  <si>
    <t>1220100203930</t>
  </si>
  <si>
    <t>Cable AWG20 blanco</t>
  </si>
  <si>
    <t>44A0111-20-9</t>
  </si>
  <si>
    <t>1209001020000</t>
  </si>
  <si>
    <t>CNC HEADER 10P (M) PASO 3,96MM S/PCB SER</t>
  </si>
  <si>
    <t>3968-2101</t>
  </si>
  <si>
    <t>1239024273050</t>
  </si>
  <si>
    <t>ALT 1234524199010</t>
  </si>
  <si>
    <t>MANG AUTOSOLDABLE M83519/1-2</t>
  </si>
  <si>
    <t>M83519/1-2</t>
  </si>
  <si>
    <t>N07025FA4H5T0</t>
  </si>
  <si>
    <t>1202002531400</t>
  </si>
  <si>
    <t>CONECTOR SUB-D SIN PINES 25P M ENG. AMPH</t>
  </si>
  <si>
    <t>117RRB25P</t>
  </si>
  <si>
    <t>1533035000001</t>
  </si>
  <si>
    <t>TUERCA EX 0,138-32UNC-2B MS35649-264 CRE</t>
  </si>
  <si>
    <t>MS35649-264</t>
  </si>
  <si>
    <t>964598965</t>
  </si>
  <si>
    <t>ARA PL NO.6 AN960C6</t>
  </si>
  <si>
    <t>AN-960-C6</t>
  </si>
  <si>
    <t>1220100183930</t>
  </si>
  <si>
    <t>Cable AWG18 blanco</t>
  </si>
  <si>
    <t>44A0111-18-9</t>
  </si>
  <si>
    <t>1208005030000</t>
  </si>
  <si>
    <t>CNC RJ-45</t>
  </si>
  <si>
    <t>R6G088-R-10</t>
  </si>
  <si>
    <t>BELKIN COMPONENTS</t>
  </si>
  <si>
    <t>956021055-01</t>
  </si>
  <si>
    <t>CASQUILLO AUTOSOLDABLE M83519/2-8</t>
  </si>
  <si>
    <t>H-ML-8</t>
  </si>
  <si>
    <t>SUMITOMO</t>
  </si>
  <si>
    <t>1219590030000</t>
  </si>
  <si>
    <t>TERMINAL PIN P/PASO 2,54MM</t>
  </si>
  <si>
    <t>CO 3570</t>
  </si>
  <si>
    <t>1212000931300</t>
  </si>
  <si>
    <t>CNC SUB-D 9H S/PINES CRIMP</t>
  </si>
  <si>
    <t>N07009SA4H5T0</t>
  </si>
  <si>
    <t>949170111-01</t>
  </si>
  <si>
    <t>1202000990500</t>
  </si>
  <si>
    <t>CNC RECT SUB-D 9 M CRIMPAR 117RRE9P</t>
  </si>
  <si>
    <t>117RRE9P</t>
  </si>
  <si>
    <t>N50MN06A61810</t>
  </si>
  <si>
    <t>contact pin 18-24 awg (redondo)</t>
  </si>
  <si>
    <t>02-06-2103 (236-3044P)</t>
  </si>
  <si>
    <t>N50MN06P5G210</t>
  </si>
  <si>
    <t>contact socket 18-24 awg (redondo)</t>
  </si>
  <si>
    <t>02-06-1103 (236-3050P)</t>
  </si>
  <si>
    <t>1219090250000</t>
  </si>
  <si>
    <t>ACC CONTACTO H AWG18-24 D=1,57MM SERIE 1</t>
  </si>
  <si>
    <t>02-06-1103</t>
  </si>
  <si>
    <t>1212002590700</t>
  </si>
  <si>
    <t>117RRE25S</t>
  </si>
  <si>
    <t>TMS-SCE-3/32-2.0-4</t>
  </si>
  <si>
    <t>1202094770000</t>
  </si>
  <si>
    <t>TOR CLIP P/SUB-D 1,2MM</t>
  </si>
  <si>
    <t>D20419-18</t>
  </si>
  <si>
    <t>1234524199010</t>
  </si>
  <si>
    <t>CASQUILLO AUTOSOLDABLE M83519/1-2</t>
  </si>
  <si>
    <t>S01-02R</t>
  </si>
  <si>
    <t>RAYCHEM CORP</t>
  </si>
  <si>
    <t>1214890290020</t>
  </si>
  <si>
    <t>SOCKET AWG20</t>
  </si>
  <si>
    <t>M39029/56-351</t>
  </si>
  <si>
    <t>1209990020620</t>
  </si>
  <si>
    <t>PIN AWG20</t>
  </si>
  <si>
    <t>M39029/58-363</t>
  </si>
  <si>
    <t>1209990030120</t>
  </si>
  <si>
    <t>CONTACTO MACHO M39029/4-111</t>
  </si>
  <si>
    <t>M39029/4-111</t>
  </si>
  <si>
    <t>956002516</t>
  </si>
  <si>
    <t>TERMINAL D6 AWG12 AMARILLO</t>
  </si>
  <si>
    <t>130667 956002516 / 447-976</t>
  </si>
  <si>
    <t>1237700120401</t>
  </si>
  <si>
    <t>TERM RING M5 AWG10/12</t>
  </si>
  <si>
    <t>267-3880</t>
  </si>
  <si>
    <t>1204890010120</t>
  </si>
  <si>
    <t>SOCKET 16AWG</t>
  </si>
  <si>
    <t>M39029/56-352</t>
  </si>
  <si>
    <t>1209990020820</t>
  </si>
  <si>
    <t>PIN 16AWG</t>
  </si>
  <si>
    <t>M39029/58-364</t>
  </si>
  <si>
    <t>1139900460100</t>
  </si>
  <si>
    <t>CLIP FIJACION RELES SPDT/DPDT ESTANDAR L</t>
  </si>
  <si>
    <t>PYC-P</t>
  </si>
  <si>
    <t>1220100202010</t>
  </si>
  <si>
    <t>Cable AWG20 v/a</t>
  </si>
  <si>
    <t xml:space="preserve">44A0111-20-5/4 </t>
  </si>
  <si>
    <t>1237700120400</t>
  </si>
  <si>
    <t>TERM AISL REDON AWG12-10 3.7MM AMAR</t>
  </si>
  <si>
    <t xml:space="preserve">RNYD5-3.7 / 267-3919 </t>
  </si>
  <si>
    <t>1220100202011</t>
  </si>
  <si>
    <t>Cable AWG20 negro</t>
  </si>
  <si>
    <t>44A0111-20-0</t>
  </si>
  <si>
    <t>1239025439050</t>
  </si>
  <si>
    <t>MANG AUTOSOLDABLE M83519/1-3</t>
  </si>
  <si>
    <t>M83519/1-3</t>
  </si>
  <si>
    <t>FEC TECHNOLOGY CORPORATION</t>
  </si>
  <si>
    <t>1220100223030</t>
  </si>
  <si>
    <t>Cable AWG22 negro</t>
  </si>
  <si>
    <t>44A0111-22-0</t>
  </si>
  <si>
    <t>1220100203230</t>
  </si>
  <si>
    <t>CBL CU-SN AWG 20 ROJO M81044/12-20-2</t>
  </si>
  <si>
    <t>44A0111-20-2</t>
  </si>
  <si>
    <t>1214090010420</t>
  </si>
  <si>
    <t>CONTACTO HEMBRA M39029/5-115</t>
  </si>
  <si>
    <t>M39029/5-115</t>
  </si>
  <si>
    <t>1204290020020</t>
  </si>
  <si>
    <t>CONTACTO MACHO AWG22 M39029/58-360 (subd78)</t>
  </si>
  <si>
    <t>M39029/58-360</t>
  </si>
  <si>
    <t>1204090200020</t>
  </si>
  <si>
    <t xml:space="preserve">CONTACTO MACHO AWG20 </t>
  </si>
  <si>
    <t>M39029/4-110</t>
  </si>
  <si>
    <t>1231024320000</t>
  </si>
  <si>
    <t>TUBO TERMORRETRACTIL 3,2-0,58MM L=22MM P</t>
  </si>
  <si>
    <t>769-216</t>
  </si>
  <si>
    <t>FARNELL ELECTR</t>
  </si>
  <si>
    <t>FARNELL COMPONENTS, S.L.</t>
  </si>
  <si>
    <t>1238514160201</t>
  </si>
  <si>
    <t>TERM RING INSULATED 8mm RED</t>
  </si>
  <si>
    <t>1220100243930</t>
  </si>
  <si>
    <t>Cable AWG24 blanco</t>
  </si>
  <si>
    <t>44A0111-24-9</t>
  </si>
  <si>
    <t>1207091170000</t>
  </si>
  <si>
    <t>CAPERUZA CNC RJ-45</t>
  </si>
  <si>
    <t>1-569875-0</t>
  </si>
  <si>
    <t>AMP</t>
  </si>
  <si>
    <t>COM.ELEC.TRES CANTOS, S.A.</t>
  </si>
  <si>
    <t>1220112502800</t>
  </si>
  <si>
    <t>CBL FLEX 1X0.05MM2 600V ETFE GRI SPEC55A</t>
  </si>
  <si>
    <t>55A9002-30-8</t>
  </si>
  <si>
    <t>3940-2101</t>
  </si>
  <si>
    <t>CONEXCON</t>
  </si>
  <si>
    <t>1220100223930</t>
  </si>
  <si>
    <t>Cable AWG22 blanco</t>
  </si>
  <si>
    <t>44A0111-22-9</t>
  </si>
  <si>
    <t>1204890012220</t>
  </si>
  <si>
    <t>CONTACTO H 22D P/CNC CIR M39029/56-348</t>
  </si>
  <si>
    <t>M39029/56-348</t>
  </si>
  <si>
    <t>1220100242001</t>
  </si>
  <si>
    <t>Cable AWG24 v/a</t>
  </si>
  <si>
    <t xml:space="preserve">44A0111-24-5/4 </t>
  </si>
  <si>
    <t>1233524550900 </t>
  </si>
  <si>
    <t>BASE ANGULAR A/BRIDAS=5,5X1,7MM TALADRO</t>
  </si>
  <si>
    <t>1214090011040</t>
  </si>
  <si>
    <t>SOCKET 22AWG    (*HD*)</t>
  </si>
  <si>
    <t>M39029/57-354</t>
  </si>
  <si>
    <t>1219090030200</t>
  </si>
  <si>
    <t>SOCKET MOLEX</t>
  </si>
  <si>
    <t>50394</t>
  </si>
  <si>
    <t>1219990340200</t>
  </si>
  <si>
    <t>SOCKET AWG22-24</t>
  </si>
  <si>
    <t>16-02-0088</t>
  </si>
  <si>
    <t>1209090040000</t>
  </si>
  <si>
    <t>Pin macho</t>
  </si>
  <si>
    <t>43031-0007
(RS-233-3037)</t>
  </si>
  <si>
    <t>1238000249000</t>
  </si>
  <si>
    <t>PIN HEMBRA AWG22</t>
  </si>
  <si>
    <t>16-02-0102
(679-4742P)</t>
  </si>
  <si>
    <t>1219090000700</t>
  </si>
  <si>
    <t>Pin hembra</t>
  </si>
  <si>
    <t>43030-0007
(RS 233-3009)</t>
  </si>
  <si>
    <t>1219000830200</t>
  </si>
  <si>
    <t>CAJA PORTACONTA 2X4H 2MM MILLI-GRID ROHS</t>
  </si>
  <si>
    <t>51110-0860</t>
  </si>
  <si>
    <t>1219000990400</t>
  </si>
  <si>
    <t>2.54mm,housing,CgridSL,versionG,1row,9w molex</t>
  </si>
  <si>
    <t>50-57-9409</t>
  </si>
  <si>
    <t>1219090080000</t>
  </si>
  <si>
    <t>CONTACTO ENGASTAR AWG18-26 1,14MM</t>
  </si>
  <si>
    <t>1219090070102</t>
  </si>
  <si>
    <t>Contact socket 18-24 awg</t>
  </si>
  <si>
    <t>39-00-0039 (172-9134P)</t>
  </si>
  <si>
    <t>1209090130100</t>
  </si>
  <si>
    <t>Contact pin 18-24 awg</t>
  </si>
  <si>
    <t>39-00-0041 (172-9140)</t>
  </si>
  <si>
    <t>1238524483210</t>
  </si>
  <si>
    <t>TERMINAL PREAISLADO FASTON AWG22-18 ROJO</t>
  </si>
  <si>
    <t>2-520407-2</t>
  </si>
  <si>
    <t>1237700220201</t>
  </si>
  <si>
    <t>TERM UNINSULATED 3.2mm RED</t>
  </si>
  <si>
    <t>267-3650</t>
  </si>
  <si>
    <t>1238500141800</t>
  </si>
  <si>
    <t>ALT 1237700220000</t>
  </si>
  <si>
    <t>TERM CABLEADO 2.5MM2 GRIS</t>
  </si>
  <si>
    <t>458-724</t>
  </si>
  <si>
    <t>1238523200400</t>
  </si>
  <si>
    <t>TERMINAL D=2 MM</t>
  </si>
  <si>
    <t xml:space="preserve">239-4098 </t>
  </si>
  <si>
    <t>1233524500900</t>
  </si>
  <si>
    <t>BASE ADH BRIDA A=5MM 29X29X2,5MM NYLON B</t>
  </si>
  <si>
    <t>229-560</t>
  </si>
  <si>
    <t>1530116000003</t>
  </si>
  <si>
    <t>TUERCA EX M6 INOX A2 DIN934</t>
  </si>
  <si>
    <t>DIN934-M6-A4-80</t>
  </si>
  <si>
    <t>1530120000001</t>
  </si>
  <si>
    <t>TUERCA EX M12 INOX A2 DIN934</t>
  </si>
  <si>
    <t>DIN934-M12-INOX-A2-70</t>
  </si>
  <si>
    <t>1238524450600</t>
  </si>
  <si>
    <t>TERMINAL PREAISLADO REDONDO D=4,5MM AZUL</t>
  </si>
  <si>
    <t>BK-M5</t>
  </si>
  <si>
    <t>CEMBRE</t>
  </si>
  <si>
    <t>956002604</t>
  </si>
  <si>
    <t>ALT 1238500160000</t>
  </si>
  <si>
    <t>TERM CABLEADO 1.5MM2 NEGRO</t>
  </si>
  <si>
    <t xml:space="preserve">DZ5-CE015          </t>
  </si>
  <si>
    <t>TELEMECANIQUE</t>
  </si>
  <si>
    <t>1238014402000</t>
  </si>
  <si>
    <t>TERM UNINSULATED 4mm2</t>
  </si>
  <si>
    <t>211-4319</t>
  </si>
  <si>
    <t>1238014602000</t>
  </si>
  <si>
    <t>TERM UNINSULATED 6mm2</t>
  </si>
  <si>
    <t>211-4325</t>
  </si>
  <si>
    <t>1238524350200</t>
  </si>
  <si>
    <t>TERM RING INSULATED 3.5mm RED</t>
  </si>
  <si>
    <t>RF-M3.5</t>
  </si>
  <si>
    <t>1221100182000</t>
  </si>
  <si>
    <t>Cable AWG18 negro</t>
  </si>
  <si>
    <t>44A0111-18-0</t>
  </si>
  <si>
    <t>1238524400000</t>
  </si>
  <si>
    <t>TERMINAL PREAISLADO REDONDO DE 4MM NARAN</t>
  </si>
  <si>
    <t>E4012-ORG</t>
  </si>
  <si>
    <t>KS TERMINALS</t>
  </si>
  <si>
    <t>1238014252000</t>
  </si>
  <si>
    <t xml:space="preserve">TERM UNINSULATED  2.5 mm  </t>
  </si>
  <si>
    <t>211-4296</t>
  </si>
  <si>
    <t>1540120000003</t>
  </si>
  <si>
    <t>ARANDELA PLANA M12 DIN 125 INOX</t>
  </si>
  <si>
    <t>DIN125-M12-INOX-A4</t>
  </si>
  <si>
    <t>1540220000102</t>
  </si>
  <si>
    <t xml:space="preserve">ARANDELA  GROWER M12 </t>
  </si>
  <si>
    <t>DIN127-M12-INOX-A4-70</t>
  </si>
  <si>
    <t>1540116000101</t>
  </si>
  <si>
    <t>ARA PLANA P/M6 INOX DIN125B</t>
  </si>
  <si>
    <t>DIN125-B6,4-A2-70</t>
  </si>
  <si>
    <t>1540216000002</t>
  </si>
  <si>
    <t>ARA GROWER P/M6 INOX DIN127B</t>
  </si>
  <si>
    <t>DIN127-B6-A4</t>
  </si>
  <si>
    <t>1237700183200</t>
  </si>
  <si>
    <t>2-520-264-2</t>
  </si>
  <si>
    <t>FASTON ROJO AWG18-22 6.3</t>
  </si>
  <si>
    <t>245-5250</t>
  </si>
  <si>
    <t>TE</t>
  </si>
  <si>
    <t>1239914159000</t>
  </si>
  <si>
    <t>TERM UNINSULATED  1.5 mm2</t>
  </si>
  <si>
    <t>P-1.50-10</t>
  </si>
  <si>
    <t>XB</t>
  </si>
  <si>
    <t>1237724370100</t>
  </si>
  <si>
    <t>TERMINAL HORQUILLA AISLADO M3.5 ROJO S=1</t>
  </si>
  <si>
    <t>534-272</t>
  </si>
  <si>
    <t>1238000183100</t>
  </si>
  <si>
    <t>TERMINAL FASTON H AWG22-18 RECT CRIMP</t>
  </si>
  <si>
    <t>42510-2</t>
  </si>
  <si>
    <t>1238512150200</t>
  </si>
  <si>
    <t>TERM PREAISL REDONDO 0,5-1,5MM2 M4 RO PV</t>
  </si>
  <si>
    <t>534-216</t>
  </si>
  <si>
    <t>1237700220000</t>
  </si>
  <si>
    <t>TERM PREAISL RED AWG20-16 P/M4 NYLON ROJ</t>
  </si>
  <si>
    <t>EF-15043</t>
  </si>
  <si>
    <t>1238514152005</t>
  </si>
  <si>
    <t>TERM PREAIS PUNTERA S=1,5MM2 L=12MM NEGR</t>
  </si>
  <si>
    <t>PKD-1517</t>
  </si>
  <si>
    <t>956004004</t>
  </si>
  <si>
    <t>BRIDA P/CBL L=200X3.5MM</t>
  </si>
  <si>
    <t>956004007</t>
  </si>
  <si>
    <t>BRIDA P/CBL L=390X4.7MM</t>
  </si>
  <si>
    <t>956004001</t>
  </si>
  <si>
    <t>BRIDA P/CBL L=101X2.5MM</t>
  </si>
  <si>
    <t>1549011000790</t>
  </si>
  <si>
    <t>ARANDELA GROWER M3 INOX A4</t>
  </si>
  <si>
    <t>189-686</t>
  </si>
  <si>
    <t>M151300125LA6</t>
  </si>
  <si>
    <t>ARA PLANA P/M3 INOX ISO7089</t>
  </si>
  <si>
    <t>ISO7089-3-200HV-A4</t>
  </si>
  <si>
    <t>1238500222000</t>
  </si>
  <si>
    <t>TERMINAL PREAISL PUNTERA AWG22 (0,5MM2)</t>
  </si>
  <si>
    <t>956002635-01</t>
  </si>
  <si>
    <t>DICOMAT, S.L.</t>
  </si>
  <si>
    <t>949170160-01</t>
  </si>
  <si>
    <t>1202090240000</t>
  </si>
  <si>
    <t>CONTACTO MACHO 24AWG 17RRD1F11400</t>
  </si>
  <si>
    <t>17RRD1M11400</t>
  </si>
  <si>
    <t>949170160-02</t>
  </si>
  <si>
    <t>CONTACTO HEMBRA 24AWG 17RRD1F11400</t>
  </si>
  <si>
    <t>TOMAS DE CORRIENTE Y RED EN AFTERCABIN</t>
  </si>
  <si>
    <t>0972828300800</t>
  </si>
  <si>
    <t>SUBWOOFER ASSY</t>
  </si>
  <si>
    <t>SOPORTE CONECTORES SIDESTICK FO</t>
  </si>
  <si>
    <t>SOPORTE CONECTORES SIDESTICK CAPT</t>
  </si>
  <si>
    <t>SOPORTE CONECTORES ASIENTOS</t>
  </si>
  <si>
    <t>0972828200000</t>
  </si>
  <si>
    <t>SMOKE DETEC TEMP SENSOR AND AACC ASSY</t>
  </si>
  <si>
    <t>NUC PLATE SUPPORT</t>
  </si>
  <si>
    <t>0972882240300</t>
  </si>
  <si>
    <t>IOS CNC BOX PLATE 2</t>
  </si>
  <si>
    <t>TALLER MECANICO FIBRA / XUQUER</t>
  </si>
  <si>
    <t>0972881240300</t>
  </si>
  <si>
    <t>IOS CNC BOX PLATE 1</t>
  </si>
  <si>
    <t>0972888133000</t>
  </si>
  <si>
    <t>ENCODER SUPPORT</t>
  </si>
  <si>
    <t>0971788190900</t>
  </si>
  <si>
    <t>EMO FO PANEL</t>
  </si>
  <si>
    <t>0971788191000</t>
  </si>
  <si>
    <t>EMO CAPT PANEL</t>
  </si>
  <si>
    <t>0972888201000</t>
  </si>
  <si>
    <t>AVIONICS TB RAIL</t>
  </si>
  <si>
    <t>0972828203300</t>
  </si>
  <si>
    <t>AUDIO MIXER ASSY</t>
  </si>
  <si>
    <t>7275500320000</t>
  </si>
  <si>
    <t>MANOMETRO 0-10BAR D40MM 1/8" POSTERIOR</t>
  </si>
  <si>
    <t>M-40-010</t>
  </si>
  <si>
    <t>DIVISA</t>
  </si>
  <si>
    <t>DBCU</t>
  </si>
  <si>
    <t xml:space="preserve">1709903710000 </t>
  </si>
  <si>
    <t>735-8443</t>
  </si>
  <si>
    <t>Placa instalacion</t>
  </si>
  <si>
    <t>NSYMM54</t>
  </si>
  <si>
    <t xml:space="preserve">1700100160201 </t>
  </si>
  <si>
    <t>707-9148</t>
  </si>
  <si>
    <t>ARMARIO 500X400X200MM</t>
  </si>
  <si>
    <t>NSYCRN54200</t>
  </si>
  <si>
    <t>1139990091101</t>
  </si>
  <si>
    <t>96.72SMA (RS 245-5711)</t>
  </si>
  <si>
    <t>1128912180000</t>
  </si>
  <si>
    <t>XB5 2 POS SEL Switch Head Standard Handle Black Stay Put</t>
  </si>
  <si>
    <t>ZB5AD2 (RS 331-0265)</t>
  </si>
  <si>
    <t>1229591601008</t>
  </si>
  <si>
    <t>violeta 7,5 M F/UTP LSZH</t>
  </si>
  <si>
    <t>LAT-CAT6AF-VL-7.5</t>
  </si>
  <si>
    <t>CUBITEL,S.L</t>
  </si>
  <si>
    <t>1229591601007</t>
  </si>
  <si>
    <t>violeta 3 M F/UTP LSZH</t>
  </si>
  <si>
    <t>LAT-CAT6AF-VL-3</t>
  </si>
  <si>
    <t>1229591601006</t>
  </si>
  <si>
    <t>violeta 2 M F/UTP LSZH</t>
  </si>
  <si>
    <t>LAT-CAT6AF-VL-2</t>
  </si>
  <si>
    <t>1229591601107</t>
  </si>
  <si>
    <t>violeta 0,15 M F/UTP LSZH</t>
  </si>
  <si>
    <t>LAT-CAT6AF-VL-0.15</t>
  </si>
  <si>
    <t>1229591600804</t>
  </si>
  <si>
    <t>verde 7,5 M F/UTP LSZH</t>
  </si>
  <si>
    <t>LAT-CAT6AF-VD-7.5</t>
  </si>
  <si>
    <t>1229591600803</t>
  </si>
  <si>
    <t>verde 3 M F/UTP LSZH</t>
  </si>
  <si>
    <t>LAT-CAT6AF-VD-3</t>
  </si>
  <si>
    <t>1229591600802</t>
  </si>
  <si>
    <t>verde 2 M F/UTP LSZH</t>
  </si>
  <si>
    <t>LAT-CAT6AF-VD-2</t>
  </si>
  <si>
    <t>1246701141600</t>
  </si>
  <si>
    <t>UDAD INT A/C 19/22.4KW R32 DA200A</t>
  </si>
  <si>
    <t>FDA200A</t>
  </si>
  <si>
    <t>1246701141400</t>
  </si>
  <si>
    <t>UDAD INT A/C 12.1/13.5KW R32 DAG125A</t>
  </si>
  <si>
    <t>FDA125A</t>
  </si>
  <si>
    <t>1246701141500</t>
  </si>
  <si>
    <t>UDAD EXT A/C 3F 15.9A R32 DA200A</t>
  </si>
  <si>
    <t>RZA200D</t>
  </si>
  <si>
    <t>1246701141300</t>
  </si>
  <si>
    <t>UDAD EXT A/C 1F 220-240V R32/675 DAG125A</t>
  </si>
  <si>
    <t>RZAG125NV1</t>
  </si>
  <si>
    <t>1709906180000</t>
  </si>
  <si>
    <t>TUERCAS ENJAULADAS</t>
  </si>
  <si>
    <t>1531213000002</t>
  </si>
  <si>
    <t>TUERCA EXA SEG  M4  INOX DIN985</t>
  </si>
  <si>
    <t>DIN985-M4-A4</t>
  </si>
  <si>
    <t>1530115000001</t>
  </si>
  <si>
    <t>TUERCA EXA M5 INOX DIN934/ISO4032</t>
  </si>
  <si>
    <t>1530113000001</t>
  </si>
  <si>
    <t>TUERCA EXA M4 INOX DIN934/ISO4032</t>
  </si>
  <si>
    <t>1530111000001</t>
  </si>
  <si>
    <t>TUERCA EXA M3 INOX DIN934/ISO4032</t>
  </si>
  <si>
    <t>1231025193820</t>
  </si>
  <si>
    <t>TUBO TERMO 3/4" 2:1 FLUOPOLYMR CLEAR RHS</t>
  </si>
  <si>
    <t>RW-175-3/4-X-STK</t>
  </si>
  <si>
    <t>1231024609900</t>
  </si>
  <si>
    <t>133-1780</t>
  </si>
  <si>
    <t>TUBO TERMO 1/4 2:1 L=1.219M PVDF CLARO R</t>
  </si>
  <si>
    <t>RW-175-1/4-X-STK</t>
  </si>
  <si>
    <t>1231025129901</t>
  </si>
  <si>
    <t>133-1782</t>
  </si>
  <si>
    <t>TUBO TERMO 1/2 2:1 L=1.219M PVDF CLARO R</t>
  </si>
  <si>
    <t>RW-175-1/2-X-STK</t>
  </si>
  <si>
    <t>1022000183000</t>
  </si>
  <si>
    <t>123-7385</t>
  </si>
  <si>
    <t>TRAFO AISL 50VA +15-0-230-400V/24-0-24V</t>
  </si>
  <si>
    <t>504-313</t>
  </si>
  <si>
    <t>1519013012016</t>
  </si>
  <si>
    <t>Tornillos con arandela, Acero, Galvanizado brillante, Alomada, M4 x 12mm</t>
  </si>
  <si>
    <t>279-199</t>
  </si>
  <si>
    <t>1500813010002</t>
  </si>
  <si>
    <t>TOR AV CRUC M4X10  INOX DIN965</t>
  </si>
  <si>
    <t>DIN965-M4X10-A-H</t>
  </si>
  <si>
    <t>1500811010001</t>
  </si>
  <si>
    <t>TOR AV CRUC M3X10  INOX DIN965/ISO7046-2</t>
  </si>
  <si>
    <t>ISO7046-2-M3X10-A2-70-H</t>
  </si>
  <si>
    <t>1501213010001</t>
  </si>
  <si>
    <t>TOR ALOM CRUC M4X10  NOX DIN7985/ISO7045</t>
  </si>
  <si>
    <t>1501233006000</t>
  </si>
  <si>
    <t>TOR ALOM CRUC 4-40UNCX6 INOX DIN7985</t>
  </si>
  <si>
    <t>1501215020001</t>
  </si>
  <si>
    <t>TOR ALOM CRUC  M5X20  INOX DIN7985</t>
  </si>
  <si>
    <t>1501213008001</t>
  </si>
  <si>
    <t>TOR ALOM CRUC  M4X8   INOX DIN7985</t>
  </si>
  <si>
    <t>1501215010001</t>
  </si>
  <si>
    <t>TOR ALO CRUC M5X10 INOX DIN7985/ISO7045</t>
  </si>
  <si>
    <t>ISO7045-M5X10-A2-70-H</t>
  </si>
  <si>
    <t>1501211008001</t>
  </si>
  <si>
    <t>TOR ALO CRUC  M3X8  INOX DIN7985/ISO7045</t>
  </si>
  <si>
    <t>1501211010001</t>
  </si>
  <si>
    <t>TOR ALO CRU  M3X6   INOX DIN7985/ISO7045</t>
  </si>
  <si>
    <t>1501216016001</t>
  </si>
  <si>
    <t>DIN 7985 M6x16-A2-70</t>
  </si>
  <si>
    <t>1540116000001</t>
  </si>
  <si>
    <t>DIN 125 6.4-A2-70</t>
  </si>
  <si>
    <t>1540216000101</t>
  </si>
  <si>
    <t>DIN 127 B6-A2-70</t>
  </si>
  <si>
    <t>1531215000001</t>
  </si>
  <si>
    <t>DIN 985 M5-A2-70</t>
  </si>
  <si>
    <t>DIN 125 5.3-A2-70</t>
  </si>
  <si>
    <t>1501211006001</t>
  </si>
  <si>
    <t xml:space="preserve">TOPE BORNAS </t>
  </si>
  <si>
    <t>RS 878-7556</t>
  </si>
  <si>
    <t>1004743006009</t>
  </si>
  <si>
    <t>TERMISTOR NTC 3K0 +-0.2K 60MW 2.41X6.5MM</t>
  </si>
  <si>
    <t>B57863S0302F040</t>
  </si>
  <si>
    <t>EPCOS AG</t>
  </si>
  <si>
    <t>1237000282000</t>
  </si>
  <si>
    <t>TERMINAL REGLETA AWG28-14 600V GRIS</t>
  </si>
  <si>
    <t>280-621</t>
  </si>
  <si>
    <t>1238512650400</t>
  </si>
  <si>
    <t>Terminal redondo aislado de Cobre RS PRO, Amarillo, Ø int. M6, sección máx. 6mm², 10AWG</t>
  </si>
  <si>
    <t>534-430</t>
  </si>
  <si>
    <t>1238524283201</t>
  </si>
  <si>
    <t>TERM PREAISL FASTON PIDG H 2,8MM (AWG22-</t>
  </si>
  <si>
    <t>1238024634001</t>
  </si>
  <si>
    <t>Terminal de lengüeta macho RS PRO de atornillar, 6.35 x 0.8mm M4</t>
  </si>
  <si>
    <t>125-1986</t>
  </si>
  <si>
    <t>Terminal de lengüeta hembra aislado de color Amarillo</t>
  </si>
  <si>
    <t>166-7509</t>
  </si>
  <si>
    <t>1237711415200</t>
  </si>
  <si>
    <t>TERM PUNTERA S=1,5MM2 L=14MM E-CU-PP NEG</t>
  </si>
  <si>
    <t>TE-1.50</t>
  </si>
  <si>
    <t>RACK POWER BOX</t>
  </si>
  <si>
    <t>1238514252800</t>
  </si>
  <si>
    <t>TERM PUNTERA P/CBL 2,5MM2 E-CU-PP GRIS</t>
  </si>
  <si>
    <t>TE-2.50</t>
  </si>
  <si>
    <t>1237714400300</t>
  </si>
  <si>
    <t>TERM PUNTE AISL P/CBL 4MM2 E-CU-PP NARAN</t>
  </si>
  <si>
    <t>TE-4.00</t>
  </si>
  <si>
    <t>1238524420660</t>
  </si>
  <si>
    <t>TERM PREAISL DIA 4,2MM CBL AWG16-14 AZUL</t>
  </si>
  <si>
    <t>MS25036-153</t>
  </si>
  <si>
    <t>1238590011400</t>
  </si>
  <si>
    <t>TERM FASTON P/PCB M5 250 FASTON TAB TPBR</t>
  </si>
  <si>
    <t>61365-1</t>
  </si>
  <si>
    <t>1238514160202</t>
  </si>
  <si>
    <t>TERM D4 AWG18-22 ROJO</t>
  </si>
  <si>
    <t>34148 / 841-968</t>
  </si>
  <si>
    <t>1237714100000</t>
  </si>
  <si>
    <t>TERM AISL PUNTERA P/CBL 1MM2 ROJO</t>
  </si>
  <si>
    <t>458-702</t>
  </si>
  <si>
    <t>RS 458-702</t>
  </si>
  <si>
    <t>1232525506100</t>
  </si>
  <si>
    <t>Telas mylar</t>
  </si>
  <si>
    <t>1239991870010</t>
  </si>
  <si>
    <t>8178855</t>
  </si>
  <si>
    <t>TAPON CIEGO 12.7X14.5X10.1MM NYLON66 NEG</t>
  </si>
  <si>
    <t>1589908780000</t>
  </si>
  <si>
    <t>TAPON OBTURADOR 14.5MM POLIAMIDA-6.6 NEG</t>
  </si>
  <si>
    <t>TR FASTENINGS</t>
  </si>
  <si>
    <t>1231024570900</t>
  </si>
  <si>
    <t>TAPA TERMO 4:1 POLEO 5,72-1,27MM L=30MM</t>
  </si>
  <si>
    <t>ES-CAP-NO.1-C1-X-30MM</t>
  </si>
  <si>
    <t>1237090351000</t>
  </si>
  <si>
    <t>TAPA LATERAL BORNA BLOQUE</t>
  </si>
  <si>
    <t>2002-1491 (RS 758-1708)</t>
  </si>
  <si>
    <t>1237092052300</t>
  </si>
  <si>
    <t>TAPA FINAL 36.2X50.5X2.5MM ZAP/TW7 OR</t>
  </si>
  <si>
    <t>1237092052100</t>
  </si>
  <si>
    <t>TAPA FINAL 2.2X39.6X68MM GRIS D-PTTB 2.5</t>
  </si>
  <si>
    <t>687-9653</t>
  </si>
  <si>
    <t>1351303410000</t>
  </si>
  <si>
    <t>T. RED GEST LCES2 C/MODBUS/ETH/SENS-AUX</t>
  </si>
  <si>
    <t>AP9644</t>
  </si>
  <si>
    <t>0972885290100</t>
  </si>
  <si>
    <t>Soporte de camaras</t>
  </si>
  <si>
    <t>1706202120000</t>
  </si>
  <si>
    <t>SOPORTE CARRIL DIN 84HP 426MM GRIS ACERO</t>
  </si>
  <si>
    <t>24565-100</t>
  </si>
  <si>
    <t>1399901561100</t>
  </si>
  <si>
    <t>SET TUBO CONDUCTOR DE HUMO DE 5 MT</t>
  </si>
  <si>
    <t>ETNA</t>
  </si>
  <si>
    <t>1251000380100</t>
  </si>
  <si>
    <t>Set de Micrófono+Preamplificador1/2"CCPG.R.A.S.46AO(27dBA a 147dbA)</t>
  </si>
  <si>
    <t>46AO</t>
  </si>
  <si>
    <t>1580130060000</t>
  </si>
  <si>
    <t xml:space="preserve">SEPARADOR EXA H/H M3X20MM E/C=5MM </t>
  </si>
  <si>
    <t>222-424</t>
  </si>
  <si>
    <t>es</t>
  </si>
  <si>
    <t>1580160210000</t>
  </si>
  <si>
    <t>SEPARADOR EX E/C 5 M/H M3X10MM ACER ZINC</t>
  </si>
  <si>
    <t>1264011783100</t>
  </si>
  <si>
    <t>SAI 80KW 3F 400V PUESTA-5X8 GALAXY-VS</t>
  </si>
  <si>
    <t>GVSUPS80KHS</t>
  </si>
  <si>
    <t>0972828190100</t>
  </si>
  <si>
    <t>0973528190100</t>
  </si>
  <si>
    <t>RTIO SUBRACK MECH</t>
  </si>
  <si>
    <t>1010151000800</t>
  </si>
  <si>
    <t>COND CER 10NF 100V 10% CK05</t>
  </si>
  <si>
    <t>MALLORY</t>
  </si>
  <si>
    <t>1000245601001</t>
  </si>
  <si>
    <t>RST PELMET AXI 5K6 1% 50PPM 0.6W 0207 RH</t>
  </si>
  <si>
    <t>MRS25000C5601FCT00</t>
  </si>
  <si>
    <t>1000243901101</t>
  </si>
  <si>
    <t>RST PELMET AXI 3K90 1% 50PPM 3/5W 0207 R</t>
  </si>
  <si>
    <t>MRS25000C3901FCT00</t>
  </si>
  <si>
    <t>1000142801001</t>
  </si>
  <si>
    <t>RST PELMET AXI 2K80 1% 50PPM 2/5W 0204 R</t>
  </si>
  <si>
    <t>MRS16000C2801FCT00</t>
  </si>
  <si>
    <t>1000242000103</t>
  </si>
  <si>
    <t>RST PELMET AXI 2K00 0.1% 15PPM 1/4W ROHS</t>
  </si>
  <si>
    <t>1000252701001</t>
  </si>
  <si>
    <t>RST PELMET AXI 27K 1% 50PPM 0.6W 0207 RH</t>
  </si>
  <si>
    <t>MRS25000C2702FCT00</t>
  </si>
  <si>
    <t>1000251001301</t>
  </si>
  <si>
    <t>RST PELMET AXI 10K 1% 50PPM 0.6W 0207 RH</t>
  </si>
  <si>
    <t>MRS25000C1002FCT00</t>
  </si>
  <si>
    <t>1000242801001</t>
  </si>
  <si>
    <t>RST PELMET 2K80 1% 50PPM 3/5W 0207 ROHS</t>
  </si>
  <si>
    <t>MF0207FTE52-2K8</t>
  </si>
  <si>
    <t>1000242401000</t>
  </si>
  <si>
    <t>RST PELMET 2K4  1% 1/4W 100PPM 0207</t>
  </si>
  <si>
    <t>LR1 F2K4</t>
  </si>
  <si>
    <t>1002548203009</t>
  </si>
  <si>
    <t>RST PELCAR 8K205% 1/4W 0207</t>
  </si>
  <si>
    <t>RC1/4G822JT</t>
  </si>
  <si>
    <t>606100450</t>
  </si>
  <si>
    <t>ROUND TWISTED LACING CORD LC 114 BLACK</t>
  </si>
  <si>
    <t>1229591601000</t>
  </si>
  <si>
    <t>rosa 7,5 M F/UTP LSZH</t>
  </si>
  <si>
    <t>LAT-CAT6AF-RS-7.5</t>
  </si>
  <si>
    <t>1229591600909</t>
  </si>
  <si>
    <t>rosa 3 M F/UTP LSZH</t>
  </si>
  <si>
    <t>LAT-CAT6AF-RS-3</t>
  </si>
  <si>
    <t>1229591600908</t>
  </si>
  <si>
    <t>rosa 2 M F/UTP LSZH</t>
  </si>
  <si>
    <t>LAT-CAT6AF-RS-2</t>
  </si>
  <si>
    <t>1229591600706</t>
  </si>
  <si>
    <t>rojo 7,5 M F/UTP LSZH</t>
  </si>
  <si>
    <t>LAT-CAT6AF-RJ-7.5</t>
  </si>
  <si>
    <t>1229591600812</t>
  </si>
  <si>
    <t>rojo 5 M F/UTP LSZH</t>
  </si>
  <si>
    <t>LAT-CAT6AF-RJ-5</t>
  </si>
  <si>
    <t>1229591600705</t>
  </si>
  <si>
    <t>rojo 3 M F/UTP LSZH</t>
  </si>
  <si>
    <t>LAT-CAT6AF-RJ-3</t>
  </si>
  <si>
    <t>1229590008202</t>
  </si>
  <si>
    <t>rojo 25 M F/UTP LSZH</t>
  </si>
  <si>
    <t>LAT-CAT6AF-RJ-25</t>
  </si>
  <si>
    <t>1229590008201</t>
  </si>
  <si>
    <t>rojo 20 M F/UTP LSZH</t>
  </si>
  <si>
    <t>LAT-CAT6AF-RJ-20</t>
  </si>
  <si>
    <t>1229591600704</t>
  </si>
  <si>
    <t>rojo 2 M F/UTP LSZH</t>
  </si>
  <si>
    <t>LAT-CAT6AF-RJ-2</t>
  </si>
  <si>
    <t>1229591601100</t>
  </si>
  <si>
    <t>rojo 15 M F/UTP LSZH</t>
  </si>
  <si>
    <t>LAT-CAT6AF-RJ-15</t>
  </si>
  <si>
    <t>1229591600707</t>
  </si>
  <si>
    <t>rojo 10 M F/UTP LSZH</t>
  </si>
  <si>
    <t>LAT-CAT6AF-RJ-10</t>
  </si>
  <si>
    <t>1000954320003</t>
  </si>
  <si>
    <t>RESISTOR 43KΩ</t>
  </si>
  <si>
    <t>H843K2BYA</t>
  </si>
  <si>
    <t>1002531003609</t>
  </si>
  <si>
    <t>RESISTOR 100 Ω</t>
  </si>
  <si>
    <t>707-7587</t>
  </si>
  <si>
    <t>901197824-01</t>
  </si>
  <si>
    <t>Resistencia axial 8K2</t>
  </si>
  <si>
    <t>1002551003309</t>
  </si>
  <si>
    <t>Resistencia axial 10K</t>
  </si>
  <si>
    <t>RST PELMET   6K81  1% 1/8W RLR05C6811FR</t>
  </si>
  <si>
    <t>RLR05C6811FR</t>
  </si>
  <si>
    <t>1000245621010</t>
  </si>
  <si>
    <t>RESISTENCIA 5K6</t>
  </si>
  <si>
    <t>R024562JN1M01</t>
  </si>
  <si>
    <t>RCR07G221JS</t>
  </si>
  <si>
    <t>RESISTENCIA 220 OHM 1/4W 5%</t>
  </si>
  <si>
    <t>1000234703030</t>
  </si>
  <si>
    <t>RESISTENCIA 470Ω</t>
  </si>
  <si>
    <t>RLR07C4700JR</t>
  </si>
  <si>
    <t>1139022450400</t>
  </si>
  <si>
    <t>RELE INTERFACE 4PDT 24V/5A CO CARRIL SER</t>
  </si>
  <si>
    <t>58.34.9.024.0050SMA (RS 623-7292)</t>
  </si>
  <si>
    <t>1130115020300</t>
  </si>
  <si>
    <t>RELÉ 5VDC opcion1</t>
  </si>
  <si>
    <t>NAIS DS1E-S-DC5V</t>
  </si>
  <si>
    <t>NAIS</t>
  </si>
  <si>
    <t>1130115010701</t>
  </si>
  <si>
    <t>RELÉ 5Vdc opcion 2</t>
  </si>
  <si>
    <t>DR-5V</t>
  </si>
  <si>
    <t>MATSUSHITA</t>
  </si>
  <si>
    <t>3210104723503</t>
  </si>
  <si>
    <t>RED 45 M F/UTP LSZH</t>
  </si>
  <si>
    <t>CBT-CAT7F-45</t>
  </si>
  <si>
    <t>1706701900200</t>
  </si>
  <si>
    <t>RAIL GUIA DIN 43880 SOP SUJECCION P/19"</t>
  </si>
  <si>
    <t>24560-171</t>
  </si>
  <si>
    <t>1705202000000</t>
  </si>
  <si>
    <t>24564-100</t>
  </si>
  <si>
    <t>1706702820000</t>
  </si>
  <si>
    <t>RAIL DIN UNPERFORA 35X15MM AC/GALVANIZ</t>
  </si>
  <si>
    <t>PHOENIX  CONTACT</t>
  </si>
  <si>
    <t>1000242431001</t>
  </si>
  <si>
    <t>R 2K4</t>
  </si>
  <si>
    <t>LR1F2K4</t>
  </si>
  <si>
    <t>1000252702001</t>
  </si>
  <si>
    <t>R 27K</t>
  </si>
  <si>
    <t>1000261802050</t>
  </si>
  <si>
    <t>R 180</t>
  </si>
  <si>
    <t>1000251000003</t>
  </si>
  <si>
    <t>R 10K</t>
  </si>
  <si>
    <t>3030700470000</t>
  </si>
  <si>
    <t>QNAP PROCESADOR INTEL XEON D-1622 3.2GHZ 32GB</t>
  </si>
  <si>
    <t>TS-H1886XU-RP-R2-D1622-32G</t>
  </si>
  <si>
    <t>QNAP SYSTEMS</t>
  </si>
  <si>
    <t>1883000260000</t>
  </si>
  <si>
    <t>PUNTO DE ENLACE A TIERRA 25X35MM CONEX T</t>
  </si>
  <si>
    <t>78-ESD-BP</t>
  </si>
  <si>
    <t>EUROASICA S.A.</t>
  </si>
  <si>
    <t>392-141</t>
  </si>
  <si>
    <t>PUNTERA S/AISLAR 4MM2 2,8X12MM CU/SN</t>
  </si>
  <si>
    <t>PUNTERA PREAISLA 4MM2 NARANJA</t>
  </si>
  <si>
    <t>BIZ 000 925</t>
  </si>
  <si>
    <t>BIZLINE</t>
  </si>
  <si>
    <t>1237000289000</t>
  </si>
  <si>
    <t>PUENTE TERMINAL REGLETA 24A GRIS</t>
  </si>
  <si>
    <t>280-402</t>
  </si>
  <si>
    <t>1263511210200</t>
  </si>
  <si>
    <t>PS 24VDC 60W DIN</t>
  </si>
  <si>
    <t>S8VS-06024</t>
  </si>
  <si>
    <t>AC610000014</t>
  </si>
  <si>
    <t>1263511601900</t>
  </si>
  <si>
    <t>PS 12-15VDC 60W DIN</t>
  </si>
  <si>
    <t>DRA-60-12 (RS 122-2219)</t>
  </si>
  <si>
    <t>1390400090100</t>
  </si>
  <si>
    <t>PREAMPLIFICADOR 6-18V MONO P/MICROFONO</t>
  </si>
  <si>
    <t>PM-1</t>
  </si>
  <si>
    <t>CEBEK</t>
  </si>
  <si>
    <t>1263011992600</t>
  </si>
  <si>
    <t>Power Module CCP G.R.A.S. 12AL</t>
  </si>
  <si>
    <t>12AL</t>
  </si>
  <si>
    <t>0973525430000.00</t>
  </si>
  <si>
    <t>POWER CABINET</t>
  </si>
  <si>
    <t>ISC</t>
  </si>
  <si>
    <t>1060900210000</t>
  </si>
  <si>
    <t>PORTALEDS NEGRO</t>
  </si>
  <si>
    <t>925200150-01</t>
  </si>
  <si>
    <t>1237090350800</t>
  </si>
  <si>
    <t>PLACA 2,5MM INTERM/FINAL REGLETA</t>
  </si>
  <si>
    <t>280-316</t>
  </si>
  <si>
    <t>1209990010000</t>
  </si>
  <si>
    <t>PIN PARA CONECTOR SUB-D M 20-24AWG</t>
  </si>
  <si>
    <t>17-RRD1M01-400</t>
  </si>
  <si>
    <t>1219990010100</t>
  </si>
  <si>
    <t>PIN H CNC SUB-D AWG20-24</t>
  </si>
  <si>
    <t>17-RRD1F 11-400</t>
  </si>
  <si>
    <t>PIN CNC SUB-D M 20-24AWG (ROLLO 400UD)</t>
  </si>
  <si>
    <t>3120500540100</t>
  </si>
  <si>
    <t>PDU MANAGED 24XC13/6XC19 32A 22KW RACK</t>
  </si>
  <si>
    <t>DK 7979.437</t>
  </si>
  <si>
    <t>1350100110100</t>
  </si>
  <si>
    <t>PCB TIPO MATRIZ 100X160MM EUROCARD SRBP</t>
  </si>
  <si>
    <t>RE200HP</t>
  </si>
  <si>
    <t>ROTH ELEKTRONIK</t>
  </si>
  <si>
    <t>1229591600811</t>
  </si>
  <si>
    <t>negro 1.5 M F/UTP LSZH</t>
  </si>
  <si>
    <t>LAT-CAT6AF-NG-1.5</t>
  </si>
  <si>
    <t>1229591601108</t>
  </si>
  <si>
    <t>negro 0,3 M F/UTP LSZH</t>
  </si>
  <si>
    <t>LAT-CAT6AF-NG-0.3</t>
  </si>
  <si>
    <t>1229591601104</t>
  </si>
  <si>
    <t>negro 0,15 M F/UTP LSZH</t>
  </si>
  <si>
    <t>LAT-CAT6AF-NG-0.15</t>
  </si>
  <si>
    <t>1246701149100</t>
  </si>
  <si>
    <t>MOD CONTROL REMOTO MANDO-CBL C/BLUETOOTH</t>
  </si>
  <si>
    <t>BRC1H52W</t>
  </si>
  <si>
    <t>1246701149001</t>
  </si>
  <si>
    <t>MOD CONTROL REMOTO 120X120X19MM VRV SKY</t>
  </si>
  <si>
    <t>BRC1E53A</t>
  </si>
  <si>
    <t>0972128051800</t>
  </si>
  <si>
    <t>MECÁNICA SERVOS MOOG</t>
  </si>
  <si>
    <t>AC610000015</t>
  </si>
  <si>
    <t>MANG AUTOSOLD 4,57-2,54MM SNPB</t>
  </si>
  <si>
    <t>D-101-00</t>
  </si>
  <si>
    <t>1141009210100</t>
  </si>
  <si>
    <t>LUMINARIA LED 15BLANC+1ROJO 10-3VDC F-4M</t>
  </si>
  <si>
    <t>FRENSCH GMBH</t>
  </si>
  <si>
    <t>1142013110400</t>
  </si>
  <si>
    <t>LED AMBAR 115VAC 8MM IP67</t>
  </si>
  <si>
    <t>Q8P1CXXY110E</t>
  </si>
  <si>
    <t>MOUSER</t>
  </si>
  <si>
    <t>1060330100001</t>
  </si>
  <si>
    <t>LED AMARILLO 8X3MM 2V IP67</t>
  </si>
  <si>
    <t>Q8P1CXXY02E</t>
  </si>
  <si>
    <t>1060232041000</t>
  </si>
  <si>
    <t xml:space="preserve">1002548203009	</t>
  </si>
  <si>
    <t>LED AMARILLO 5 MM + Resist 5Vdc</t>
  </si>
  <si>
    <t>250-9694</t>
  </si>
  <si>
    <t>X</t>
  </si>
  <si>
    <t>1060283000000</t>
  </si>
  <si>
    <t>LED 5MM BLANCO 2300MCD 3,2V 65G 515D TH</t>
  </si>
  <si>
    <t xml:space="preserve">	NSPW515DS</t>
  </si>
  <si>
    <t>NICHIA</t>
  </si>
  <si>
    <t>1060273000000</t>
  </si>
  <si>
    <t>LED 5MM AZUL 465NM 2700MCD 3,3V 2P TH</t>
  </si>
  <si>
    <t>L-7113QBC-D</t>
  </si>
  <si>
    <t>KINGBRIGHT</t>
  </si>
  <si>
    <t>1706201190000</t>
  </si>
  <si>
    <t>KIT MOD DISTR POT SUBRACK 3U 84HP 115MM</t>
  </si>
  <si>
    <t>24563-100</t>
  </si>
  <si>
    <t>1135234080300</t>
  </si>
  <si>
    <t>KIT DISYUNTOR 20-80KW 400V VRLA GALAXYVS</t>
  </si>
  <si>
    <t>GVSBBK20K80H</t>
  </si>
  <si>
    <t>1246790030000</t>
  </si>
  <si>
    <t>KIT CONTROL ON/OFF REMOTO PARO FORZADO</t>
  </si>
  <si>
    <t>EKRORO</t>
  </si>
  <si>
    <t>1706700040700</t>
  </si>
  <si>
    <t>KIT / GUIA MONTAJE P/RACK NAS INSTALACION</t>
  </si>
  <si>
    <t>RAIL-B02</t>
  </si>
  <si>
    <t>1237091470401</t>
  </si>
  <si>
    <t>JUMPER CONEX TRANSV 24A AMAR ZQV 2.5/2</t>
  </si>
  <si>
    <t>1136090086600</t>
  </si>
  <si>
    <t>INT MAGNETO AUTO 4P IC60H 16A CURVA-D</t>
  </si>
  <si>
    <t>A9F85416</t>
  </si>
  <si>
    <t>RS 734-9715</t>
  </si>
  <si>
    <t>1136034481602</t>
  </si>
  <si>
    <t>INT AUTO MAG-TERMICO 2P 16A CURV-D IC60N</t>
  </si>
  <si>
    <t>A9F75216</t>
  </si>
  <si>
    <t>RS 734-9664</t>
  </si>
  <si>
    <t>0973588030000</t>
  </si>
  <si>
    <t>IF BF MOTION</t>
  </si>
  <si>
    <t>7851107360000</t>
  </si>
  <si>
    <t>Herramienta extractora de molduras</t>
  </si>
  <si>
    <t>ZB5AZ905 (RS 365-5316)</t>
  </si>
  <si>
    <t>1209500900300</t>
  </si>
  <si>
    <t>HEADER 2,54 mm low profile S/R vert, 9</t>
  </si>
  <si>
    <t>70543-0008</t>
  </si>
  <si>
    <t>1209501002300</t>
  </si>
  <si>
    <t>HEADER 2,54 mm low profile S/R vert, 10</t>
  </si>
  <si>
    <t>70543-0044</t>
  </si>
  <si>
    <t>1128990028000</t>
  </si>
  <si>
    <t>HEAD SETA EMERG RO P/PULS D=22MM IP66</t>
  </si>
  <si>
    <t>ZB4BS844</t>
  </si>
  <si>
    <t>1587090630000</t>
  </si>
  <si>
    <t>HAZARD WARNING LABEL, VINYL, BLACK/GREEN</t>
  </si>
  <si>
    <t>776-0939</t>
  </si>
  <si>
    <t>1587020050400</t>
  </si>
  <si>
    <t>ALT 1587020050400.UN</t>
  </si>
  <si>
    <t>HAZARD WARNING LABEL VINYL BLACK/YELLOW</t>
  </si>
  <si>
    <t>776-0948</t>
  </si>
  <si>
    <t>1229591600702</t>
  </si>
  <si>
    <t>gris 7,5 M F/UTP LSZH</t>
  </si>
  <si>
    <t>LAT-CAT6AF-GR-7.5</t>
  </si>
  <si>
    <t>1229591601103</t>
  </si>
  <si>
    <t>gris 5 M F/UTP LSZH</t>
  </si>
  <si>
    <t>LAT-CAT6AF-GR-5</t>
  </si>
  <si>
    <t>1229591600703</t>
  </si>
  <si>
    <t>gris 10 M F/UTP LSZH</t>
  </si>
  <si>
    <t>LAT-CAT6AF-GR-10</t>
  </si>
  <si>
    <t>1399901561000</t>
  </si>
  <si>
    <t>GENERADOR DE HUMO MOD. ETNA</t>
  </si>
  <si>
    <t>1807990300100</t>
  </si>
  <si>
    <t>GARRAFA 20 L LIQUIDO DE HUMOS</t>
  </si>
  <si>
    <t>1705505480000</t>
  </si>
  <si>
    <t>FRONT PANEL FOR 19'' MODULE SUPPORT</t>
  </si>
  <si>
    <t>24563-096</t>
  </si>
  <si>
    <t>24563-097</t>
  </si>
  <si>
    <t>1234090019000</t>
  </si>
  <si>
    <t>FIJACION CABLE VELCRO/SOPORTE 400MM</t>
  </si>
  <si>
    <t>1246003150000</t>
  </si>
  <si>
    <t>RS 498-8617</t>
  </si>
  <si>
    <t>EXTRACTION FAN</t>
  </si>
  <si>
    <t xml:space="preserve">G2E140-NS38-01  </t>
  </si>
  <si>
    <t>EBM-PAPST</t>
  </si>
  <si>
    <t>7884000010000</t>
  </si>
  <si>
    <t>EXTINTOR CO2 2KG 34B 3,01L 116X485MM</t>
  </si>
  <si>
    <t>CO2-2 AF</t>
  </si>
  <si>
    <t>0917987000100</t>
  </si>
  <si>
    <t>ETIQUETA IDENTIFICACION</t>
  </si>
  <si>
    <t>1587090080000</t>
  </si>
  <si>
    <t>ETIQUETA ADH POLIESTER METALIZAD CIL9200</t>
  </si>
  <si>
    <t>44-LA1416</t>
  </si>
  <si>
    <t>1587090070000</t>
  </si>
  <si>
    <t>ETIQUETA ADH POLIESTER AMARILLA CIL 9300</t>
  </si>
  <si>
    <t>44-LA1786</t>
  </si>
  <si>
    <t>1587080790700</t>
  </si>
  <si>
    <t>ETIQ ADH 27X12,5MM PLATA PE TRASNF TERMI</t>
  </si>
  <si>
    <t>M71EP-2-7593-SL</t>
  </si>
  <si>
    <t>7883000040200</t>
  </si>
  <si>
    <t>ESD 10MM ANTI-STATIC WRIST BAND</t>
  </si>
  <si>
    <t>287-7385</t>
  </si>
  <si>
    <t>1509016016390</t>
  </si>
  <si>
    <t xml:space="preserve">
826-2903</t>
  </si>
  <si>
    <t>DK ASSEMBLY SCREWS, PHILIPS-HEAD SCREW M6X16 MM</t>
  </si>
  <si>
    <t>0973580140600</t>
  </si>
  <si>
    <t>CB DIST PANEL STRUCT</t>
  </si>
  <si>
    <t>3060301930600</t>
  </si>
  <si>
    <t>DISCO DURO SSD 2TB SATA3 2.5" 870QVO NEG</t>
  </si>
  <si>
    <t>MZ-77Q2T0BW</t>
  </si>
  <si>
    <t>SAMSUNG</t>
  </si>
  <si>
    <t>1040512701101</t>
  </si>
  <si>
    <t>DIO ZENER 2.4V 50UA 0.5W DO-35-2 ROHS</t>
  </si>
  <si>
    <t>BZX55C2V4-TR</t>
  </si>
  <si>
    <t>0971788310100</t>
  </si>
  <si>
    <t>DBDU CONNECTION PLATE</t>
  </si>
  <si>
    <t>0973564310100</t>
  </si>
  <si>
    <t>DBCU CAJA CONEXIONES</t>
  </si>
  <si>
    <t>0971785310100</t>
  </si>
  <si>
    <t>DBCU BUTTON DOOR</t>
  </si>
  <si>
    <t>0973564310200</t>
  </si>
  <si>
    <t>SMK BOX CAJA CONEXIONES</t>
  </si>
  <si>
    <t>0973580310200</t>
  </si>
  <si>
    <t>CARRIL DIN SMKBOX#1</t>
  </si>
  <si>
    <t>0973581310200</t>
  </si>
  <si>
    <t>CARRIL DIN SMKBOX#2</t>
  </si>
  <si>
    <t>0973564320200</t>
  </si>
  <si>
    <t>SMK CONNECTION PLATE</t>
  </si>
  <si>
    <t>1586600150000</t>
  </si>
  <si>
    <t>617-4450</t>
  </si>
  <si>
    <t>CONJ. FIJACION MURAL AC ZN/PAS ARMARIOS</t>
  </si>
  <si>
    <t>NSYPFCR</t>
  </si>
  <si>
    <t>1142012242600</t>
  </si>
  <si>
    <t>CUERPO LED AMARILLO 24V</t>
  </si>
  <si>
    <t>ZB5AVB5</t>
  </si>
  <si>
    <t>1135022486201</t>
  </si>
  <si>
    <t>CONTACTOR 4P 4NO 24V 25A DINRAIL LC1D</t>
  </si>
  <si>
    <t>LC1DT25BL</t>
  </si>
  <si>
    <t>RS 744-7535</t>
  </si>
  <si>
    <t>1135022486200</t>
  </si>
  <si>
    <t>CONTACTOR 3P 3NO 24V 25A DINRAIL LC1D</t>
  </si>
  <si>
    <t>LC1D126BL</t>
  </si>
  <si>
    <t>RS 845-1380</t>
  </si>
  <si>
    <t>1135036060000</t>
  </si>
  <si>
    <t>CONTACTOR 0.5-10HP 9A TESYS  K-LINE 600V</t>
  </si>
  <si>
    <t>LP2K0910BD</t>
  </si>
  <si>
    <t>RS 758-793</t>
  </si>
  <si>
    <t>1128910112001</t>
  </si>
  <si>
    <t>CONTACT BLOCK NO 3_4</t>
  </si>
  <si>
    <t>ZBE1015</t>
  </si>
  <si>
    <t>1128910113001</t>
  </si>
  <si>
    <t>CONTACT BLOCK NC 1_2</t>
  </si>
  <si>
    <t>ZBE1025</t>
  </si>
  <si>
    <t>1218000320303</t>
  </si>
  <si>
    <t>CONNECTOR CETAC 16 A BLUE (SINGLE PHASE) MALE</t>
  </si>
  <si>
    <t>148A</t>
  </si>
  <si>
    <t xml:space="preserve">RS 530-5760 </t>
  </si>
  <si>
    <t>1218000320401</t>
  </si>
  <si>
    <t>CONECTOR IEC ACOD</t>
  </si>
  <si>
    <t>4785.0000</t>
  </si>
  <si>
    <t>1217000920001</t>
  </si>
  <si>
    <t>CNC USB-A 3.0 9H RECEP PANEL IP20</t>
  </si>
  <si>
    <t>09 45 452 1904</t>
  </si>
  <si>
    <t>1218000221500</t>
  </si>
  <si>
    <t>CNC RED SCHUKO 2P+T H 250V 16A PVC NEGRO</t>
  </si>
  <si>
    <t>1218000320500</t>
  </si>
  <si>
    <t>CNC RED 3H RECT 240V 10A IEC320-C13 SCRW</t>
  </si>
  <si>
    <t>PX0587</t>
  </si>
  <si>
    <t>1218000320501</t>
  </si>
  <si>
    <t>PX0587/SE</t>
  </si>
  <si>
    <t>1206500320701</t>
  </si>
  <si>
    <t>CNC JACK SOCKET 3P/M 6.35MM SOLD N-PL ACODADO</t>
  </si>
  <si>
    <t>NP3RX</t>
  </si>
  <si>
    <t>NEUTRIX</t>
  </si>
  <si>
    <t>1206500328000</t>
  </si>
  <si>
    <t>CNC JACK PLUG(M) STEREO 3,5MM RECT SOLD</t>
  </si>
  <si>
    <t>KLS 40</t>
  </si>
  <si>
    <t>1206500221000</t>
  </si>
  <si>
    <t>CNC JACK PLUG(M) MONO 3,5MM RECT SOLD</t>
  </si>
  <si>
    <t>KLS 22</t>
  </si>
  <si>
    <t>LUMBERG</t>
  </si>
  <si>
    <t>1216500322200</t>
  </si>
  <si>
    <t>CNC JACK CHASSIS 3H 10A 6.35MM SOLD ROHS</t>
  </si>
  <si>
    <t>NJ3FP6C</t>
  </si>
  <si>
    <t>1208000220002</t>
  </si>
  <si>
    <t>CNC ENCHUFE ALIM 2P 250VAC TYPE F 16A RO</t>
  </si>
  <si>
    <t>849-6112</t>
  </si>
  <si>
    <t>1206500321500</t>
  </si>
  <si>
    <t>CNC AUDIO XLR 3M 16A PLUG ACOD SOLD RX</t>
  </si>
  <si>
    <t>NC3MRX</t>
  </si>
  <si>
    <t>1206500320300</t>
  </si>
  <si>
    <t>CNC AUDIO 3M AEREO S/CBL</t>
  </si>
  <si>
    <t xml:space="preserve">NC3MX </t>
  </si>
  <si>
    <t>GBP</t>
  </si>
  <si>
    <t>1216500320300</t>
  </si>
  <si>
    <t>CNC AUDIO 3H AEREO S/CBL</t>
  </si>
  <si>
    <t xml:space="preserve">NC3FX </t>
  </si>
  <si>
    <t>1206500321400</t>
  </si>
  <si>
    <t>CNC AUDIO 1/4” 3M PLUG RECT S/CBL PX</t>
  </si>
  <si>
    <t>NP3X</t>
  </si>
  <si>
    <t>1218095002000</t>
  </si>
  <si>
    <t>CLAVIJA STAR TOP 5P 400V 50/60HZ 16A ROJO</t>
  </si>
  <si>
    <t xml:space="preserve">RS 371-5569 </t>
  </si>
  <si>
    <t>1229508280205</t>
  </si>
  <si>
    <t>CBL EQ UTP RJ45-M/M 50FT VERDE CAT6 LSZH</t>
  </si>
  <si>
    <t>MM-C6N-50-28LSZH-F</t>
  </si>
  <si>
    <t>PACTECH</t>
  </si>
  <si>
    <t>1229508280005</t>
  </si>
  <si>
    <t>CBL EQ UTP RJ45-M/M 50FT NEGRO CAT6 LSZH</t>
  </si>
  <si>
    <t>MM-C6K-50-28LSZH-F</t>
  </si>
  <si>
    <t>1229508280505</t>
  </si>
  <si>
    <t>CBL EQ UTP RJ45-M/M 50FT AMAR CAT6 LSZH</t>
  </si>
  <si>
    <t>MM-C6Y-50-28LSZH-F</t>
  </si>
  <si>
    <t>1229508280004</t>
  </si>
  <si>
    <t>CBL EQ UTP RJ45-M/M 35FT NEGRO CAT6 LSZH</t>
  </si>
  <si>
    <t>MM-C6K-35-28LSZH-F</t>
  </si>
  <si>
    <t>1229508280304</t>
  </si>
  <si>
    <t>CBL EQ UTP RJ45-M/M 35FT BLANC CAT6 LSZH</t>
  </si>
  <si>
    <t>MM-C6W-35-28LSZH-F</t>
  </si>
  <si>
    <t>1229508280504</t>
  </si>
  <si>
    <t>CBL EQ UTP RJ45-M/M 35FT AMAR CAT6 LSZH</t>
  </si>
  <si>
    <t>MM-C6Y-35-28LSZH-F</t>
  </si>
  <si>
    <t>1229508280003</t>
  </si>
  <si>
    <t>CBL EQ UTP RJ45-M/M 20FT NEGRO CAT6 LSZH</t>
  </si>
  <si>
    <t>MM-C6K-20-28LSZH-F</t>
  </si>
  <si>
    <t>1229508280703</t>
  </si>
  <si>
    <t>CBL EQ UTP RJ45-M/M 20FT NARA CAT6 LSZH</t>
  </si>
  <si>
    <t>MM-C6O-20-28LSZH-F</t>
  </si>
  <si>
    <t>1229508280303</t>
  </si>
  <si>
    <t>CBL EQ UTP RJ45-M/M 20FT BLANC CAT6 LSZH</t>
  </si>
  <si>
    <t>MM-C6W-20-28LSZH-F</t>
  </si>
  <si>
    <t>1229508280202</t>
  </si>
  <si>
    <t>CBL EQ UTP RJ45-M/M 10FT VERDE CAT6 LSZH</t>
  </si>
  <si>
    <t>MM-C6N-10-28LSZH-F</t>
  </si>
  <si>
    <t>1229508280402</t>
  </si>
  <si>
    <t>CBL EQ UTP RJ45-M/M 10FT ROJO CAT6 LSZH</t>
  </si>
  <si>
    <t>MM-C6R-10-28LSZH-F</t>
  </si>
  <si>
    <t>1229508280002</t>
  </si>
  <si>
    <t>CBL EQ UTP RJ45-M/M 10FT NEGRO CAT6 LSZH</t>
  </si>
  <si>
    <t>MM-C6K-10-28LSZH-F</t>
  </si>
  <si>
    <t>1229508280302</t>
  </si>
  <si>
    <t>CBL EQ UTP RJ45-M/M 10FT BLANC CAT6 LSZH</t>
  </si>
  <si>
    <t>MM-C6W-10-28LSZH-F</t>
  </si>
  <si>
    <t>1229598280203</t>
  </si>
  <si>
    <t>CBL EQ UTP RJ45-M/M 10FT AZ/OSC. CAT6 LSZH</t>
  </si>
  <si>
    <t>MM-C6T-10-28LSZH-F</t>
  </si>
  <si>
    <t>1229508280502</t>
  </si>
  <si>
    <t>CBL EQ UTP RJ45-M/M 10FT AMAR CAT6 LSZH</t>
  </si>
  <si>
    <t>MM-C6Y-10-28LSZH-F</t>
  </si>
  <si>
    <t>1229508940000</t>
  </si>
  <si>
    <t>CBL EQ USB2.0 A-M/B-M 480MBPS PVC L=3M</t>
  </si>
  <si>
    <t>1229591920606</t>
  </si>
  <si>
    <t>CBL EQ USB(A/B) 3M AZ</t>
  </si>
  <si>
    <t>182-8838</t>
  </si>
  <si>
    <t>3170107821090</t>
  </si>
  <si>
    <t>CBL EQ PARA SWITCH KVM 4,572MM</t>
  </si>
  <si>
    <t>USBIAC-15</t>
  </si>
  <si>
    <t>1229524256302</t>
  </si>
  <si>
    <t>CBL EQ FO DUPL 62.5/125 MM 2XSC/2XSC 50M</t>
  </si>
  <si>
    <t>MADI50D</t>
  </si>
  <si>
    <t>ALVA AUDIO</t>
  </si>
  <si>
    <t>1229508980000</t>
  </si>
  <si>
    <t>CBL EQ BNC-M/M 75R RG59/U PVC L=0.5M</t>
  </si>
  <si>
    <t>122-2147</t>
  </si>
  <si>
    <t>1221200222221</t>
  </si>
  <si>
    <t>CBL APAN 2XAWG22 PVDF 600V CUSN NE/BL-BL</t>
  </si>
  <si>
    <t>44A1121-22-0/9-9</t>
  </si>
  <si>
    <t>1589990770000</t>
  </si>
  <si>
    <t>CARRIL DIN 35X7,5MM L=2MTR</t>
  </si>
  <si>
    <t>20119-375</t>
  </si>
  <si>
    <t>0973580310100</t>
  </si>
  <si>
    <t>CARRIL DIN</t>
  </si>
  <si>
    <t>0973581310100</t>
  </si>
  <si>
    <t>1251000100200</t>
  </si>
  <si>
    <t>CAPSULA MICROFONICA DINAMICA 2204-I</t>
  </si>
  <si>
    <t>2204-I</t>
  </si>
  <si>
    <t>FOX ELECTRONICS</t>
  </si>
  <si>
    <t>1289991640001</t>
  </si>
  <si>
    <t>CAP XB5 22MM ARROW WHITE</t>
  </si>
  <si>
    <t>ZBAF335</t>
  </si>
  <si>
    <t>1289991640000</t>
  </si>
  <si>
    <t>CAP XB5 22MM ARROW BLACK</t>
  </si>
  <si>
    <t>ZBAF334</t>
  </si>
  <si>
    <t>1706500060400</t>
  </si>
  <si>
    <t>CANTILEVER TRAY 2U 483X400MM STEEL GRAY</t>
  </si>
  <si>
    <t>802-0282</t>
  </si>
  <si>
    <t>1706500020900</t>
  </si>
  <si>
    <t>CANTILEVER TELESCOPIC TRAY 2U 19" 280MM BLACK</t>
  </si>
  <si>
    <t>CAXCTT280</t>
  </si>
  <si>
    <t>7279902131200</t>
  </si>
  <si>
    <t>CALIBRADOR</t>
  </si>
  <si>
    <t>42AG</t>
  </si>
  <si>
    <t>1229500300002</t>
  </si>
  <si>
    <t xml:space="preserve">cable SFP+ 3M </t>
  </si>
  <si>
    <t>EX-SFP-10GE-DAC-3M</t>
  </si>
  <si>
    <t>1229500300007</t>
  </si>
  <si>
    <t xml:space="preserve">cable SFP+ 2M </t>
  </si>
  <si>
    <t>EX-SFP-10GE-DAC-2M</t>
  </si>
  <si>
    <t>1221100222010</t>
  </si>
  <si>
    <t>CABLE 1 HILO AWG22 APANT. BLANCO</t>
  </si>
  <si>
    <t>44A1111-22-9-9</t>
  </si>
  <si>
    <t>Cable  SFP+ Ethernet StarTech.com, long. 2m</t>
  </si>
  <si>
    <t>240-6212</t>
  </si>
  <si>
    <t>1128991450000</t>
  </si>
  <si>
    <t>CABEZA PULSADOR MOM 22MM RASANTE XB5</t>
  </si>
  <si>
    <t>ZB5AA0 (RS 746-9207)</t>
  </si>
  <si>
    <t>1149900090500</t>
  </si>
  <si>
    <t>CABEZA PILOTO LUMINOSO BLANCO D=22</t>
  </si>
  <si>
    <t>ZB5AV01 (342-2857)</t>
  </si>
  <si>
    <t>0970885472800</t>
  </si>
  <si>
    <t>BOX FIXATION</t>
  </si>
  <si>
    <t>1237090092100</t>
  </si>
  <si>
    <t>BORNERO MODULAR RAIL (4+3+3)x20</t>
  </si>
  <si>
    <t xml:space="preserve">8559N2011B </t>
  </si>
  <si>
    <t>1237090082100</t>
  </si>
  <si>
    <t>NSA937901MA2204</t>
  </si>
  <si>
    <t>BORNERO (6+3x4+3) x 22</t>
  </si>
  <si>
    <t>8559N2204B</t>
  </si>
  <si>
    <t>1237000262001</t>
  </si>
  <si>
    <t>BORNE D/POTENCIA 26AWG 500V GRIS ROHS</t>
  </si>
  <si>
    <t>1136234080402</t>
  </si>
  <si>
    <t>BLOQUE DIFER TIER 4P 400V 25A VIGI IC60</t>
  </si>
  <si>
    <t>A9V11425</t>
  </si>
  <si>
    <t>1136231380200</t>
  </si>
  <si>
    <t>BLOQUE DIFER TIER 2P 130V 25A VIGI IC60</t>
  </si>
  <si>
    <t>A9Q01225</t>
  </si>
  <si>
    <t>RS 776-2878</t>
  </si>
  <si>
    <t>1237000122101</t>
  </si>
  <si>
    <t>BLOQ TERM 3P 26-12AWG ZDU 2.5-2/3AN ROHS</t>
  </si>
  <si>
    <t>RS 458-7630</t>
  </si>
  <si>
    <t>1237000122005</t>
  </si>
  <si>
    <t>BLOQ TERM 2P 26-12AWG AMR/VER ZPEA 2.5-2</t>
  </si>
  <si>
    <t>445-8986</t>
  </si>
  <si>
    <t>1237024400800</t>
  </si>
  <si>
    <t>251-7660</t>
  </si>
  <si>
    <t>BLOQ TERM 12P 4MM 3A PANEL TOR PP BLANCO</t>
  </si>
  <si>
    <t>CS3WTPP</t>
  </si>
  <si>
    <t>3210104723404</t>
  </si>
  <si>
    <t>blanco termo rojo 7.5 M F/UTP LSZH</t>
  </si>
  <si>
    <t>CBT-CAT7F-7.5</t>
  </si>
  <si>
    <t>3210104723403</t>
  </si>
  <si>
    <t>blanco ROSA 3 M SFP</t>
  </si>
  <si>
    <t>CBT-CAT7F-3</t>
  </si>
  <si>
    <t>1229591600906</t>
  </si>
  <si>
    <t>blanco 7,5 M F/UTP LSZH</t>
  </si>
  <si>
    <t>LAT-CAT6AF-BL-7.5</t>
  </si>
  <si>
    <t>3210104723400</t>
  </si>
  <si>
    <t>blanco 50 M SFP</t>
  </si>
  <si>
    <t>CBT-CAT7F-50</t>
  </si>
  <si>
    <t>1229591600814</t>
  </si>
  <si>
    <t>blanco 5 M F/UTP LSZH</t>
  </si>
  <si>
    <t>LAT-CAT6AF-BL-5</t>
  </si>
  <si>
    <t>3210104723502</t>
  </si>
  <si>
    <t>blanco 35 M SFP</t>
  </si>
  <si>
    <t>CBT-CAT7F-35</t>
  </si>
  <si>
    <t>1229591600905</t>
  </si>
  <si>
    <t>blanco 3 M F/UTP LSZH (VM+KVM)</t>
  </si>
  <si>
    <t>LAT-CAT6AF-BL-3</t>
  </si>
  <si>
    <t>3210104723401</t>
  </si>
  <si>
    <t>blanco 25 M SFP</t>
  </si>
  <si>
    <t>CBT-CAT7F-25</t>
  </si>
  <si>
    <t>1229591600904</t>
  </si>
  <si>
    <t>blanco 2 M F/UTP LSZH (KVM)</t>
  </si>
  <si>
    <t>LAT-CAT6AF-BL-2</t>
  </si>
  <si>
    <t>3210104723411</t>
  </si>
  <si>
    <t>blanco 15 M SFP</t>
  </si>
  <si>
    <t>CBT-CAT7F-15</t>
  </si>
  <si>
    <t>1229591600815</t>
  </si>
  <si>
    <t>blanco 15  M F/UTP LSZH</t>
  </si>
  <si>
    <t>LAT-CAT6AF-BL-15</t>
  </si>
  <si>
    <t>3210104723405</t>
  </si>
  <si>
    <t>blanco 10 M SFP</t>
  </si>
  <si>
    <t>CBT-CAT7F-10</t>
  </si>
  <si>
    <t>1229591601102</t>
  </si>
  <si>
    <t>blanco 1,5 M F/UTP LSZH IG)</t>
  </si>
  <si>
    <t>LAT-CAT6AF-BL-1.5</t>
  </si>
  <si>
    <t>1261121200605</t>
  </si>
  <si>
    <t>BATERIA VRLA 12V 92.8AH 2350W SPRINTER</t>
  </si>
  <si>
    <t>XP12V3000</t>
  </si>
  <si>
    <t>1706500571000</t>
  </si>
  <si>
    <t>BANDEJA VOLADIZO 2U 180X446MM NEGRO</t>
  </si>
  <si>
    <t>CAX2TY180</t>
  </si>
  <si>
    <t>1706500060200</t>
  </si>
  <si>
    <t>BANDEJA P/CHASIS 44X483X150MM 25KG 1U AC</t>
  </si>
  <si>
    <t>802-0279</t>
  </si>
  <si>
    <t>1706500052500</t>
  </si>
  <si>
    <t>BANDEJA EST VENT 1U 7" AC NEG P/RACK 19"</t>
  </si>
  <si>
    <t>CABSHELF1U7V</t>
  </si>
  <si>
    <t>1706500052600</t>
  </si>
  <si>
    <t>BANDEJA AJUST 1U 16-24" AC NEG P/RACK19"</t>
  </si>
  <si>
    <t>AR8125</t>
  </si>
  <si>
    <t>1229591600800</t>
  </si>
  <si>
    <t>azul 7,5 M F/UTP LSZH</t>
  </si>
  <si>
    <t>LAT-CAT6AF-AZ-7.5</t>
  </si>
  <si>
    <t>1229591600813</t>
  </si>
  <si>
    <t>azul 5 M F/UTP LSZH</t>
  </si>
  <si>
    <t>LAT-CAT6AF-AZ-5</t>
  </si>
  <si>
    <t>1229591600709</t>
  </si>
  <si>
    <t>azul 3 M F/UTP LSZH</t>
  </si>
  <si>
    <t>LAT-CAT6AF-AZ-3</t>
  </si>
  <si>
    <t>1229590008601</t>
  </si>
  <si>
    <t>azul 25 M F/UTP LSZH</t>
  </si>
  <si>
    <t>LAT-CAT6AF-AZ-25</t>
  </si>
  <si>
    <t>1229590008600</t>
  </si>
  <si>
    <t>azul 20 M F/UTP LSZH</t>
  </si>
  <si>
    <t>LAT-CAT6AF-AZ-20</t>
  </si>
  <si>
    <t>1229591600708</t>
  </si>
  <si>
    <t>azul 2 M F/UTP LSZH</t>
  </si>
  <si>
    <t>LAT-CAT6AF-AZ-2</t>
  </si>
  <si>
    <t>1229591601101</t>
  </si>
  <si>
    <t>azul 15 M F/UTP LSZH</t>
  </si>
  <si>
    <t>LAT-CAT6AF-AZ-15</t>
  </si>
  <si>
    <t>1229591600801</t>
  </si>
  <si>
    <t>azul 10 M F/UTP LSZH</t>
  </si>
  <si>
    <t>LAT-CAT6AF-AZ-10</t>
  </si>
  <si>
    <t>0972888472500</t>
  </si>
  <si>
    <t>AVIONICS PLATE</t>
  </si>
  <si>
    <t>1700103180000</t>
  </si>
  <si>
    <t>ARMARIO BATERIA VACIO VRLA 197X110X85CM</t>
  </si>
  <si>
    <t>GVEBC11</t>
  </si>
  <si>
    <t>1702002510000</t>
  </si>
  <si>
    <t>ARMARIO ACERO 760X600</t>
  </si>
  <si>
    <t>AE1076500 (RS 499-6084)</t>
  </si>
  <si>
    <t>1702003951000</t>
  </si>
  <si>
    <t>768-5686</t>
  </si>
  <si>
    <t>SRN5420K SR2-SRN5420K</t>
  </si>
  <si>
    <t>ABB</t>
  </si>
  <si>
    <t>ARA PLANA P/M4 INOX DIN125A/ISO7089</t>
  </si>
  <si>
    <t>ISO7089-4-200HV-A4</t>
  </si>
  <si>
    <t>1540111000090</t>
  </si>
  <si>
    <t>ARA PLANA P/M3 NYLON 6.6</t>
  </si>
  <si>
    <t>1540111000001</t>
  </si>
  <si>
    <t>ARA PLANA P/M3 INOX DIN125A/ISO7089</t>
  </si>
  <si>
    <t>1540113000001</t>
  </si>
  <si>
    <t>ARA PL P/M4 INOX DIN125A/ISO7089</t>
  </si>
  <si>
    <t>1540213000001</t>
  </si>
  <si>
    <t>ARA GROWER P/M4 DIN127B INOX</t>
  </si>
  <si>
    <t>1501213016001</t>
  </si>
  <si>
    <t>TOR ALOM CRUC 4X16 INOX DIN7985</t>
  </si>
  <si>
    <t>1540211000001</t>
  </si>
  <si>
    <t>ARA GROWER P/M3 INOX DIN127B</t>
  </si>
  <si>
    <t>1540911000001</t>
  </si>
  <si>
    <t>ARA ABANICO M3  INOX DIN6798A DENT EXT</t>
  </si>
  <si>
    <t>1540915000001</t>
  </si>
  <si>
    <t>ARA ABA EXT P/M5 INOX DIN 6798A</t>
  </si>
  <si>
    <t>1705502541000</t>
  </si>
  <si>
    <t>APC 1U BLANK FILLER PANEL</t>
  </si>
  <si>
    <t>AR8136BLK</t>
  </si>
  <si>
    <t>0915634304600</t>
  </si>
  <si>
    <t>AMPLIFICATOR BOARD</t>
  </si>
  <si>
    <t>1229591600808</t>
  </si>
  <si>
    <t>amarillo 7,5 M F/UTP LSZH</t>
  </si>
  <si>
    <t>LAT-CAT6AF-AM-7.5</t>
  </si>
  <si>
    <t>1229591600807</t>
  </si>
  <si>
    <t>amarillo 3 M F/UTP LSZH</t>
  </si>
  <si>
    <t>LAT-CAT6AF-AM-3</t>
  </si>
  <si>
    <t>1229590008401</t>
  </si>
  <si>
    <t>amarillo 20 M F/UTP LSZH</t>
  </si>
  <si>
    <t>LAT-CAT6AF-AM-20</t>
  </si>
  <si>
    <t>1229591600810</t>
  </si>
  <si>
    <t>amarillo 15 M F/UTP LSZH</t>
  </si>
  <si>
    <t>LAT-CAT6AF-AM-15</t>
  </si>
  <si>
    <t>1229591600809</t>
  </si>
  <si>
    <t>amarillo 10 M F/UTP LSZH</t>
  </si>
  <si>
    <t>LAT-CAT6AF-AM-10</t>
  </si>
  <si>
    <t>7279902131290</t>
  </si>
  <si>
    <t>Adaptador CCP-XLR G.R.A.S.</t>
  </si>
  <si>
    <t>AG0003</t>
  </si>
  <si>
    <t>1209994000011</t>
  </si>
  <si>
    <t>ACC MALE SCREW LOCK UNC SIZE D SUBD4</t>
  </si>
  <si>
    <t>D20-420-158 ALT D20420-13</t>
  </si>
  <si>
    <t>1709900033000</t>
  </si>
  <si>
    <t>ALT 1883000260000</t>
  </si>
  <si>
    <t>ACC GROUND</t>
  </si>
  <si>
    <t>1230590950000</t>
  </si>
  <si>
    <t>ACC CBL FUNDA/PROTECT ESPIRAL NEGRO</t>
  </si>
  <si>
    <t>SHR-15-PPB</t>
  </si>
  <si>
    <t>1209994000109</t>
  </si>
  <si>
    <t>ACC CARCASA P/CNC SUB-D ZINC</t>
  </si>
  <si>
    <t>1212094000001</t>
  </si>
  <si>
    <t>ACC ANCLAJE 4-40 CONECTOR SUB-D L=7.9MM</t>
  </si>
  <si>
    <t>1706201190100</t>
  </si>
  <si>
    <t>19" MODULE SUPPORT HOOD AI 1MM</t>
  </si>
  <si>
    <t>1000143302050</t>
  </si>
  <si>
    <t xml:space="preserve">	
RST PELMET  3K3 1% 0,4W  50PPM 0204 ROHS</t>
  </si>
  <si>
    <t>MRS16000C3301FCT00</t>
  </si>
  <si>
    <t>RST PELMET 1K50 0.5% 1/4W 0204</t>
  </si>
  <si>
    <t>SMM0204-12-1K5-0.5%-BE</t>
  </si>
  <si>
    <t xml:space="preserve">
</t>
  </si>
  <si>
    <t>Regletas</t>
  </si>
  <si>
    <t>POWER BOX</t>
  </si>
  <si>
    <t>3010200920600</t>
  </si>
  <si>
    <t>WS PRECISION 3280 I5-14600 16GBDDR5 S/OF</t>
  </si>
  <si>
    <t>210-BLXV/3400009218951.1</t>
  </si>
  <si>
    <t>3170405860300</t>
  </si>
  <si>
    <t>TRANSCEPTOR SFP+ 10GBASE-T RJ45 PROSAFE</t>
  </si>
  <si>
    <t>AXM765</t>
  </si>
  <si>
    <t>1237093219000</t>
  </si>
  <si>
    <t>TAPA FINAL 48.6X2.2X29.1MM PA GRS DST2,5</t>
  </si>
  <si>
    <t>1237092052800</t>
  </si>
  <si>
    <t>SERVICIO INSTAL CONJ BATERIA VRLA 1X48</t>
  </si>
  <si>
    <t>QBATT-01</t>
  </si>
  <si>
    <t>SERVICIO 1YR EAA UPG 3P P/SAI 41-150KVA</t>
  </si>
  <si>
    <t>WUPGEAA-UG-02</t>
  </si>
  <si>
    <t>1136234080403</t>
  </si>
  <si>
    <t>RCBO 4P 16A 30 mA ASI</t>
  </si>
  <si>
    <t>A9DF3716</t>
  </si>
  <si>
    <t>1136032281208</t>
  </si>
  <si>
    <t>RCBO 2P 16A 30 mA ASI</t>
  </si>
  <si>
    <t>A9DF3616</t>
  </si>
  <si>
    <t>SKC2500M8/250G  </t>
  </si>
  <si>
    <t>CRUCIAL</t>
  </si>
  <si>
    <t>3200301681800</t>
  </si>
  <si>
    <t>A02023201</t>
  </si>
  <si>
    <t>PC MINI I5-1220P 40W W11 64BIT NUC12 PRO</t>
  </si>
  <si>
    <t>NUC12WSK</t>
  </si>
  <si>
    <t>AIRBUS</t>
  </si>
  <si>
    <t>PARTE INCLUIDO EN EL SIM PACK</t>
  </si>
  <si>
    <t>PANEL CBDP#3</t>
  </si>
  <si>
    <t>PANEL CBDP#2</t>
  </si>
  <si>
    <t>PANEL CBDP#1</t>
  </si>
  <si>
    <t>3120301930000</t>
  </si>
  <si>
    <t>PANEL 19" 1U 24XRJ45HH CAT6 UTP</t>
  </si>
  <si>
    <t>C6AP-S24FT1U</t>
  </si>
  <si>
    <t>FS.COM</t>
  </si>
  <si>
    <t>NUC TRAY ASSY</t>
  </si>
  <si>
    <t>0972881203200</t>
  </si>
  <si>
    <t>3190402380300</t>
  </si>
  <si>
    <t>MONITOR TACTIL LCD 22" 1920X1080 FULL HD</t>
  </si>
  <si>
    <t>E351600</t>
  </si>
  <si>
    <t>ELO</t>
  </si>
  <si>
    <t>3190402940300</t>
  </si>
  <si>
    <t>MONITOR IPS 22.5" 1920X1080 HDMI/DP/USB</t>
  </si>
  <si>
    <t>P2225H</t>
  </si>
  <si>
    <t>3190403160000</t>
  </si>
  <si>
    <t>A0207</t>
  </si>
  <si>
    <t>MONITOR 27" LCD IPS QHD 2560X1440 240HZ</t>
  </si>
  <si>
    <t>AW2723DF</t>
  </si>
  <si>
    <t>1351500460000</t>
  </si>
  <si>
    <t>MOD ETHERNET GIGABIT 2P NUC LID</t>
  </si>
  <si>
    <t>GR-LID-1971</t>
  </si>
  <si>
    <t>3120100170400</t>
  </si>
  <si>
    <t>MECHANIC ACC KIT</t>
  </si>
  <si>
    <t>AR8100</t>
  </si>
  <si>
    <t xml:space="preserve">panel ETOPS </t>
  </si>
  <si>
    <t>GR-SEQ50204-01</t>
  </si>
  <si>
    <t xml:space="preserve">1232025195200 </t>
  </si>
  <si>
    <t>MANG IDENTIF TERMO 3/4" ROJO</t>
  </si>
  <si>
    <t>TMS-SCE-3/4-2.0-2</t>
  </si>
  <si>
    <t>1126120117101</t>
  </si>
  <si>
    <t>RS 609-5701</t>
  </si>
  <si>
    <t>PILOTO LUMINOSO C/LED AMARILLO 24VAC /DC</t>
  </si>
  <si>
    <t>XB4BVB5</t>
  </si>
  <si>
    <t>3210104720100</t>
  </si>
  <si>
    <t>LATIGUILLO ETHERNET UTP CAT6 RJ45 M/M 5 METROS</t>
  </si>
  <si>
    <t>CBT-CAT6-5M</t>
  </si>
  <si>
    <t>3210104720000</t>
  </si>
  <si>
    <t>LATIGUILLO ETHERNET UTP CAT6 RJ45 M/M 3 METROS</t>
  </si>
  <si>
    <t>CBT-CAT6-3M</t>
  </si>
  <si>
    <t>3210104721300</t>
  </si>
  <si>
    <t>LATIGUILLO ETHERNET UTP CAT6 RJ45 M/M 2 METROS</t>
  </si>
  <si>
    <t xml:space="preserve">LATIGUILLO ETHERNET UTP CAT6 RJ45 M/M 10 METROS	</t>
  </si>
  <si>
    <t>CBT-CAT6-10M</t>
  </si>
  <si>
    <t>1706201180000</t>
  </si>
  <si>
    <t>KIT SOPORTE MJE. RED 1U P/ KVM FPM185</t>
  </si>
  <si>
    <t>DRMK-77</t>
  </si>
  <si>
    <t>3170110330500</t>
  </si>
  <si>
    <t>HUB USB</t>
  </si>
  <si>
    <t>HB30A3A1CFB</t>
  </si>
  <si>
    <t>1253000430700</t>
  </si>
  <si>
    <t>HEADSET DINAMICO 600R XLR AIRMAN 750</t>
  </si>
  <si>
    <t>64300-210</t>
  </si>
  <si>
    <t>TELEX COMMUNICATIONS</t>
  </si>
  <si>
    <t>1706701930000</t>
  </si>
  <si>
    <t>GUIA SOPORTE FIJAS P/RACK 19" 1.5MM AIZN</t>
  </si>
  <si>
    <t>23130-097</t>
  </si>
  <si>
    <t>CENVALSA</t>
  </si>
  <si>
    <t>1589990519000</t>
  </si>
  <si>
    <t>FINAL TOP DIN RAIL DARK GREY</t>
  </si>
  <si>
    <t>1SNK900001R0000</t>
  </si>
  <si>
    <t>F.A. VE=230VAC VS=15VDC 1.6A 25W TIPO-C</t>
  </si>
  <si>
    <t>SW25-415-60</t>
  </si>
  <si>
    <t>ALPHA ELETTRONICA</t>
  </si>
  <si>
    <t>1229593631000</t>
  </si>
  <si>
    <t>Extensor USB 8m KVM IOS</t>
  </si>
  <si>
    <t>LINDY</t>
  </si>
  <si>
    <t>1589990170000</t>
  </si>
  <si>
    <t>ESTUCHE P/IPAD 10TH GEN POLICARB ATLAS</t>
  </si>
  <si>
    <t>PC-A22A-BLU</t>
  </si>
  <si>
    <t>3200301681400</t>
  </si>
  <si>
    <t>DUAL ETH MINIPC</t>
  </si>
  <si>
    <t>NUC12WSHV70L</t>
  </si>
  <si>
    <t>CT16G4SFD832A</t>
  </si>
  <si>
    <t>KINGSTON</t>
  </si>
  <si>
    <t>1589906820000</t>
  </si>
  <si>
    <t>DIN RAIL PERFORED 955X35X7.5MM</t>
  </si>
  <si>
    <t>7854619050100</t>
  </si>
  <si>
    <t>CORREA MUÑECA TIERRA ESD BANANA/M 1.8M</t>
  </si>
  <si>
    <t>SWS100</t>
  </si>
  <si>
    <t>STARTECH</t>
  </si>
  <si>
    <t>1135032482700</t>
  </si>
  <si>
    <t>CONTACTOR 4P 24V 25 A</t>
  </si>
  <si>
    <t>A9C21134</t>
  </si>
  <si>
    <t>1135032482600</t>
  </si>
  <si>
    <t>CONTACTOR 2P 24V 25 A</t>
  </si>
  <si>
    <t>A9C21132</t>
  </si>
  <si>
    <t>CNC JACK 6.35MM 3H RECPT RECT PANEL SOLD</t>
  </si>
  <si>
    <t>KLB 3</t>
  </si>
  <si>
    <t>2</t>
  </si>
  <si>
    <t>CNC CIR 19-35 66M STRAIGHT PLUG D38999</t>
  </si>
  <si>
    <t>MILITARY SPEC</t>
  </si>
  <si>
    <t>CNC CIR 19-35 66H RECPT CRMP ZN/NI ROT-N</t>
  </si>
  <si>
    <t>CNC AUDIO 2H 1.5-4MM2 QUICKLOCK SPEAKON</t>
  </si>
  <si>
    <t>NL2FX</t>
  </si>
  <si>
    <t>1220314152004</t>
  </si>
  <si>
    <t>LSZH 1,5mm2</t>
  </si>
  <si>
    <t>1220314152002</t>
  </si>
  <si>
    <t>LSZH 2,5mm2</t>
  </si>
  <si>
    <t xml:space="preserve">1220115701000 </t>
  </si>
  <si>
    <t xml:space="preserve">CBL FLEX 1X70MM2 H07Z1-K 450/700V NEG R  </t>
  </si>
  <si>
    <t>1220115702003</t>
  </si>
  <si>
    <t>CBL FLEX 1X70MM2 750V H07Z1-K AM/VE ROHS</t>
  </si>
  <si>
    <t>82040100700-A/V</t>
  </si>
  <si>
    <t xml:space="preserve">1220115702600 </t>
  </si>
  <si>
    <t>CBL FLEX 1X70MM2 450/750V AZUL H07ZK 90C</t>
  </si>
  <si>
    <t>1221415352500</t>
  </si>
  <si>
    <t>CBL APANT 4G35MM2 600V XLPE RC4Z1-K VERD</t>
  </si>
  <si>
    <t>CERVI</t>
  </si>
  <si>
    <t>3210103550300</t>
  </si>
  <si>
    <t>CBL EQUI USB 2.0(M/M) 480MBPS TIP A L=3M</t>
  </si>
  <si>
    <t>CSMUAA-3M</t>
  </si>
  <si>
    <t>L-COM</t>
  </si>
  <si>
    <t>1229508280008</t>
  </si>
  <si>
    <t>CBL EQ UTP RJ45-M/M 15FT NEGRO CAT6 LSZH</t>
  </si>
  <si>
    <t>MM-C6K-15-28LSZH-F</t>
  </si>
  <si>
    <t>1229508280704</t>
  </si>
  <si>
    <t>CBL EQ UTP RJ45-M/M 35FT NARA CAT6 LSZH</t>
  </si>
  <si>
    <t>MM-C6O-35-28LSZH-F</t>
  </si>
  <si>
    <t>CBL EQ P/MOD SERV INTERFACE KVM</t>
  </si>
  <si>
    <t>DMPUIQ-VMCHS-G01</t>
  </si>
  <si>
    <t>3210506270100</t>
  </si>
  <si>
    <t>ADAPT ETH USB-C-M/RJ45-H BLANC CBL=145MM</t>
  </si>
  <si>
    <t>US1GC30W</t>
  </si>
  <si>
    <t>1229500280014</t>
  </si>
  <si>
    <t>CBL EQ USB 2.0-C M/M RECT PVC NEGRO L=4M</t>
  </si>
  <si>
    <t>USB2C5C4M</t>
  </si>
  <si>
    <t>1229500280009</t>
  </si>
  <si>
    <t>186-3229</t>
  </si>
  <si>
    <t>CBL EQ USB 2.0-C M/M RECT PVC NEGRO L=3M</t>
  </si>
  <si>
    <t>USB2C5C3M</t>
  </si>
  <si>
    <t>1229500300006</t>
  </si>
  <si>
    <t>CBL EQ SFP+10GBE AWG30 3M</t>
  </si>
  <si>
    <t>CAB-DAC30M-SFPP</t>
  </si>
  <si>
    <t>OPTCORE</t>
  </si>
  <si>
    <t>1229500246004</t>
  </si>
  <si>
    <t>CBL EQ RJ45-M/M CAT6 PVC SNAGLESS NEG 5M</t>
  </si>
  <si>
    <t>N6PATC5MBK</t>
  </si>
  <si>
    <t>CBL EQ PC CAT6A F/UTP RJ45 LSZH VER L=3M</t>
  </si>
  <si>
    <t xml:space="preserve">LAT-CAT6AF-VD-3 </t>
  </si>
  <si>
    <t>1229591600903</t>
  </si>
  <si>
    <t>CBL EQ PC CAT6A F/UTP RJ45 LSZH NE L=10M</t>
  </si>
  <si>
    <t>LAT-CAT6AF-NG-10</t>
  </si>
  <si>
    <t>CBL EQ PC CAT6A F/UTP RJ45 LSZH AM L=10M</t>
  </si>
  <si>
    <t>CBL EQ DIV ALIM C14/2XC13 18AWG 18" NEG</t>
  </si>
  <si>
    <t>P004-18N-2C13</t>
  </si>
  <si>
    <t>1229511220000</t>
  </si>
  <si>
    <t>CBL EQ DISPLAYPORT1.2-M/HDMI-H 4K L=6"</t>
  </si>
  <si>
    <t>26-713-01</t>
  </si>
  <si>
    <t>1229599001001</t>
  </si>
  <si>
    <t>CBL EQ ALIM C13X2(H) C14(M) 250V NG 2,5M</t>
  </si>
  <si>
    <t>818-8090</t>
  </si>
  <si>
    <t>178-9806</t>
  </si>
  <si>
    <t>CBL EQ IEC60320-C14-M/2XC13-H 10A L=2.5M</t>
  </si>
  <si>
    <t>GW-151735</t>
  </si>
  <si>
    <t>1221200202221</t>
  </si>
  <si>
    <t>44A1121-20-0/9-9</t>
  </si>
  <si>
    <t>1229590800100</t>
  </si>
  <si>
    <t>CB EQUIPADO ALIMENT M/H L=2MTRS /CNC IEC</t>
  </si>
  <si>
    <t>PZ0105/M00NK</t>
  </si>
  <si>
    <t>0973588300100</t>
  </si>
  <si>
    <t>CB INTLCK OPEN SUPPORT</t>
  </si>
  <si>
    <t>0973588300200</t>
  </si>
  <si>
    <t>CB INTLCK CLOSE SUPPORT PLATE</t>
  </si>
  <si>
    <t>1229590910106</t>
  </si>
  <si>
    <t>186-1667</t>
  </si>
  <si>
    <t>Cable VGA StarTech.com de color Negro, con. A: VGA macho, con. B: VGA macho, long. 7m</t>
  </si>
  <si>
    <t>MXTMMHQ7M</t>
  </si>
  <si>
    <t>3210107410300</t>
  </si>
  <si>
    <t>186-3187</t>
  </si>
  <si>
    <t>Cable USB 2.0 StarTech.com, con A. USB A Macho, con B. USB A Hembra, long. 5m, color Negro</t>
  </si>
  <si>
    <t>USB2AAEXT5M</t>
  </si>
  <si>
    <t>1229590910107</t>
  </si>
  <si>
    <t>186-3178</t>
  </si>
  <si>
    <t>Cable USB 2.0 StarTech.com, con A. USB A Macho, con B. USB A Hembra, long. 10m, color Negro</t>
  </si>
  <si>
    <t>USB2AAEXT10M</t>
  </si>
  <si>
    <t>1220100202600</t>
  </si>
  <si>
    <t>Cable AWG20 azul</t>
  </si>
  <si>
    <t>44A0111-20-6</t>
  </si>
  <si>
    <t>1220100203130</t>
  </si>
  <si>
    <t>Cable AWG20 marron</t>
  </si>
  <si>
    <t>44A0111-20-1</t>
  </si>
  <si>
    <t>1220100163930</t>
  </si>
  <si>
    <t>1390700480200</t>
  </si>
  <si>
    <t>BRAKE PRESSURE INDICATOR F9111</t>
  </si>
  <si>
    <t>64882-206-1</t>
  </si>
  <si>
    <t>THALES AVIONICS</t>
  </si>
  <si>
    <t>1390702294300</t>
  </si>
  <si>
    <t>BRAKE PRESSURE INDICATOR A320</t>
  </si>
  <si>
    <t>727-1600-01</t>
  </si>
  <si>
    <t>LEONARDO</t>
  </si>
  <si>
    <t>HUMOS</t>
  </si>
  <si>
    <t>1237591500001</t>
  </si>
  <si>
    <t>Caja de conexiones Legrand 0 920 12, 7, Gris, 80mm, 80mm, 45mm, 80 x 80 x 45mm, IP55</t>
  </si>
  <si>
    <t>0 920 12</t>
  </si>
  <si>
    <t>LEGRAND</t>
  </si>
  <si>
    <t>1237000122003</t>
  </si>
  <si>
    <t>BLOQ TERM 2P 26-12AWG DNRAIL G/Y PT2,5PE</t>
  </si>
  <si>
    <t>AMPLIF AUDIO 4CH 4X75W/4R 4X50W/8R 300W</t>
  </si>
  <si>
    <t>EPQ304</t>
  </si>
  <si>
    <t>BEHRINGER</t>
  </si>
  <si>
    <t>ALFOMBRA SEGURIDAD RKP 2500X725MM CBL=2/5M</t>
  </si>
  <si>
    <t>ALFOMBRA SEGURIDAD RKP 1890X750MM CBL=2/5M</t>
  </si>
  <si>
    <t>ALFOMBRA SEGURIDAD RKP 1280X795MM CBL=2/5M</t>
  </si>
  <si>
    <t>ALFOMBRA SEGURIDAD RKP 1100X620MM CBL=5M</t>
  </si>
  <si>
    <t>3210506330100</t>
  </si>
  <si>
    <t>ADAPT DP-MINI-M/HDMI-A-H 2K BLANCO L0.1M</t>
  </si>
  <si>
    <t>12.03.3129</t>
  </si>
  <si>
    <t>1124390028100</t>
  </si>
  <si>
    <t>ACC PALANC RODIL ADJ D19X5MM P/INT FINAL</t>
  </si>
  <si>
    <t>KXAF1</t>
  </si>
  <si>
    <t>LOVATO</t>
  </si>
  <si>
    <t>1589990179000</t>
  </si>
  <si>
    <t>ACC MONT PERMANENTE INOX P/ESTUCHE PIVOT</t>
  </si>
  <si>
    <t>S8FB700</t>
  </si>
  <si>
    <t>1124390028000</t>
  </si>
  <si>
    <t>ACC CUERPO 1NO+1NC C/BLOQ P/INT FINAL</t>
  </si>
  <si>
    <t>KXCBS11</t>
  </si>
  <si>
    <t>1263011300800</t>
  </si>
  <si>
    <t>F.A. VE=230V VS=12V 1.5A JACK-2.1MM ROHS</t>
  </si>
  <si>
    <t>PT18-1812-UN</t>
  </si>
  <si>
    <t>CBL FLEX 3G1.5MM2 750V CLAS-5 H07ZZ-F-AS</t>
  </si>
  <si>
    <t>H07ZZ-F3G1,5</t>
  </si>
  <si>
    <t>GENERAL CABLE</t>
  </si>
  <si>
    <t>1220100102401.LO</t>
  </si>
  <si>
    <t>CBL THW 90C 450/750V 10 AWG NEGRO</t>
  </si>
  <si>
    <t>0.4</t>
  </si>
  <si>
    <t>1220100102400.LO</t>
  </si>
  <si>
    <t>CBL THW 90C 450/750V 10 AWG ROJO</t>
  </si>
  <si>
    <t>TERMINAL REDONDO M4 AWG10 CRIMP</t>
  </si>
  <si>
    <t>TERMINAL AISL PUNTERA D=2.8MM 4MM2 GRIS</t>
  </si>
  <si>
    <t>1222700240801.LO</t>
  </si>
  <si>
    <t>CBL PARES TWIST 4X2  CAT5E UTP AWG24 PVC</t>
  </si>
  <si>
    <t>4.5</t>
  </si>
  <si>
    <t>ACC CUBIERTA CNC RJ-45 ROJO</t>
  </si>
  <si>
    <t>CNC TRANSMISION DATOS RJ-45 (8/8) STEWAR</t>
  </si>
  <si>
    <t>0973585293900</t>
  </si>
  <si>
    <t>THEODOLITE SUPPORT A320</t>
  </si>
  <si>
    <t>0973585296700</t>
  </si>
  <si>
    <t>FILTROS ÓPTICOS</t>
  </si>
  <si>
    <t>0973585296800</t>
  </si>
  <si>
    <t>0973585296900</t>
  </si>
  <si>
    <t>AX3000 Dual-Band Gigabit Wi-Fi 6 Router</t>
  </si>
  <si>
    <t>Archer AX58</t>
  </si>
  <si>
    <t>AFTERCABIN</t>
  </si>
  <si>
    <t>7855500040000</t>
  </si>
  <si>
    <t>ESCALERA EMERGENCIA NYLON NEGRO L25FT</t>
  </si>
  <si>
    <t>741718808327</t>
  </si>
  <si>
    <t>3170411820100</t>
  </si>
  <si>
    <t>MOD POE INYECTOR 2P RJ45 100-240V 1A 30W</t>
  </si>
  <si>
    <t>TL-POE160S</t>
  </si>
  <si>
    <t>TP-LINK</t>
  </si>
  <si>
    <t>1229591001016</t>
  </si>
  <si>
    <t>CBL EQ ALIM 3M 250V 2.5A NEGRO</t>
  </si>
  <si>
    <t>75E-3M-POWER-LEAD</t>
  </si>
  <si>
    <t>SMOKE GENERATION</t>
  </si>
  <si>
    <t>1246001240500</t>
  </si>
  <si>
    <t>EXTRACTOR CIRC LINEA 260M3/H 2K46RPM 74W</t>
  </si>
  <si>
    <t>CA/LINE-10</t>
  </si>
  <si>
    <t>SODECA S.A.</t>
  </si>
  <si>
    <t>1249002710000</t>
  </si>
  <si>
    <t>COMPUERTA REGULACION C/MOTOR ON-OFF 24V</t>
  </si>
  <si>
    <t>SCC-E-GDB146.1E</t>
  </si>
  <si>
    <t>MADEL</t>
  </si>
  <si>
    <t>TUBO TERMORETRACTIL D=3.2MM PVC NEGRO</t>
  </si>
  <si>
    <t>DBS - CAMERA</t>
  </si>
  <si>
    <t>FIRE DETECTION</t>
  </si>
  <si>
    <t>SENSOR TEMP 1U RACK 2XRJ11</t>
  </si>
  <si>
    <t>600329</t>
  </si>
  <si>
    <t>BASE FOR DETECTOR</t>
  </si>
  <si>
    <t>NOTIFIER</t>
  </si>
  <si>
    <t>CABLE SET DISPLAY</t>
  </si>
  <si>
    <t>3210504660200</t>
  </si>
  <si>
    <t>CBL EQ ADAPT HDMI/VGA 1920X1200 L=250MM</t>
  </si>
  <si>
    <t>HD2VGAA2</t>
  </si>
  <si>
    <t>0973585295900</t>
  </si>
  <si>
    <t>PLACAS PUNTEROS 60</t>
  </si>
  <si>
    <t>0973585296100</t>
  </si>
  <si>
    <t>PLACAS PUNTEROS 50</t>
  </si>
  <si>
    <t xml:space="preserve"> DP-MINI-M/HDMI-A-H 2K WHITE ADAPT L0.1M</t>
  </si>
  <si>
    <t>TOR CIL ALLEN  M4X16 INOX DIN912/ISO4762</t>
  </si>
  <si>
    <t>DIN912-M4X16-A2-70</t>
  </si>
  <si>
    <t>ARA GROWER P/M4 INOX DIN127B</t>
  </si>
  <si>
    <t>DIN127-B4-A4</t>
  </si>
  <si>
    <t>TORNILLO  ALLEN   M5X16  INOX  DIN912</t>
  </si>
  <si>
    <t>DIN912-M5X16-A2-70</t>
  </si>
  <si>
    <t>DIN127-B5-A4</t>
  </si>
  <si>
    <t>TORNILLO AV ALLEN M3X12 A4-70 DIN7991</t>
  </si>
  <si>
    <t>DIN7991-M3X12-A4-70</t>
  </si>
  <si>
    <t>ISO7089-3-200HV-A2</t>
  </si>
  <si>
    <t>ARA GROWER P/M3 INOX OX NE DIN127B</t>
  </si>
  <si>
    <t>DIN127-B3-A2 OX NEGRO</t>
  </si>
  <si>
    <t>ISO4032-M3-A2-70</t>
  </si>
  <si>
    <t>TOR CIL ALLEN M3X8   INOX DIN912/ISO4762</t>
  </si>
  <si>
    <t>DIN912-M3X8-A2-70</t>
  </si>
  <si>
    <t>TUERCA EXA M12 INOX DIN934/ISO4032</t>
  </si>
  <si>
    <t>DIN934-M12-A4-70</t>
  </si>
  <si>
    <t>ARA GROWER M12 DIN127 INOX A4-70</t>
  </si>
  <si>
    <t>ARA PLANA M12 A4-70 DIN 9021</t>
  </si>
  <si>
    <t>DIN9021-M12-A4-70</t>
  </si>
  <si>
    <t>1521016999001.LO</t>
  </si>
  <si>
    <t>VARILLA ROSC M6X1000MM INOX DIN975</t>
  </si>
  <si>
    <t>DIN975-M6X1000MM-A2</t>
  </si>
  <si>
    <t>TUERCA EXA M6 INOX DIN934/ISO4032</t>
  </si>
  <si>
    <t>ISO4032-M6-A4-70</t>
  </si>
  <si>
    <t>ARA PLANA P/M6 INOX ISO7089/DIN125A</t>
  </si>
  <si>
    <t>DIN125-A6-A4-80</t>
  </si>
  <si>
    <t>ARA GROWER P/M6 INOX A4 DIN127</t>
  </si>
  <si>
    <t>DIN127-M6-A4-70</t>
  </si>
  <si>
    <t>TOR AV ALLEN  M4X8   INOX DIN7991</t>
  </si>
  <si>
    <t>DIN7991-M4X8-A2-70</t>
  </si>
  <si>
    <t>DIN934-M4-A2-70</t>
  </si>
  <si>
    <t>7854099300200</t>
  </si>
  <si>
    <t>CORREA MUNECA ANTIESTATIC SNAP-M/H L2.4M</t>
  </si>
  <si>
    <t>T0051403899</t>
  </si>
  <si>
    <t>WELLER</t>
  </si>
  <si>
    <t>GROUND LINK 25X35MM CONEX T</t>
  </si>
  <si>
    <t>EUROASICA</t>
  </si>
  <si>
    <t>7883000120600</t>
  </si>
  <si>
    <t>PUNTO TOMA TIERRA BROCHE 25X35MM</t>
  </si>
  <si>
    <t>CON-9765</t>
  </si>
  <si>
    <t>RST PELIMET 250R 1/4W 0,1% 5PPM SERIE UP</t>
  </si>
  <si>
    <t>CBL FLX 1XAWG24 ETFE BLAN M22759/34-24-9</t>
  </si>
  <si>
    <t>1.7</t>
  </si>
  <si>
    <t>CBL FLEX 1XAWG24 600V ETFE NEGRO ROHS</t>
  </si>
  <si>
    <t>6.3</t>
  </si>
  <si>
    <t>0973585295800</t>
  </si>
  <si>
    <t>TELA INFERIOR MYLAR</t>
  </si>
  <si>
    <t>0973585296000</t>
  </si>
  <si>
    <t>TELA SUPERIOR MYLAR</t>
  </si>
  <si>
    <t>DIN912 M3X8</t>
  </si>
  <si>
    <t>DIN125 M3</t>
  </si>
  <si>
    <t>DIN127 M3</t>
  </si>
  <si>
    <t>DIN934 M3</t>
  </si>
  <si>
    <t>DIN912 M4X8</t>
  </si>
  <si>
    <t>DIN125 M4</t>
  </si>
  <si>
    <t>DIN912 M4X10</t>
  </si>
  <si>
    <t>DIN127 M4</t>
  </si>
  <si>
    <t>DIN934 M4</t>
  </si>
  <si>
    <t>1705500920200</t>
  </si>
  <si>
    <t>PANEL CIEGO 3U RAL 7035</t>
  </si>
  <si>
    <t>30118-302</t>
  </si>
  <si>
    <t>0973585296400</t>
  </si>
  <si>
    <t>TELA IZQUIERDA MYLAR</t>
  </si>
  <si>
    <t>0973585294200</t>
  </si>
  <si>
    <t>TELA DERECHA MYLAR</t>
  </si>
  <si>
    <t>ANNUNCIATOR SUPPORT</t>
  </si>
  <si>
    <t>2820120500141</t>
  </si>
  <si>
    <t>PLANCHA E=5MM NEOPRENO NEGRO 40-50 SH</t>
  </si>
  <si>
    <t>NEOPRENO NEGRO/E=5MM 40-50 SH</t>
  </si>
  <si>
    <t>CAJA PORTACONTACTOS 3H RECT RECEPT MINI-</t>
  </si>
  <si>
    <t>39-01-4031</t>
  </si>
  <si>
    <t>BASEFRAME-AFTERCABIN</t>
  </si>
  <si>
    <t>TRABAJOS VARIOS XUQUER</t>
  </si>
  <si>
    <t>EQUIPOS CABINA</t>
  </si>
  <si>
    <t>Dongle for FG SSP // Test Bench</t>
  </si>
  <si>
    <t xml:space="preserve">942-001422-001 </t>
  </si>
  <si>
    <t>1705502500000</t>
  </si>
  <si>
    <t>PANEL FRONTAL 19" 1U ALUMINIO 3MM 43,6X3</t>
  </si>
  <si>
    <t>SOFTWARE MICROSOFT // Test Bench</t>
  </si>
  <si>
    <t xml:space="preserve">LICENCIA OEM </t>
  </si>
  <si>
    <t>MICROSOFT</t>
  </si>
  <si>
    <t>CNC CIR 19-11P/M RCPT RECT AL ZN/NI R-N</t>
  </si>
  <si>
    <t>MILITARY SPECS</t>
  </si>
  <si>
    <t>TORNILLERÍA MECÁNICA</t>
  </si>
  <si>
    <t>1587080082000</t>
  </si>
  <si>
    <t>ETIQUETA ADH LASER 38.1X21.2MM 25P BLANC</t>
  </si>
  <si>
    <t>L7651-25</t>
  </si>
  <si>
    <t>AVERY DENNISON</t>
  </si>
  <si>
    <t>1538015011001</t>
  </si>
  <si>
    <t>TUR INSERT AV M5 L=11.5MM INOX AISI-303</t>
  </si>
  <si>
    <t>5 TF 30 X</t>
  </si>
  <si>
    <t>SERBLOC</t>
  </si>
  <si>
    <t>1501215014001</t>
  </si>
  <si>
    <t>TOR ALOM CRUC  M5X14  INOX DIN7985</t>
  </si>
  <si>
    <t>DIN7985-M5X14-A2-70</t>
  </si>
  <si>
    <t>1538013015001</t>
  </si>
  <si>
    <t>TUR INSERT ANTI-ROT M4 L=15MM INOX</t>
  </si>
  <si>
    <t>4 TFB 40 X</t>
  </si>
  <si>
    <t>SIMAF</t>
  </si>
  <si>
    <t>EQUIPOS AUXILIARES</t>
  </si>
  <si>
    <t>TUBERIA FLEX DE=90MM DS=98MM -10/60C PVC</t>
  </si>
  <si>
    <t>URARTU</t>
  </si>
  <si>
    <t>0973588330200</t>
  </si>
  <si>
    <t>DOOR INTERNAL FRAME</t>
  </si>
  <si>
    <t>0973588330300</t>
  </si>
  <si>
    <t>DOOR EXTERNAL FRAME</t>
  </si>
  <si>
    <t>30118-948</t>
  </si>
  <si>
    <t>512MB SD MEMORY</t>
  </si>
  <si>
    <t>2988146</t>
  </si>
  <si>
    <t>FILAMENTO IMP 3D PLMA MATTE NEGRO 1.75MM</t>
  </si>
  <si>
    <t>A01-K1-1.75-1000-SPL</t>
  </si>
  <si>
    <t>BAMBU LAB</t>
  </si>
  <si>
    <t>FILAMENTO P/IMP-3D 1.75MM 1KG PA6-CF NEG</t>
  </si>
  <si>
    <t>PA6-CF/BLACK</t>
  </si>
  <si>
    <t>FILAMENTO P/IMP-3D 1.75MM PPS-CF NEG</t>
  </si>
  <si>
    <t>PPS-CF/BLACK</t>
  </si>
  <si>
    <t>FILAMENTO P/IMP-3D 1.75MM 1KG PET-CF NEG</t>
  </si>
  <si>
    <t>PET-CF/BLACK</t>
  </si>
  <si>
    <t>SWITCH TRASERO CONFIGURACION MCDU</t>
  </si>
  <si>
    <t>MOD01-GR-SEQ27901</t>
  </si>
  <si>
    <t>SERVICIO DE INSTALACIONES</t>
  </si>
  <si>
    <t>S24B05</t>
  </si>
  <si>
    <t>EQUIPOS</t>
  </si>
  <si>
    <t>THALES SE1</t>
  </si>
  <si>
    <t>CABINA MEC</t>
  </si>
  <si>
    <t>Breakers</t>
  </si>
  <si>
    <t>BASEFRAME AND AFTCABIN</t>
  </si>
  <si>
    <t>BASEFRAME AND AFTCABIN MEC</t>
  </si>
  <si>
    <t>MOTION</t>
  </si>
  <si>
    <t>CLS</t>
  </si>
  <si>
    <t>AUDIO / COMMS</t>
  </si>
  <si>
    <t>ORDENADORES / RACKS</t>
  </si>
  <si>
    <t>PCs</t>
  </si>
  <si>
    <t>Racks</t>
  </si>
  <si>
    <t>Switches LAN</t>
  </si>
  <si>
    <t>KVM y adaptadores</t>
  </si>
  <si>
    <t>Monitor anunciador</t>
  </si>
  <si>
    <t>Cables de alimentación</t>
  </si>
  <si>
    <t>Otros equipos</t>
  </si>
  <si>
    <t>Mecánica Rack</t>
  </si>
  <si>
    <t>Cables USB rack</t>
  </si>
  <si>
    <t>Cables SFP+</t>
  </si>
  <si>
    <t>DBF</t>
  </si>
  <si>
    <t>RTIO / AVICOM</t>
  </si>
  <si>
    <t>RTIO</t>
  </si>
  <si>
    <t>Tarjetas CAN</t>
  </si>
  <si>
    <t>AVICOM</t>
  </si>
  <si>
    <t>Tarjetas Arinc</t>
  </si>
  <si>
    <t>Subrack avionica</t>
  </si>
  <si>
    <t>Tarjeta proces. Avicom</t>
  </si>
  <si>
    <t>CABLES / CONECTORES</t>
  </si>
  <si>
    <t>Bornas avionica</t>
  </si>
  <si>
    <t>Pines conectores</t>
  </si>
  <si>
    <t>MIL-C-26482 SERIE II</t>
  </si>
  <si>
    <t>MIL-C-38999 SERIE  I y III</t>
  </si>
  <si>
    <t>OTROS</t>
  </si>
  <si>
    <t>CONTACT TOOLS</t>
  </si>
  <si>
    <t>Conectores _1</t>
  </si>
  <si>
    <t>Conectores MOLEX</t>
  </si>
  <si>
    <t>Conectores alimentacion</t>
  </si>
  <si>
    <t>Term.-Casquillos-Torr.</t>
  </si>
  <si>
    <t>Etiquetas cables</t>
  </si>
  <si>
    <t>Etiquetas equipos</t>
  </si>
  <si>
    <t>Bridas</t>
  </si>
  <si>
    <t>Reles Paneles Distrib.</t>
  </si>
  <si>
    <t>Alfombra de presion A320SN4</t>
  </si>
  <si>
    <t>Caja controles puente</t>
  </si>
  <si>
    <t>CABLEADO</t>
  </si>
  <si>
    <t>FUENTES</t>
  </si>
  <si>
    <t>Fuentes</t>
  </si>
  <si>
    <t>POTENCIA</t>
  </si>
  <si>
    <t>INTERCONEXION</t>
  </si>
  <si>
    <t>Cables UTP comerc.</t>
  </si>
  <si>
    <t>Cables</t>
  </si>
  <si>
    <t>Cables de video</t>
  </si>
  <si>
    <t>Cables de USB</t>
  </si>
  <si>
    <t>Otros componentes</t>
  </si>
  <si>
    <t xml:space="preserve">FFIOS </t>
  </si>
  <si>
    <t>Monitor tactil IOS</t>
  </si>
  <si>
    <t>Monitores</t>
  </si>
  <si>
    <t>VISUAL: XUQUER</t>
  </si>
  <si>
    <t>Canaletas</t>
  </si>
  <si>
    <t>Tornillería</t>
  </si>
  <si>
    <t>ESTRUCTURA DEL DISPLAY</t>
  </si>
  <si>
    <t>A03</t>
  </si>
  <si>
    <t>PANTALLA/DOMO</t>
  </si>
  <si>
    <t>ESPEJO</t>
  </si>
  <si>
    <t>SISTEMA DE VIDEO PROYECCIÓN</t>
  </si>
  <si>
    <t>SISTEMA DE BLENDING ÓPTICO</t>
  </si>
  <si>
    <t>SISTEMA DE AUTOAJUSTE</t>
  </si>
  <si>
    <t>SISTEMA DE VACÍO</t>
  </si>
  <si>
    <t>CAJA DE VACÍO</t>
  </si>
  <si>
    <t>VENTILADOR</t>
  </si>
  <si>
    <t>SENSOR + CABLE</t>
  </si>
  <si>
    <t>LÁSERES</t>
  </si>
  <si>
    <t>ENSAYO, INTEGRACIÓN, VERIFICACIÓN Y PRUEBAS</t>
  </si>
  <si>
    <t>Código origen INDRA</t>
  </si>
  <si>
    <t>PROYECTO</t>
  </si>
  <si>
    <t>A320 FFS GT6</t>
  </si>
  <si>
    <t>Materiales</t>
  </si>
  <si>
    <t>ALIMENTACIONES-INTERCONEXIONES</t>
  </si>
  <si>
    <t>HOST</t>
  </si>
  <si>
    <t>RTIO-AVICOM</t>
  </si>
  <si>
    <t>IOS-INSE</t>
  </si>
  <si>
    <t>S107E</t>
  </si>
  <si>
    <t>PROD. DISPLAY</t>
  </si>
  <si>
    <t>S107F</t>
  </si>
  <si>
    <t>S107G</t>
  </si>
  <si>
    <t>TOOLS</t>
  </si>
  <si>
    <t>Acopiado
SI/NO</t>
  </si>
  <si>
    <t>SICA</t>
  </si>
  <si>
    <t>JA2587/1001</t>
  </si>
  <si>
    <t>A320 neo std 2.1.0 Simpack</t>
  </si>
  <si>
    <t>A320 Std 2.1.0 HW Update Kit HAL Option</t>
  </si>
  <si>
    <t>FG FUNCTION - Royalty per simulator</t>
  </si>
  <si>
    <t>FG FUNCTION - Version Royalty per simulator</t>
  </si>
  <si>
    <t>JA2612/1001</t>
  </si>
  <si>
    <t>JA2582/1001</t>
  </si>
  <si>
    <t>ORDENADOR ENRACABLE (GAMA HIGH PC - TIPO IG)</t>
  </si>
  <si>
    <t>ORDENADOR ENRACABLE (GAMA HIGH PC  - TIPO IG)</t>
  </si>
  <si>
    <t>ORDENADOR ENRACABLE (GAMA HIGH PC  - TIPO SENCILLO)</t>
  </si>
  <si>
    <t>ORDENADOR ENRACABLE (GAMA HIGH PC  - TIPO SENSILLO)</t>
  </si>
  <si>
    <t>IOS/DACS Gráfica IOS</t>
  </si>
  <si>
    <t>3060305280000  / TBD</t>
  </si>
  <si>
    <t>SEAGATE TECHNOLOGY IRONWOLF 125 NAD SSD 2 TB</t>
  </si>
  <si>
    <t>ZA2000NM1A002  / TBD</t>
  </si>
  <si>
    <t>SEAGATE</t>
  </si>
  <si>
    <t>3240100090000 / TBD</t>
  </si>
  <si>
    <t>KIT DE MONTAJE RACK QNAP</t>
  </si>
  <si>
    <t>RAIL-A01-35 / TBD / TBD</t>
  </si>
  <si>
    <t>3200301681400 / TBD</t>
  </si>
  <si>
    <t>MINIPC NUC 12GEN PRO KIT UCFF NUC12WSBV7</t>
  </si>
  <si>
    <t xml:space="preserve">	Intel® NUC 12 Pro Kit NUC12WSHv70L / TBD</t>
  </si>
  <si>
    <t>NETSHELTER RACK SX 1991X600X1200MM 42U</t>
  </si>
  <si>
    <t>AR3300</t>
  </si>
  <si>
    <t>PDU 220-240V 16A 21XIEC320-C13 RCK 19 1U TRIPH</t>
  </si>
  <si>
    <t>JA2580/1001</t>
  </si>
  <si>
    <t>3170102910300</t>
  </si>
  <si>
    <t xml:space="preserve">SWITCH 24 PUERTOS GIGABIT </t>
  </si>
  <si>
    <t>GSM7224</t>
  </si>
  <si>
    <t>3170106090600</t>
  </si>
  <si>
    <t>SWITCH PROSAFE 28P 10G</t>
  </si>
  <si>
    <t>GS728TXS-100NES</t>
  </si>
  <si>
    <t xml:space="preserve">DELL FPM185    </t>
  </si>
  <si>
    <t>ULO SERV INTERF VGA USB MED-VIRT CAC</t>
  </si>
  <si>
    <t>MONITOR LCD24</t>
  </si>
  <si>
    <t xml:space="preserve">G-MASTER GB2870UHSU-B1 </t>
  </si>
  <si>
    <t xml:space="preserve">IIYama </t>
  </si>
  <si>
    <t>VIDEO ENCODER 4K HDMI/SDI/RCA/USB/XLR</t>
  </si>
  <si>
    <t>ESP1610 / TBD</t>
  </si>
  <si>
    <t>EPIPHAN</t>
  </si>
  <si>
    <t>2MP x 4CH Remote Head Camera (DBS)</t>
  </si>
  <si>
    <t>PNM-9000QB</t>
  </si>
  <si>
    <t>2MP Lens Module for PNM-9000QB  (DBS)</t>
  </si>
  <si>
    <t>SLA-T4680A</t>
  </si>
  <si>
    <t>Remote Head Camera Ceiling Housing  (DBS)</t>
  </si>
  <si>
    <t>SBL-100D</t>
  </si>
  <si>
    <t>Cable equipado HDMI-H/H ULTRA-HD</t>
  </si>
  <si>
    <t>HDMM10M</t>
  </si>
  <si>
    <t>JA2586/1001</t>
  </si>
  <si>
    <t>T. CPU COMPACTPCI 3U I7 DVI GBE 16G</t>
  </si>
  <si>
    <t>CPCI-3510BLD/5700E/M16</t>
  </si>
  <si>
    <t> </t>
  </si>
  <si>
    <t>CONTACT AWG 20 (FIRE PUSHBUTTON)</t>
  </si>
  <si>
    <t>D38999/20ZG11PN</t>
  </si>
  <si>
    <t>CNC CIR 10-6 6P (M)</t>
  </si>
  <si>
    <t>MS3470L10-6P</t>
  </si>
  <si>
    <t>211-4280</t>
  </si>
  <si>
    <t>switch palanca</t>
  </si>
  <si>
    <t>cerrojo DCV12 Magnetic Lock Amazon</t>
  </si>
  <si>
    <t>RESISTOR 100 ?</t>
  </si>
  <si>
    <t>RESISTOR 43K?</t>
  </si>
  <si>
    <t>SISTEMAS AUXILIARES
'SONIDOS Y COMUNICACIONES</t>
  </si>
  <si>
    <t>naranja 0,3 M F/UTP LSZH</t>
  </si>
  <si>
    <t>LAT-CAT6AF-NJ-0.3</t>
  </si>
  <si>
    <t>naranja 1,5 M F/UTP LSZH</t>
  </si>
  <si>
    <t>LAT-CAT6AF-NJ-1.5</t>
  </si>
  <si>
    <t>blanco 45 M SFP</t>
  </si>
  <si>
    <t>Cable AWG24 negro</t>
  </si>
  <si>
    <t>CABLEADOS E INTERCONEXIONES
'SONIDOS Y COMUNICACIONES</t>
  </si>
  <si>
    <t>WIRE 1.5mm2 AZUL (LO TENÍA COMO MARRON)</t>
  </si>
  <si>
    <t>RESISTENCIA 470?</t>
  </si>
  <si>
    <t>NSPW515DS</t>
  </si>
  <si>
    <t>JA2588/1001</t>
  </si>
  <si>
    <t>DOMO + BPS + TRANSPORTE</t>
  </si>
  <si>
    <t>JA2584/1001</t>
  </si>
  <si>
    <t>Date 10/09/2024</t>
  </si>
  <si>
    <t>ACC CNC SUB-D CIERRE TOR 4-40 UNC</t>
  </si>
  <si>
    <t>Cinta americana Tesa 4615 negra 50x50mm e=0.18mm</t>
  </si>
  <si>
    <t>4615 Black</t>
  </si>
  <si>
    <t>Tesa</t>
  </si>
  <si>
    <t>BPS</t>
  </si>
  <si>
    <t>TDB</t>
  </si>
  <si>
    <t>Telas BPS cabina</t>
  </si>
  <si>
    <t>F.A. CONM 120-375VAC/24V 21A 504W ROHS</t>
  </si>
  <si>
    <t>F.A CONM VE=85-264V 1000W SMPS</t>
  </si>
  <si>
    <t>CASQ TERM AUTSLD D=2,65-3,68MM PVDF/SNPB</t>
  </si>
  <si>
    <t>Material</t>
  </si>
  <si>
    <t>Descripción material</t>
  </si>
  <si>
    <t>Fecha Sol.</t>
  </si>
  <si>
    <t>Nº Cesta / Sol</t>
  </si>
  <si>
    <t>Posición sol.</t>
  </si>
  <si>
    <t>Estado de la Firma</t>
  </si>
  <si>
    <t>Nº pedido</t>
  </si>
  <si>
    <t>Posición ped.</t>
  </si>
  <si>
    <t>Fecha Ped.</t>
  </si>
  <si>
    <t>Fe. Entrega</t>
  </si>
  <si>
    <t>Entrega final</t>
  </si>
  <si>
    <t>Ind.Borr/Bloq Ped</t>
  </si>
  <si>
    <t>Estado</t>
  </si>
  <si>
    <t>Ctd. Solicitada</t>
  </si>
  <si>
    <t>Ctd. pedido</t>
  </si>
  <si>
    <t>Ctd. Recepcionada</t>
  </si>
  <si>
    <t>Ctd. por recepcionar</t>
  </si>
  <si>
    <t>Ctd. por inspeccionar</t>
  </si>
  <si>
    <t>Imp. unitario Ped.</t>
  </si>
  <si>
    <t>Imp.total pos Ped</t>
  </si>
  <si>
    <t>Moneda Ped.</t>
  </si>
  <si>
    <t>P/N fab. Ped</t>
  </si>
  <si>
    <t>Desc.Proveedor</t>
  </si>
  <si>
    <t>Elemento PEP</t>
  </si>
  <si>
    <t>Almacen</t>
  </si>
  <si>
    <t>Bloqueo Compras</t>
  </si>
  <si>
    <t>Cant Base Ped.</t>
  </si>
  <si>
    <t>Cant.base SP</t>
  </si>
  <si>
    <t>Cantidad solicitada</t>
  </si>
  <si>
    <t>Carácter longitud 1</t>
  </si>
  <si>
    <t>Centro</t>
  </si>
  <si>
    <t>Cl. Pedido</t>
  </si>
  <si>
    <t>Clase de operación</t>
  </si>
  <si>
    <t>Clase de pedido</t>
  </si>
  <si>
    <t>Clave de horizonte</t>
  </si>
  <si>
    <t>Creado por</t>
  </si>
  <si>
    <t>CREADOR SP</t>
  </si>
  <si>
    <t>Ctd. Aceptada</t>
  </si>
  <si>
    <t>Ctd. facturada</t>
  </si>
  <si>
    <t>Ctd. por facturar</t>
  </si>
  <si>
    <t>Ctd. Rechazada</t>
  </si>
  <si>
    <t>Desc. Fabricante en ped.</t>
  </si>
  <si>
    <t>Desc. Mercado Organizativo (SolPed)</t>
  </si>
  <si>
    <t>Descripción de la operación</t>
  </si>
  <si>
    <t>Descripción fabricante en sp.</t>
  </si>
  <si>
    <t>Dirección de Entrega</t>
  </si>
  <si>
    <t>Documentacion</t>
  </si>
  <si>
    <t>Entregas (de/a)</t>
  </si>
  <si>
    <t>Fabricante en ped.</t>
  </si>
  <si>
    <t>Fabricante en sp</t>
  </si>
  <si>
    <t>Fecha de documento</t>
  </si>
  <si>
    <t>Fecha de entrada en compras</t>
  </si>
  <si>
    <t>Fecha de entrega</t>
  </si>
  <si>
    <t>Fecha de fin extrema</t>
  </si>
  <si>
    <t>Fecha inicio extrema</t>
  </si>
  <si>
    <t>Fecha Liberación</t>
  </si>
  <si>
    <t>Fecha-apert. planif.</t>
  </si>
  <si>
    <t>Grupo de artículos</t>
  </si>
  <si>
    <t>Grupo de artículos Operación</t>
  </si>
  <si>
    <t>Imp.total pos SP</t>
  </si>
  <si>
    <t>Imp.unit.SP</t>
  </si>
  <si>
    <t>Ind.Borr/Bloq Sol</t>
  </si>
  <si>
    <t>Indicador de borrado</t>
  </si>
  <si>
    <t>Indicador liberación</t>
  </si>
  <si>
    <t>Mercado Organizativo (SolPed)</t>
  </si>
  <si>
    <t>Moneda</t>
  </si>
  <si>
    <t>Moneda Ped</t>
  </si>
  <si>
    <t>Moneda SP</t>
  </si>
  <si>
    <t>Nombre completo</t>
  </si>
  <si>
    <t>Número de material Padre</t>
  </si>
  <si>
    <t>OP/Grafo</t>
  </si>
  <si>
    <t>Orden previsional</t>
  </si>
  <si>
    <t>P/N fab. sp.</t>
  </si>
  <si>
    <t>Pedido Inmediato</t>
  </si>
  <si>
    <t>Plazo entrega prev.</t>
  </si>
  <si>
    <t>Por calcular (cantidad)</t>
  </si>
  <si>
    <t>Por calcular (valor)</t>
  </si>
  <si>
    <t>Por facturar cantidad.</t>
  </si>
  <si>
    <t>Proveedor</t>
  </si>
  <si>
    <t>Status</t>
  </si>
  <si>
    <t>Texto breve de material</t>
  </si>
  <si>
    <t>Texto de cabecera</t>
  </si>
  <si>
    <t>Tiempo espera normal</t>
  </si>
  <si>
    <t>Tipo cambio</t>
  </si>
  <si>
    <t>Tipo Compra</t>
  </si>
  <si>
    <t>Tipo de imputación</t>
  </si>
  <si>
    <t>Tmpo.tratamiento EM</t>
  </si>
  <si>
    <t>Total EM valor</t>
  </si>
  <si>
    <t>Total entrada de mercancía(ctd)</t>
  </si>
  <si>
    <t>Total facturas ctd.</t>
  </si>
  <si>
    <t>Unid.tmp.nor.espera</t>
  </si>
  <si>
    <t>Unidad</t>
  </si>
  <si>
    <t>Unidad de medida</t>
  </si>
  <si>
    <t>Unidad medida base</t>
  </si>
  <si>
    <t>UnMedidaPrecioPedido</t>
  </si>
  <si>
    <t>Valor aceptado</t>
  </si>
  <si>
    <t>Valor ctd. aceptada</t>
  </si>
  <si>
    <t>Valor facturado</t>
  </si>
  <si>
    <t>Valor por entregar</t>
  </si>
  <si>
    <t>Valor por facturar</t>
  </si>
  <si>
    <t>Valor por inspeccionar</t>
  </si>
  <si>
    <t>Valor por recepcionar</t>
  </si>
  <si>
    <t>Valor recepcionado</t>
  </si>
  <si>
    <t>Solic.</t>
  </si>
  <si>
    <t>Comprador</t>
  </si>
  <si>
    <t>HW OTP TOKEN 1 YEAR (WITH PROOFING)</t>
  </si>
  <si>
    <t>1101528754</t>
  </si>
  <si>
    <t>0</t>
  </si>
  <si>
    <t>7218|S22B04_GPR05</t>
  </si>
  <si>
    <t>6000</t>
  </si>
  <si>
    <t>SRM2ERP</t>
  </si>
  <si>
    <t>Simulacion</t>
  </si>
  <si>
    <t>Calle Mar Egeo,428830San Fernando de Henares</t>
  </si>
  <si>
    <t>'@FM@</t>
  </si>
  <si>
    <t>432411</t>
  </si>
  <si>
    <t>20</t>
  </si>
  <si>
    <t>María Isabel Recio Gutiérrez</t>
  </si>
  <si>
    <t>P</t>
  </si>
  <si>
    <t xml:space="preserve">                         0.00</t>
  </si>
  <si>
    <t>MRECIO</t>
  </si>
  <si>
    <t>Sanchez Graciano, Antonio</t>
  </si>
  <si>
    <t>1390701500800</t>
  </si>
  <si>
    <t>MCDU B737-800 FANS S/OF</t>
  </si>
  <si>
    <t>1101528790</t>
  </si>
  <si>
    <t>4600003331</t>
  </si>
  <si>
    <t>10</t>
  </si>
  <si>
    <t>Liberado</t>
  </si>
  <si>
    <t>631-922425-001</t>
  </si>
  <si>
    <t>SYMBOLIC DISPLAYS, INC</t>
  </si>
  <si>
    <t>7218|S22B04_S1041</t>
  </si>
  <si>
    <t>8990</t>
  </si>
  <si>
    <t>8000</t>
  </si>
  <si>
    <t>Ped. antici. hitos</t>
  </si>
  <si>
    <t>ZANT</t>
  </si>
  <si>
    <t>152028</t>
  </si>
  <si>
    <t>SDI</t>
  </si>
  <si>
    <t>Avenida de la Veguilla,419171Cabanillas del Campo</t>
  </si>
  <si>
    <t>9002524</t>
  </si>
  <si>
    <t>322020</t>
  </si>
  <si>
    <t>3</t>
  </si>
  <si>
    <t>Arsenio Jiménez Pérez</t>
  </si>
  <si>
    <t>1051015</t>
  </si>
  <si>
    <t xml:space="preserve"> 0,98795</t>
  </si>
  <si>
    <t>Q</t>
  </si>
  <si>
    <t>UN</t>
  </si>
  <si>
    <t xml:space="preserve">                     35150.00</t>
  </si>
  <si>
    <t>AJIMENEZP</t>
  </si>
  <si>
    <t>Fernández Carrascal, José Abel</t>
  </si>
  <si>
    <t>9999000322010</t>
  </si>
  <si>
    <t>N.R. PANELES SIMULADORES</t>
  </si>
  <si>
    <t>322010</t>
  </si>
  <si>
    <t xml:space="preserve">                      2700.00</t>
  </si>
  <si>
    <t>1390701500100</t>
  </si>
  <si>
    <t>B737-800 DISPLAY UNIT 631-909698-901</t>
  </si>
  <si>
    <t>4</t>
  </si>
  <si>
    <t>30</t>
  </si>
  <si>
    <t>631-909698-901</t>
  </si>
  <si>
    <t xml:space="preserve">                     66550.00</t>
  </si>
  <si>
    <t>1309000611900</t>
  </si>
  <si>
    <t>CTL PANEL WEATHER RADAR</t>
  </si>
  <si>
    <t>1101517813</t>
  </si>
  <si>
    <t>4200484030</t>
  </si>
  <si>
    <t>622-5129-802</t>
  </si>
  <si>
    <t>AEROFALCON S.L.</t>
  </si>
  <si>
    <t>7218|S22B04_S1076</t>
  </si>
  <si>
    <t>Pedido de materiales</t>
  </si>
  <si>
    <t>ZNB</t>
  </si>
  <si>
    <t>947726</t>
  </si>
  <si>
    <t>ROCKWELL-COLLINS</t>
  </si>
  <si>
    <t>El Rayo (Polig Indust La Quinta,719171Cabanillas del Campo</t>
  </si>
  <si>
    <t>9000328</t>
  </si>
  <si>
    <t>425027</t>
  </si>
  <si>
    <t>María Ángeles Coello Roma</t>
  </si>
  <si>
    <t>1205312</t>
  </si>
  <si>
    <t xml:space="preserve"> 1,00000</t>
  </si>
  <si>
    <t xml:space="preserve">                     15329.57</t>
  </si>
  <si>
    <t>ACOELLO</t>
  </si>
  <si>
    <t>Ortiz Diaz, Carolina</t>
  </si>
  <si>
    <t>1390703220100</t>
  </si>
  <si>
    <t>CABIN PRESS PANEL SIM REPLI 814392-2-002</t>
  </si>
  <si>
    <t>1101517234</t>
  </si>
  <si>
    <t>4200483039</t>
  </si>
  <si>
    <t>10-7829</t>
  </si>
  <si>
    <t>SIMTEK, INC</t>
  </si>
  <si>
    <t>9008133</t>
  </si>
  <si>
    <t>1047453</t>
  </si>
  <si>
    <t xml:space="preserve"> 0,96274</t>
  </si>
  <si>
    <t xml:space="preserve">                     21270.00</t>
  </si>
  <si>
    <t>Ramos Torreadrado, Carolina</t>
  </si>
  <si>
    <t>1390703021100</t>
  </si>
  <si>
    <t>RUDDER TRIM POS IND SIM PN: 10166N01N00</t>
  </si>
  <si>
    <t>10-7774</t>
  </si>
  <si>
    <t xml:space="preserve">                      5330.00</t>
  </si>
  <si>
    <t>1390703021000</t>
  </si>
  <si>
    <t>ANNUNCIATOR PANEL SIM PN: D434-56-001</t>
  </si>
  <si>
    <t>10-7773</t>
  </si>
  <si>
    <t xml:space="preserve">                      7560.00</t>
  </si>
  <si>
    <t>1390703020900</t>
  </si>
  <si>
    <t>COMPASS SIM REPLICA PN: C5L</t>
  </si>
  <si>
    <t>40</t>
  </si>
  <si>
    <t>10-7772</t>
  </si>
  <si>
    <t xml:space="preserve">                      3695.00</t>
  </si>
  <si>
    <t>1390703020800</t>
  </si>
  <si>
    <t>BRAKE PRESSURE IND SIM REPL PN: 163LCP80</t>
  </si>
  <si>
    <t>5</t>
  </si>
  <si>
    <t>50</t>
  </si>
  <si>
    <t>10-7771</t>
  </si>
  <si>
    <t xml:space="preserve">                      2755.00</t>
  </si>
  <si>
    <t>1390703020700</t>
  </si>
  <si>
    <t>FLAP POSITION IND SIM REPL PN: 2061-15-1</t>
  </si>
  <si>
    <t>6</t>
  </si>
  <si>
    <t>60</t>
  </si>
  <si>
    <t>10-7770</t>
  </si>
  <si>
    <t xml:space="preserve">                      4175.00</t>
  </si>
  <si>
    <t>1390703020600</t>
  </si>
  <si>
    <t>OXYGEN PRESSURE IND SIM REPLI PN: 182936</t>
  </si>
  <si>
    <t>7</t>
  </si>
  <si>
    <t>70</t>
  </si>
  <si>
    <t>10-7769</t>
  </si>
  <si>
    <t xml:space="preserve">                      2490.00</t>
  </si>
  <si>
    <t>1390703020500</t>
  </si>
  <si>
    <t>DUCT PRESSURE IND SIM REPLI PN: SEDLOC9C</t>
  </si>
  <si>
    <t>8</t>
  </si>
  <si>
    <t>80</t>
  </si>
  <si>
    <t>10-7768</t>
  </si>
  <si>
    <t>1390703020400</t>
  </si>
  <si>
    <t>CABIN TEMP IND SIM REPLICA PN: 162BL903</t>
  </si>
  <si>
    <t>9</t>
  </si>
  <si>
    <t>90</t>
  </si>
  <si>
    <t>10-7767</t>
  </si>
  <si>
    <t xml:space="preserve">                      2565.00</t>
  </si>
  <si>
    <t>1390703020300</t>
  </si>
  <si>
    <t>CABIN VERTICA SPEED IND SIM PN: WL501RC1</t>
  </si>
  <si>
    <t>100</t>
  </si>
  <si>
    <t>10-7766</t>
  </si>
  <si>
    <t xml:space="preserve">                      2585.00</t>
  </si>
  <si>
    <t>1390703020200</t>
  </si>
  <si>
    <t>CAB ALT/DIFF PRES IND SIM PN: AW2835AB06</t>
  </si>
  <si>
    <t>11</t>
  </si>
  <si>
    <t>110</t>
  </si>
  <si>
    <t>10-7765</t>
  </si>
  <si>
    <t>1390703020100</t>
  </si>
  <si>
    <t>EGT APU SIM REPLICA PN: 152LMA23</t>
  </si>
  <si>
    <t>12</t>
  </si>
  <si>
    <t>120</t>
  </si>
  <si>
    <t>10-7764</t>
  </si>
  <si>
    <t>1390703020000</t>
  </si>
  <si>
    <t>FUEL TEMP IND SIM REPLICA PN:162BL801</t>
  </si>
  <si>
    <t>13</t>
  </si>
  <si>
    <t>130</t>
  </si>
  <si>
    <t>10-7763</t>
  </si>
  <si>
    <t>1390703021300</t>
  </si>
  <si>
    <t>AIR VALVE POSITION</t>
  </si>
  <si>
    <t>14</t>
  </si>
  <si>
    <t>140</t>
  </si>
  <si>
    <t>51-0230-01</t>
  </si>
  <si>
    <t xml:space="preserve">                      3750.00</t>
  </si>
  <si>
    <t>1390702740000</t>
  </si>
  <si>
    <t>CLOCK</t>
  </si>
  <si>
    <t>1101516960</t>
  </si>
  <si>
    <t>4200482994</t>
  </si>
  <si>
    <t>Generado documento</t>
  </si>
  <si>
    <t>9010-1-3</t>
  </si>
  <si>
    <t>THE BOEING COMPANY</t>
  </si>
  <si>
    <t>AVTECH CORPORATION</t>
  </si>
  <si>
    <t>9010466</t>
  </si>
  <si>
    <t>1046021</t>
  </si>
  <si>
    <t xml:space="preserve">                     17318.00</t>
  </si>
  <si>
    <t>1390702720000</t>
  </si>
  <si>
    <t>REMOTE LIGHT SENSOR</t>
  </si>
  <si>
    <t>4082740-901</t>
  </si>
  <si>
    <t>HONEYWELL INC</t>
  </si>
  <si>
    <t>9003555</t>
  </si>
  <si>
    <t xml:space="preserve">                     21940.00</t>
  </si>
  <si>
    <t>1390705171100</t>
  </si>
  <si>
    <t>PANEL ASSY-MAP/CHART LT CONT P23-1</t>
  </si>
  <si>
    <t>233A7202-3</t>
  </si>
  <si>
    <t>BAE SYSTEMS</t>
  </si>
  <si>
    <t>9008109</t>
  </si>
  <si>
    <t xml:space="preserve">                     13147.00</t>
  </si>
  <si>
    <t>1390705170700</t>
  </si>
  <si>
    <t>MOD ASSY-ENG/APU FIRE CONTROL P8-01</t>
  </si>
  <si>
    <t>69-37307-300</t>
  </si>
  <si>
    <t>491051</t>
  </si>
  <si>
    <t xml:space="preserve">                     69459.00</t>
  </si>
  <si>
    <t>1390705170800</t>
  </si>
  <si>
    <t>MOD ASSY-RUD TRIM P8-43</t>
  </si>
  <si>
    <t>69-73703-313</t>
  </si>
  <si>
    <t xml:space="preserve">                     17005.00</t>
  </si>
  <si>
    <t>1390705170900</t>
  </si>
  <si>
    <t>MOD ASSY-FLOOD AND PNL LIGHTING P8-50</t>
  </si>
  <si>
    <t>69-76435-305</t>
  </si>
  <si>
    <t xml:space="preserve">                     10111.00</t>
  </si>
  <si>
    <t>1390705171200</t>
  </si>
  <si>
    <t>MOD ASSY ENGINE AND WING ANTI-ICE P5-11</t>
  </si>
  <si>
    <t>69-37320-3114</t>
  </si>
  <si>
    <t xml:space="preserve">                     47060.00</t>
  </si>
  <si>
    <t>1390702790100</t>
  </si>
  <si>
    <t>COCKPIT SPEAKER ASSY</t>
  </si>
  <si>
    <t>1101517004</t>
  </si>
  <si>
    <t>4200482968</t>
  </si>
  <si>
    <t>10-62090-30</t>
  </si>
  <si>
    <t>EUROPAVIA ESPAÑA S.A.</t>
  </si>
  <si>
    <t>420046</t>
  </si>
  <si>
    <t>1009691</t>
  </si>
  <si>
    <t xml:space="preserve">                      7224.24</t>
  </si>
  <si>
    <t>Aguado Blanco, Ana María</t>
  </si>
  <si>
    <t>INSTALLATION ASISTANCE</t>
  </si>
  <si>
    <t>1101516535</t>
  </si>
  <si>
    <t>4300285652</t>
  </si>
  <si>
    <t>MOOG, B.V.</t>
  </si>
  <si>
    <t>7218|S22B04_S107E</t>
  </si>
  <si>
    <t>Ped. cerrado servic.</t>
  </si>
  <si>
    <t>ZSE1</t>
  </si>
  <si>
    <t>721519</t>
  </si>
  <si>
    <t>1052878</t>
  </si>
  <si>
    <t>PO</t>
  </si>
  <si>
    <t>UA</t>
  </si>
  <si>
    <t xml:space="preserve">                      5200.00</t>
  </si>
  <si>
    <t>TUNING</t>
  </si>
  <si>
    <t xml:space="preserve">                      6560.00</t>
  </si>
  <si>
    <t>1390705333000</t>
  </si>
  <si>
    <t>DISPOSITIVO SIMULACION VISUAL IG + WXR</t>
  </si>
  <si>
    <t>1101515529</t>
  </si>
  <si>
    <t>4200482135</t>
  </si>
  <si>
    <t>946-00C6-100_REVD EP-8100</t>
  </si>
  <si>
    <t>ROCKWELL COLLINS UK LTD</t>
  </si>
  <si>
    <t>7218|S22B04_P1023311</t>
  </si>
  <si>
    <t>1051399</t>
  </si>
  <si>
    <t xml:space="preserve"> 1,16523</t>
  </si>
  <si>
    <t xml:space="preserve">                    663598.00</t>
  </si>
  <si>
    <t>1390705330000</t>
  </si>
  <si>
    <t>HUD COMPUTER B737</t>
  </si>
  <si>
    <t>1101513085</t>
  </si>
  <si>
    <t>4200482123</t>
  </si>
  <si>
    <t>1500-2460-004</t>
  </si>
  <si>
    <t>6990</t>
  </si>
  <si>
    <t xml:space="preserve">                    169524.00</t>
  </si>
  <si>
    <t>1390705320000</t>
  </si>
  <si>
    <t>HUD OVERHEAD UNIT</t>
  </si>
  <si>
    <t>1500-2360-001</t>
  </si>
  <si>
    <t xml:space="preserve">                    296068.00</t>
  </si>
  <si>
    <t>1390704460200</t>
  </si>
  <si>
    <t>SIMULADOR PANEL CTR SIMMMR 737 PLUG&amp;PLAY</t>
  </si>
  <si>
    <t>1101511711</t>
  </si>
  <si>
    <t>4200482272</t>
  </si>
  <si>
    <t>C01-2200-321</t>
  </si>
  <si>
    <t>BOEING</t>
  </si>
  <si>
    <t>9000332</t>
  </si>
  <si>
    <t xml:space="preserve">                     46000.00</t>
  </si>
  <si>
    <t>1390705340000</t>
  </si>
  <si>
    <t>PANEL SINTONIZACION RADIO SIMULA 737</t>
  </si>
  <si>
    <t>C01-1600-321</t>
  </si>
  <si>
    <t xml:space="preserve">                     31200.00</t>
  </si>
  <si>
    <t>1390704460300</t>
  </si>
  <si>
    <t>SIMULADOR 737NG SIMEFIS PLUG-AND-PLAY</t>
  </si>
  <si>
    <t>C01-1300-322</t>
  </si>
  <si>
    <t xml:space="preserve">                     46600.00</t>
  </si>
  <si>
    <t>SOLICITUD NORMA IEC 62443-4-2</t>
  </si>
  <si>
    <t>1101511444</t>
  </si>
  <si>
    <t>4300285002</t>
  </si>
  <si>
    <t>IHS MARKIT GLOBAL SARL</t>
  </si>
  <si>
    <t>152074</t>
  </si>
  <si>
    <t>651015</t>
  </si>
  <si>
    <t>1222355</t>
  </si>
  <si>
    <t xml:space="preserve"> 0,93345</t>
  </si>
  <si>
    <t xml:space="preserve">                      1000.00</t>
  </si>
  <si>
    <t>Fernández Fernández, María</t>
  </si>
  <si>
    <t>3166099900092</t>
  </si>
  <si>
    <t>MANTENIMIENTO Y GARANTIA DE SOFTWARE</t>
  </si>
  <si>
    <t>1101509442</t>
  </si>
  <si>
    <t>4200481467</t>
  </si>
  <si>
    <t>GE AVIATION SYSTEMS LLC</t>
  </si>
  <si>
    <t>945547</t>
  </si>
  <si>
    <t>9003222</t>
  </si>
  <si>
    <t>1165101</t>
  </si>
  <si>
    <t xml:space="preserve">                      5000.00</t>
  </si>
  <si>
    <t>Garcia Prieto, Pablo</t>
  </si>
  <si>
    <t>1101508963</t>
  </si>
  <si>
    <t>4200480501</t>
  </si>
  <si>
    <t>E-T-A APARELLAJE ELECTRICO S.L.U.</t>
  </si>
  <si>
    <t>9006271</t>
  </si>
  <si>
    <t>381814</t>
  </si>
  <si>
    <t>1208010</t>
  </si>
  <si>
    <t xml:space="preserve">                     15388.10</t>
  </si>
  <si>
    <t>Gomez Cornejo, Luis</t>
  </si>
  <si>
    <t>1128990400600</t>
  </si>
  <si>
    <t>INSERTO MARCAJE NEGRO 1A PULS CONFIG A/B</t>
  </si>
  <si>
    <t>X 222 175 03</t>
  </si>
  <si>
    <t>381816</t>
  </si>
  <si>
    <t xml:space="preserve">                        20.50</t>
  </si>
  <si>
    <t>1128990401600</t>
  </si>
  <si>
    <t>INSERTO MARCAJE NEGRO 2.5A PULS CONF A/B</t>
  </si>
  <si>
    <t>X 222 175 30</t>
  </si>
  <si>
    <t xml:space="preserve">                       348.50</t>
  </si>
  <si>
    <t>INSERTO MARCAJE NEGRO 3A PULS CONFIG A/B</t>
  </si>
  <si>
    <t xml:space="preserve">                       153.75</t>
  </si>
  <si>
    <t>1128990401000</t>
  </si>
  <si>
    <t>INSERTO MARCAJE NEGRO 7,5A PULS CONF A/B</t>
  </si>
  <si>
    <t>X 222 175 10</t>
  </si>
  <si>
    <t>945509</t>
  </si>
  <si>
    <t xml:space="preserve">                       123.00</t>
  </si>
  <si>
    <t>INSERTO MARCAJE NEGRO 10A PULS CONFI A/B</t>
  </si>
  <si>
    <t xml:space="preserve">                        41.00</t>
  </si>
  <si>
    <t>INSERTO MARCAJE NEGRO 25A PULS CONFI A/B</t>
  </si>
  <si>
    <t>INSERTO MARCAJE NEGRO 5A PULS CONFIG A/B</t>
  </si>
  <si>
    <t xml:space="preserve">                       205.00</t>
  </si>
  <si>
    <t>INSERTO MARCAJE NEGRO 15A PULS CONFI A/B</t>
  </si>
  <si>
    <t>1390703010100</t>
  </si>
  <si>
    <t>CAJA FMP BOING GE</t>
  </si>
  <si>
    <t>1101507890</t>
  </si>
  <si>
    <t>4200480634</t>
  </si>
  <si>
    <t>Envío a firma</t>
  </si>
  <si>
    <t>PLT6324-01-01</t>
  </si>
  <si>
    <t>460772</t>
  </si>
  <si>
    <t>9013644</t>
  </si>
  <si>
    <t>432016</t>
  </si>
  <si>
    <t xml:space="preserve">                     45078.00</t>
  </si>
  <si>
    <t>1390700652300</t>
  </si>
  <si>
    <t>SIST MOV SIMUL GEN3 E7 FULL 1.400KG</t>
  </si>
  <si>
    <t>1101504793</t>
  </si>
  <si>
    <t>4200483345</t>
  </si>
  <si>
    <t>MB-E-6DOF/60/14000KG</t>
  </si>
  <si>
    <t>MOOG CONTROLS LIMITED</t>
  </si>
  <si>
    <t>MOOG FCS BV</t>
  </si>
  <si>
    <t>9000188</t>
  </si>
  <si>
    <t>322012</t>
  </si>
  <si>
    <t>L</t>
  </si>
  <si>
    <t>1237272</t>
  </si>
  <si>
    <t xml:space="preserve">                    433850.00</t>
  </si>
  <si>
    <t>4200480633</t>
  </si>
  <si>
    <t>BORR</t>
  </si>
  <si>
    <t>MOOG READING LIMITED</t>
  </si>
  <si>
    <t>1225760</t>
  </si>
  <si>
    <t xml:space="preserve">                    425000.00</t>
  </si>
  <si>
    <t>INSTALLATION ASSISTANCE</t>
  </si>
  <si>
    <t>1101507627</t>
  </si>
  <si>
    <t>4300285548</t>
  </si>
  <si>
    <t>4300284897</t>
  </si>
  <si>
    <t>TUNNING</t>
  </si>
  <si>
    <t>3210604771100</t>
  </si>
  <si>
    <t>FILTRO PRIVACIDAD PORTATIL 13,3"</t>
  </si>
  <si>
    <t>1101507222</t>
  </si>
  <si>
    <t>4200480430</t>
  </si>
  <si>
    <t>98-0440-0655-3</t>
  </si>
  <si>
    <t>TECH DATA ESPAÑA, S.L.U.</t>
  </si>
  <si>
    <t>7218|S22B04_S01</t>
  </si>
  <si>
    <t>563504</t>
  </si>
  <si>
    <t>9005337</t>
  </si>
  <si>
    <t>432116</t>
  </si>
  <si>
    <t>1059688</t>
  </si>
  <si>
    <t xml:space="preserve">                        76.26</t>
  </si>
  <si>
    <t>Martin Jimenez, Marta</t>
  </si>
  <si>
    <t>1390704470000</t>
  </si>
  <si>
    <t>ELECT CTRL LOADING SYST EFORCE EF12 B737</t>
  </si>
  <si>
    <t>1101502989</t>
  </si>
  <si>
    <t>4600003268</t>
  </si>
  <si>
    <t>EF12 CLS B737/Q20180793</t>
  </si>
  <si>
    <t>E2M Technologies B.V.</t>
  </si>
  <si>
    <t>7218|S22B04_S107F</t>
  </si>
  <si>
    <t>E2M TECHNOLOGIES</t>
  </si>
  <si>
    <t>9011500</t>
  </si>
  <si>
    <t>322018</t>
  </si>
  <si>
    <t>1184414</t>
  </si>
  <si>
    <t xml:space="preserve">                    209313.00</t>
  </si>
  <si>
    <t>3260200010000</t>
  </si>
  <si>
    <t>MEMORIAS EXTERNAS-USB</t>
  </si>
  <si>
    <t>1101502613</t>
  </si>
  <si>
    <t>4200477121</t>
  </si>
  <si>
    <t>ELECTRONIC EQUIPMENT TRADING SAU (E</t>
  </si>
  <si>
    <t>1058525</t>
  </si>
  <si>
    <t xml:space="preserve">                       227.28</t>
  </si>
  <si>
    <t>0970710000400</t>
  </si>
  <si>
    <t>CABINA del B737</t>
  </si>
  <si>
    <t>1101501807</t>
  </si>
  <si>
    <t>4200477075</t>
  </si>
  <si>
    <t>S3 SOLUTIONS</t>
  </si>
  <si>
    <t>7218|S22B04_S1072</t>
  </si>
  <si>
    <t>9006321</t>
  </si>
  <si>
    <t>322014</t>
  </si>
  <si>
    <t>1216864</t>
  </si>
  <si>
    <t xml:space="preserve">                     54000.00</t>
  </si>
  <si>
    <t>1390705210000</t>
  </si>
  <si>
    <t>KIT INTEGRACION SIMULADOR (SIK) P/B737</t>
  </si>
  <si>
    <t>1101501819</t>
  </si>
  <si>
    <t>4600003332</t>
  </si>
  <si>
    <t>C1-P315-737-21-1487</t>
  </si>
  <si>
    <t>7218|S22B04_S103</t>
  </si>
  <si>
    <t>322024</t>
  </si>
  <si>
    <t xml:space="preserve">                   6000000.00</t>
  </si>
  <si>
    <t>4200482274</t>
  </si>
  <si>
    <t>Título de pedido</t>
  </si>
  <si>
    <t>Proyecto suministrador</t>
  </si>
  <si>
    <t>Fecha fin planificada</t>
  </si>
  <si>
    <t>Fecha inicio planificada</t>
  </si>
  <si>
    <t>Presupuesto planificado</t>
  </si>
  <si>
    <t>Divisa</t>
  </si>
  <si>
    <t>Unidad de negocio Suministradora</t>
  </si>
  <si>
    <t>Suministrador</t>
  </si>
  <si>
    <t>Centro prod.</t>
  </si>
  <si>
    <t>Código material</t>
  </si>
  <si>
    <t>Proy/Elem peticionario</t>
  </si>
  <si>
    <t>Proy/Elem suministrador</t>
  </si>
  <si>
    <t>DP and HW kit 1 x FFS A320 - España - España</t>
  </si>
  <si>
    <t>7218|JA2576_1001</t>
  </si>
  <si>
    <t xml:space="preserve"> EUR</t>
  </si>
  <si>
    <t>TSDSIM - PROD SIMULACIÓN CP6000</t>
  </si>
  <si>
    <t>Mateos Ortega, Juan José</t>
  </si>
  <si>
    <t>S24B05/S103</t>
  </si>
  <si>
    <t>2GP240/1001</t>
  </si>
  <si>
    <t>Licenses 1 x FFS A320 - España - España</t>
  </si>
  <si>
    <t>7218|JA2577_1001</t>
  </si>
  <si>
    <t>S24B05/S104</t>
  </si>
  <si>
    <t>2GP240/1002</t>
  </si>
  <si>
    <t>Display 1 x FFS A320 - España - España</t>
  </si>
  <si>
    <t>7218|JA2578_1001</t>
  </si>
  <si>
    <t>S24B05/S1071</t>
  </si>
  <si>
    <t>2GP240/1003</t>
  </si>
  <si>
    <t>Cockpit 1 x FFS A320 - España - España</t>
  </si>
  <si>
    <t>7218|JA2579_1001</t>
  </si>
  <si>
    <t>AC610000004</t>
  </si>
  <si>
    <t>S24B05/S1072</t>
  </si>
  <si>
    <t>2GP240/1004</t>
  </si>
  <si>
    <t>BaseFrame - Aftercabin1 x FFS A320 - España - España</t>
  </si>
  <si>
    <t>7218|JA2580_1001</t>
  </si>
  <si>
    <t>S24B05/S1073</t>
  </si>
  <si>
    <t>2GP240/1005</t>
  </si>
  <si>
    <t>Alimentaciones- Interconexiones 1 x FFS A320 - España - España</t>
  </si>
  <si>
    <t>7218|JA2581_1001</t>
  </si>
  <si>
    <t>AC610000006</t>
  </si>
  <si>
    <t>S24B05/S1074</t>
  </si>
  <si>
    <t>2GP240/1006</t>
  </si>
  <si>
    <t>Equipos Auxiliares 1 x FFS A320 - España - España</t>
  </si>
  <si>
    <t>7218|JA2582_1001</t>
  </si>
  <si>
    <t>S24B05/S1075</t>
  </si>
  <si>
    <t>2GP240/1007</t>
  </si>
  <si>
    <t>Equipos cabina 1 x FFS A320 - España - España</t>
  </si>
  <si>
    <t>7218|JA2583_1001</t>
  </si>
  <si>
    <t>S24B05/S1076</t>
  </si>
  <si>
    <t>2GP240/1008</t>
  </si>
  <si>
    <t>DACS1 x FFS A320 - España - España</t>
  </si>
  <si>
    <t>7218|JA2584_1001</t>
  </si>
  <si>
    <t>S24B05/S1077</t>
  </si>
  <si>
    <t>2GP240/1009</t>
  </si>
  <si>
    <t>Host 1 x FFS A320 - España - España</t>
  </si>
  <si>
    <t>7218|JA2585_1001</t>
  </si>
  <si>
    <t>S24B05/S1078</t>
  </si>
  <si>
    <t>2GP240/1010</t>
  </si>
  <si>
    <t>Rtio - Avicom 1 x FFS A320 - España - España</t>
  </si>
  <si>
    <t>7218|JA2586_1001</t>
  </si>
  <si>
    <t>S24B05/S1079</t>
  </si>
  <si>
    <t>2GP240/1011</t>
  </si>
  <si>
    <t>DBS 1 x FFS A320 - España - España</t>
  </si>
  <si>
    <t>7218|JA2587_1001</t>
  </si>
  <si>
    <t>S24B05/S107A</t>
  </si>
  <si>
    <t>2GP240/1012</t>
  </si>
  <si>
    <t>IOS - INSE 1 x FFS A320 - España - España</t>
  </si>
  <si>
    <t>7218|JA2588_1001</t>
  </si>
  <si>
    <t>S24B05/S107B</t>
  </si>
  <si>
    <t>2GP240/1013</t>
  </si>
  <si>
    <t>Motion 1 x FFS A320 - España - España</t>
  </si>
  <si>
    <t>7218|JA2612_1001</t>
  </si>
  <si>
    <t>S24B05/S107C</t>
  </si>
  <si>
    <t>2GP240/1014</t>
  </si>
  <si>
    <t>CLS 1 x FFS A320 - España - España</t>
  </si>
  <si>
    <t>7218|JA2589_1001</t>
  </si>
  <si>
    <t>S24B05/S107D</t>
  </si>
  <si>
    <t>2GP240/1015</t>
  </si>
  <si>
    <t>Prod. Display 1 x FFS A320 - España - España</t>
  </si>
  <si>
    <t>7218|JA2590_1001</t>
  </si>
  <si>
    <t>S24B05/S107E</t>
  </si>
  <si>
    <t>2GP240/1016</t>
  </si>
  <si>
    <t>Spares 1 x FFS A320 - España - España</t>
  </si>
  <si>
    <t>7218|JA2591_1001</t>
  </si>
  <si>
    <t>AC610000017</t>
  </si>
  <si>
    <t>S24B05/S107F</t>
  </si>
  <si>
    <t>2GP240/1017</t>
  </si>
  <si>
    <t>Tools 1 x FFS A320 - España - España</t>
  </si>
  <si>
    <t>7218|JA2592_1001</t>
  </si>
  <si>
    <t>AC610000018</t>
  </si>
  <si>
    <t>S24B05/S107G</t>
  </si>
  <si>
    <t>2GP240/1018</t>
  </si>
  <si>
    <t>Prod. Cableados y Mazos (Lab 1 x FFS A320 - España - España</t>
  </si>
  <si>
    <t>7218|JA2593_1001</t>
  </si>
  <si>
    <t>AC610000019</t>
  </si>
  <si>
    <t>S24B05/P10321</t>
  </si>
  <si>
    <t>2GP240/1019</t>
  </si>
  <si>
    <t>Instal. cableados y mec.1 x FFS A320 - España - España</t>
  </si>
  <si>
    <t>7218|JA2594_1001</t>
  </si>
  <si>
    <t>AC610000020</t>
  </si>
  <si>
    <t>S24B05/P10322</t>
  </si>
  <si>
    <t>2GP240/1020</t>
  </si>
  <si>
    <t>A320 FFS SN06</t>
  </si>
  <si>
    <t>Cod. Indra</t>
  </si>
  <si>
    <t>Recodificado</t>
  </si>
  <si>
    <t>DESCRIPTION</t>
  </si>
  <si>
    <t>SYSTEM/EQUIPMENT</t>
  </si>
  <si>
    <t>P/N MFR</t>
  </si>
  <si>
    <t>MFR</t>
  </si>
  <si>
    <t>TOTAL</t>
  </si>
  <si>
    <t>RESPONSABLE</t>
  </si>
  <si>
    <t>Comentario</t>
  </si>
  <si>
    <t>DATE</t>
  </si>
  <si>
    <t>GPI I&amp;T</t>
  </si>
  <si>
    <t>AC</t>
  </si>
  <si>
    <t>Contraseña</t>
  </si>
  <si>
    <t>Nº Petición 1</t>
  </si>
  <si>
    <t>OP SUB</t>
  </si>
  <si>
    <t>N/S</t>
  </si>
  <si>
    <t>Pedido</t>
  </si>
  <si>
    <t>ESTADO</t>
  </si>
  <si>
    <t>Fecha Entrega</t>
  </si>
  <si>
    <t>Fecha Entrada en</t>
  </si>
  <si>
    <t>Comentarios LVR</t>
  </si>
  <si>
    <t>FACTURA</t>
  </si>
  <si>
    <t>I&amp;T</t>
  </si>
  <si>
    <t>(11/12/2023)</t>
  </si>
  <si>
    <t>Compras de la SP</t>
  </si>
  <si>
    <t>RACK</t>
  </si>
  <si>
    <t>JGP</t>
  </si>
  <si>
    <t>COGIDO DEL 135 - INCLUYE NIVELADOR Y PIES</t>
  </si>
  <si>
    <t>-</t>
  </si>
  <si>
    <t>RACK - QNAP</t>
  </si>
  <si>
    <t>YA SE HA COMPRADO</t>
  </si>
  <si>
    <t>S24B05_S1078</t>
  </si>
  <si>
    <t>RACK -QNAP</t>
  </si>
  <si>
    <t>SAMSUMG</t>
  </si>
  <si>
    <t xml:space="preserve">RACK -TESTBENCH </t>
  </si>
  <si>
    <t xml:space="preserve">RACK -PCs </t>
  </si>
  <si>
    <t>GUIA PUESTA TIERRA HORIZONTA 450MM VX/IT</t>
  </si>
  <si>
    <t>VIENE CON EL RACK DE RITTAL</t>
  </si>
  <si>
    <t xml:space="preserve">3190402380300 </t>
  </si>
  <si>
    <t>3190700971200</t>
  </si>
  <si>
    <t>MONITOR IPS 24" FHD 1920X1080 250NITS</t>
  </si>
  <si>
    <t>DESK-MONITORES</t>
  </si>
  <si>
    <t>E24 G5</t>
  </si>
  <si>
    <t>POWER STRIP 9 SOCKETS</t>
  </si>
  <si>
    <t>RACK - POWER</t>
  </si>
  <si>
    <t>RACK - SWITCHES</t>
  </si>
  <si>
    <t>COGIDO DEL 135</t>
  </si>
  <si>
    <t>Patchcord CAT6A F/UTP RJ45 Blanco LSZH.L: 3m</t>
  </si>
  <si>
    <t>WIRE-LAN CABLES</t>
  </si>
  <si>
    <t>1229591600901</t>
  </si>
  <si>
    <t>Patchcord CAT6A F/UTP RJ45 Negro LSZH L: 3m</t>
  </si>
  <si>
    <t>LAT-CAT6AF-NG-3</t>
  </si>
  <si>
    <t>Patchcord CAT6A F/UTP RJ45 Rojo. LSZH L: 3m</t>
  </si>
  <si>
    <t>Patchcord CAT6A F/UTP RJ45 Azul. LSZH L: 3m</t>
  </si>
  <si>
    <t>1229590990805</t>
  </si>
  <si>
    <t>WIRE HDMI 10 M</t>
  </si>
  <si>
    <t>WIRE</t>
  </si>
  <si>
    <t>182-8476</t>
  </si>
  <si>
    <t>3210504910400</t>
  </si>
  <si>
    <t xml:space="preserve">ADAPT DP-MINI-M/HDMI-A-H 2K BLANCO L0.1M </t>
  </si>
  <si>
    <t>RACK-CONVERSORS</t>
  </si>
  <si>
    <t>MDP2HD4KSW</t>
  </si>
  <si>
    <t>DESK-USB HUB</t>
  </si>
  <si>
    <t>1229599100008</t>
  </si>
  <si>
    <t>WIRE DISPLAY PORT 10 M</t>
  </si>
  <si>
    <t>182-8890</t>
  </si>
  <si>
    <t>1229508276001</t>
  </si>
  <si>
    <t>WIRE USB 10M</t>
  </si>
  <si>
    <t>220-6500</t>
  </si>
  <si>
    <t>TECLADOS</t>
  </si>
  <si>
    <t>EN SALA FRÍA 03</t>
  </si>
  <si>
    <t>RATONES</t>
  </si>
  <si>
    <t>1589903750200</t>
  </si>
  <si>
    <t>SOPORTE PANTALLA 2X10-27" VESA=100X100MM</t>
  </si>
  <si>
    <t>FPMA-D700DDV</t>
  </si>
  <si>
    <t>NEWSTAR COMPUTER</t>
  </si>
  <si>
    <t>LABELS - WIRES</t>
  </si>
  <si>
    <t>1357060089305</t>
  </si>
  <si>
    <t>TINTA PARA ETIQUETADO</t>
  </si>
  <si>
    <t>LABELS</t>
  </si>
  <si>
    <t>M7-R4300</t>
  </si>
  <si>
    <t>LABELS - EQUIPMENT</t>
  </si>
  <si>
    <t>9300504880</t>
  </si>
  <si>
    <t>@R CAB ADAPT MINIDP M A DISPLAY PORT H</t>
  </si>
  <si>
    <t>65030-84330</t>
  </si>
  <si>
    <t>MOD INTERFAZ AUDIO 192KHZ 188-CH USB3.0 (1U)</t>
  </si>
  <si>
    <t>RACK-DACS</t>
  </si>
  <si>
    <t>RME</t>
  </si>
  <si>
    <t>MOD CONV D/A 32CH 192KHZ I/O MADI/ADAT (2U)</t>
  </si>
  <si>
    <t>M-32 DA</t>
  </si>
  <si>
    <t xml:space="preserve">PREAMPLIFICADOR MIC 12CH DIGI AVB/MADI (1U)  </t>
  </si>
  <si>
    <t>1001059</t>
  </si>
  <si>
    <t>1253001110300</t>
  </si>
  <si>
    <t>HEADSET DT 297 PV MK II 80R MIC COND</t>
  </si>
  <si>
    <t>701.467</t>
  </si>
  <si>
    <t>BEYERDYNAMIC</t>
  </si>
  <si>
    <t>1253001119300</t>
  </si>
  <si>
    <t>ACC CBL K 190.40 3P XLR L=1.5 P/DT28/29</t>
  </si>
  <si>
    <t>445.894</t>
  </si>
  <si>
    <t>1229524256300</t>
  </si>
  <si>
    <t>MADI CABLE 10M</t>
  </si>
  <si>
    <t>MADI10D</t>
  </si>
  <si>
    <t>ALTAVOZ YAMAHA MSP3A</t>
  </si>
  <si>
    <t>JGP / fgvara</t>
  </si>
  <si>
    <t>COMPRA EN MARCHA</t>
  </si>
  <si>
    <t>RACK-QNAP</t>
  </si>
  <si>
    <t>3210103403000</t>
  </si>
  <si>
    <t>CBL EQ USB2.0 A-M/B-M PVC NEGRO L=15M</t>
  </si>
  <si>
    <t>MONITORES - TOUCH</t>
  </si>
  <si>
    <t>USB2HAB50AC</t>
  </si>
  <si>
    <t>STARTECH.COM</t>
  </si>
  <si>
    <t>PEAK SYSTEM TECHNIK</t>
  </si>
  <si>
    <t>fchamarro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</si>
</sst>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#############"/>
    <numFmt numFmtId="166" formatCode="#,##0.00000"/>
    <numFmt numFmtId="168" formatCode="_-[$€-2]\ * #,##0.00_-;\-[$€-2]\ * #,##0.00_-;_-[$€-2]\ * &quot;-&quot;??_-;_-@_-"/>
  </numFmts>
  <fonts count="4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11"/>
      <color indexed="8"/>
      <name val="Calibri"/>
      <family val="2"/>
    </font>
    <font>
      <b/>
      <sz val="14"/>
      <name val="Calibri"/>
      <family val="2"/>
      <scheme val="minor"/>
    </font>
    <font>
      <sz val="9"/>
      <color rgb="FF3333FF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trike/>
      <sz val="9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sz val="9"/>
      <color rgb="FF242424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trike/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1"/>
      <color rgb="FF242424"/>
      <name val="Aptos Narrow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Aptos"/>
      <family val="2"/>
    </font>
    <font>
      <sz val="11"/>
      <name val="Calibri Light"/>
      <family val="2"/>
    </font>
    <font>
      <sz val="11"/>
      <color rgb="FF242424"/>
      <name val="Aptos Narrow"/>
      <charset val="1"/>
    </font>
    <font>
      <sz val="11"/>
      <color rgb="FF000000"/>
      <name val="Calibri Light"/>
      <family val="2"/>
    </font>
    <font>
      <sz val="11"/>
      <color rgb="FF000000"/>
      <name val="Calibri"/>
      <family val="2"/>
      <scheme val="minor"/>
    </font>
    <font>
      <sz val="11"/>
      <color rgb="FFFF0000"/>
      <name val="Aptos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2DB0A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0" fontId="4" fillId="0" borderId="0"/>
    <xf numFmtId="0" fontId="4" fillId="2" borderId="1" applyNumberFormat="0" applyFont="0" applyAlignment="0" applyProtection="0"/>
    <xf numFmtId="0" fontId="6" fillId="0" borderId="0"/>
    <xf numFmtId="0" fontId="10" fillId="5" borderId="0" applyNumberFormat="0" applyBorder="0" applyAlignment="0" applyProtection="0"/>
    <xf numFmtId="43" fontId="4" fillId="0" borderId="0" applyFont="0" applyFill="0" applyBorder="0" applyAlignment="0" applyProtection="0"/>
    <xf numFmtId="0" fontId="1" fillId="0" borderId="7">
      <alignment horizontal="center" vertical="center"/>
    </xf>
  </cellStyleXfs>
  <cellXfs count="552">
    <xf numFmtId="0" fontId="0" fillId="0" borderId="0" xfId="0"/>
    <xf numFmtId="0" fontId="6" fillId="0" borderId="0" xfId="5"/>
    <xf numFmtId="0" fontId="6" fillId="0" borderId="0" xfId="5" applyAlignment="1">
      <alignment horizontal="left"/>
    </xf>
    <xf numFmtId="2" fontId="6" fillId="0" borderId="0" xfId="5" applyNumberFormat="1" applyAlignment="1">
      <alignment horizontal="right"/>
    </xf>
    <xf numFmtId="1" fontId="6" fillId="0" borderId="0" xfId="5" applyNumberFormat="1" applyAlignment="1">
      <alignment horizontal="right"/>
    </xf>
    <xf numFmtId="164" fontId="6" fillId="0" borderId="0" xfId="5" applyNumberFormat="1" applyAlignment="1">
      <alignment horizontal="right"/>
    </xf>
    <xf numFmtId="14" fontId="6" fillId="0" borderId="0" xfId="5" applyNumberFormat="1" applyAlignment="1">
      <alignment horizontal="left"/>
    </xf>
    <xf numFmtId="0" fontId="6" fillId="3" borderId="3" xfId="5" applyFill="1" applyBorder="1"/>
    <xf numFmtId="0" fontId="6" fillId="4" borderId="0" xfId="5" applyFill="1" applyAlignment="1">
      <alignment horizontal="left"/>
    </xf>
    <xf numFmtId="0" fontId="5" fillId="0" borderId="0" xfId="0" applyFont="1" applyAlignment="1">
      <alignment horizontal="left"/>
    </xf>
    <xf numFmtId="165" fontId="9" fillId="6" borderId="2" xfId="0" applyNumberFormat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1" fontId="9" fillId="6" borderId="2" xfId="0" applyNumberFormat="1" applyFont="1" applyFill="1" applyBorder="1" applyAlignment="1">
      <alignment horizontal="center" vertical="center"/>
    </xf>
    <xf numFmtId="4" fontId="9" fillId="6" borderId="2" xfId="0" applyNumberFormat="1" applyFont="1" applyFill="1" applyBorder="1" applyAlignment="1">
      <alignment horizontal="center"/>
    </xf>
    <xf numFmtId="0" fontId="7" fillId="0" borderId="0" xfId="0" applyFont="1"/>
    <xf numFmtId="165" fontId="9" fillId="6" borderId="4" xfId="0" applyNumberFormat="1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1" fontId="5" fillId="6" borderId="4" xfId="0" applyNumberFormat="1" applyFont="1" applyFill="1" applyBorder="1" applyAlignment="1">
      <alignment horizontal="center" vertical="center"/>
    </xf>
    <xf numFmtId="4" fontId="9" fillId="6" borderId="4" xfId="0" applyNumberFormat="1" applyFont="1" applyFill="1" applyBorder="1" applyAlignment="1">
      <alignment horizontal="center"/>
    </xf>
    <xf numFmtId="165" fontId="11" fillId="7" borderId="0" xfId="0" applyNumberFormat="1" applyFont="1" applyFill="1" applyAlignment="1">
      <alignment horizontal="left"/>
    </xf>
    <xf numFmtId="4" fontId="5" fillId="7" borderId="0" xfId="0" applyNumberFormat="1" applyFont="1" applyFill="1" applyAlignment="1">
      <alignment horizontal="left"/>
    </xf>
    <xf numFmtId="0" fontId="5" fillId="7" borderId="0" xfId="0" applyFont="1" applyFill="1" applyAlignment="1">
      <alignment horizontal="left"/>
    </xf>
    <xf numFmtId="1" fontId="5" fillId="7" borderId="0" xfId="0" applyNumberFormat="1" applyFont="1" applyFill="1" applyAlignment="1">
      <alignment horizontal="center" vertical="center"/>
    </xf>
    <xf numFmtId="4" fontId="12" fillId="7" borderId="0" xfId="0" applyNumberFormat="1" applyFont="1" applyFill="1"/>
    <xf numFmtId="0" fontId="5" fillId="7" borderId="0" xfId="0" applyFont="1" applyFill="1"/>
    <xf numFmtId="4" fontId="5" fillId="7" borderId="0" xfId="0" applyNumberFormat="1" applyFont="1" applyFill="1"/>
    <xf numFmtId="0" fontId="8" fillId="0" borderId="0" xfId="0" applyFont="1"/>
    <xf numFmtId="165" fontId="13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/>
    <xf numFmtId="165" fontId="8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1" fontId="8" fillId="0" borderId="3" xfId="0" applyNumberFormat="1" applyFont="1" applyBorder="1" applyAlignment="1">
      <alignment horizontal="center" vertical="center"/>
    </xf>
    <xf numFmtId="4" fontId="8" fillId="0" borderId="3" xfId="0" applyNumberFormat="1" applyFont="1" applyBorder="1"/>
    <xf numFmtId="4" fontId="12" fillId="0" borderId="3" xfId="0" applyNumberFormat="1" applyFont="1" applyBorder="1" applyAlignment="1">
      <alignment horizontal="right"/>
    </xf>
    <xf numFmtId="0" fontId="8" fillId="0" borderId="3" xfId="0" applyFont="1" applyBorder="1"/>
    <xf numFmtId="166" fontId="12" fillId="0" borderId="3" xfId="0" applyNumberFormat="1" applyFont="1" applyBorder="1" applyAlignment="1">
      <alignment horizontal="center"/>
    </xf>
    <xf numFmtId="4" fontId="5" fillId="0" borderId="3" xfId="0" applyNumberFormat="1" applyFont="1" applyBorder="1"/>
    <xf numFmtId="165" fontId="8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" fontId="8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/>
    <xf numFmtId="165" fontId="7" fillId="0" borderId="0" xfId="0" applyNumberFormat="1" applyFont="1" applyAlignment="1">
      <alignment horizontal="left"/>
    </xf>
    <xf numFmtId="4" fontId="5" fillId="7" borderId="0" xfId="0" applyNumberFormat="1" applyFont="1" applyFill="1" applyAlignment="1">
      <alignment horizontal="right"/>
    </xf>
    <xf numFmtId="0" fontId="14" fillId="0" borderId="0" xfId="0" applyFont="1"/>
    <xf numFmtId="165" fontId="5" fillId="0" borderId="3" xfId="0" quotePrefix="1" applyNumberFormat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" fontId="7" fillId="0" borderId="0" xfId="0" applyNumberFormat="1" applyFont="1" applyAlignment="1">
      <alignment horizontal="center" vertical="center"/>
    </xf>
    <xf numFmtId="165" fontId="7" fillId="0" borderId="0" xfId="0" quotePrefix="1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8" borderId="0" xfId="0" applyFont="1" applyFill="1"/>
    <xf numFmtId="0" fontId="7" fillId="8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1" fontId="8" fillId="8" borderId="0" xfId="0" applyNumberFormat="1" applyFont="1" applyFill="1" applyAlignment="1">
      <alignment horizontal="center" vertical="center"/>
    </xf>
    <xf numFmtId="4" fontId="8" fillId="8" borderId="0" xfId="0" applyNumberFormat="1" applyFont="1" applyFill="1"/>
    <xf numFmtId="0" fontId="5" fillId="0" borderId="3" xfId="0" quotePrefix="1" applyFont="1" applyBorder="1" applyAlignment="1">
      <alignment horizontal="left"/>
    </xf>
    <xf numFmtId="0" fontId="8" fillId="0" borderId="3" xfId="0" quotePrefix="1" applyFont="1" applyBorder="1" applyAlignment="1">
      <alignment horizontal="left"/>
    </xf>
    <xf numFmtId="165" fontId="8" fillId="0" borderId="3" xfId="0" quotePrefix="1" applyNumberFormat="1" applyFont="1" applyBorder="1" applyAlignment="1">
      <alignment horizontal="left"/>
    </xf>
    <xf numFmtId="165" fontId="8" fillId="0" borderId="3" xfId="0" applyNumberFormat="1" applyFont="1" applyBorder="1" applyAlignment="1">
      <alignment horizontal="left" wrapText="1"/>
    </xf>
    <xf numFmtId="165" fontId="7" fillId="0" borderId="3" xfId="0" applyNumberFormat="1" applyFont="1" applyBorder="1" applyAlignment="1">
      <alignment horizontal="left"/>
    </xf>
    <xf numFmtId="0" fontId="9" fillId="9" borderId="2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4" fontId="5" fillId="7" borderId="0" xfId="0" applyNumberFormat="1" applyFont="1" applyFill="1" applyAlignment="1">
      <alignment horizontal="center"/>
    </xf>
    <xf numFmtId="4" fontId="8" fillId="0" borderId="0" xfId="0" applyNumberFormat="1" applyFont="1" applyAlignment="1">
      <alignment horizontal="center"/>
    </xf>
    <xf numFmtId="1" fontId="5" fillId="0" borderId="3" xfId="7" applyNumberFormat="1" applyFont="1" applyBorder="1" applyAlignment="1">
      <alignment horizontal="center"/>
    </xf>
    <xf numFmtId="4" fontId="5" fillId="0" borderId="3" xfId="0" applyNumberFormat="1" applyFont="1" applyBorder="1" applyAlignment="1">
      <alignment wrapText="1"/>
    </xf>
    <xf numFmtId="1" fontId="5" fillId="0" borderId="2" xfId="7" applyNumberFormat="1" applyFont="1" applyBorder="1" applyAlignment="1">
      <alignment horizontal="center"/>
    </xf>
    <xf numFmtId="1" fontId="5" fillId="0" borderId="5" xfId="7" applyNumberFormat="1" applyFont="1" applyBorder="1" applyAlignment="1">
      <alignment horizontal="center"/>
    </xf>
    <xf numFmtId="1" fontId="5" fillId="0" borderId="0" xfId="7" applyNumberFormat="1" applyFont="1" applyBorder="1" applyAlignment="1">
      <alignment horizontal="center"/>
    </xf>
    <xf numFmtId="1" fontId="5" fillId="0" borderId="0" xfId="7" applyNumberFormat="1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 vertical="center"/>
    </xf>
    <xf numFmtId="4" fontId="8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8" fillId="0" borderId="2" xfId="0" applyFont="1" applyBorder="1"/>
    <xf numFmtId="166" fontId="12" fillId="0" borderId="2" xfId="0" applyNumberFormat="1" applyFont="1" applyBorder="1" applyAlignment="1">
      <alignment horizontal="center"/>
    </xf>
    <xf numFmtId="4" fontId="12" fillId="0" borderId="0" xfId="0" applyNumberFormat="1" applyFont="1" applyAlignment="1">
      <alignment horizontal="right"/>
    </xf>
    <xf numFmtId="166" fontId="12" fillId="0" borderId="0" xfId="0" applyNumberFormat="1" applyFont="1" applyAlignment="1">
      <alignment horizontal="center"/>
    </xf>
    <xf numFmtId="4" fontId="9" fillId="6" borderId="2" xfId="0" applyNumberFormat="1" applyFont="1" applyFill="1" applyBorder="1" applyAlignment="1">
      <alignment horizontal="center" wrapText="1"/>
    </xf>
    <xf numFmtId="4" fontId="9" fillId="6" borderId="4" xfId="0" applyNumberFormat="1" applyFont="1" applyFill="1" applyBorder="1" applyAlignment="1">
      <alignment horizontal="left"/>
    </xf>
    <xf numFmtId="14" fontId="9" fillId="6" borderId="2" xfId="0" applyNumberFormat="1" applyFont="1" applyFill="1" applyBorder="1" applyAlignment="1">
      <alignment horizontal="center" wrapText="1"/>
    </xf>
    <xf numFmtId="14" fontId="9" fillId="6" borderId="4" xfId="0" applyNumberFormat="1" applyFont="1" applyFill="1" applyBorder="1" applyAlignment="1">
      <alignment horizontal="center"/>
    </xf>
    <xf numFmtId="14" fontId="12" fillId="7" borderId="0" xfId="0" applyNumberFormat="1" applyFont="1" applyFill="1"/>
    <xf numFmtId="14" fontId="8" fillId="0" borderId="0" xfId="0" applyNumberFormat="1" applyFont="1"/>
    <xf numFmtId="14" fontId="12" fillId="0" borderId="3" xfId="0" applyNumberFormat="1" applyFont="1" applyBorder="1" applyAlignment="1">
      <alignment horizontal="right"/>
    </xf>
    <xf numFmtId="14" fontId="8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right"/>
    </xf>
    <xf numFmtId="14" fontId="5" fillId="7" borderId="0" xfId="0" applyNumberFormat="1" applyFont="1" applyFill="1" applyAlignment="1">
      <alignment horizontal="right"/>
    </xf>
    <xf numFmtId="14" fontId="12" fillId="0" borderId="0" xfId="0" applyNumberFormat="1" applyFont="1" applyAlignment="1">
      <alignment horizontal="right"/>
    </xf>
    <xf numFmtId="14" fontId="8" fillId="8" borderId="0" xfId="0" applyNumberFormat="1" applyFont="1" applyFill="1"/>
    <xf numFmtId="0" fontId="8" fillId="0" borderId="3" xfId="0" applyFont="1" applyBorder="1" applyAlignment="1">
      <alignment horizontal="left" wrapText="1"/>
    </xf>
    <xf numFmtId="4" fontId="9" fillId="10" borderId="2" xfId="0" applyNumberFormat="1" applyFont="1" applyFill="1" applyBorder="1" applyAlignment="1">
      <alignment horizontal="center"/>
    </xf>
    <xf numFmtId="4" fontId="9" fillId="10" borderId="4" xfId="0" applyNumberFormat="1" applyFont="1" applyFill="1" applyBorder="1" applyAlignment="1">
      <alignment horizontal="center"/>
    </xf>
    <xf numFmtId="4" fontId="9" fillId="10" borderId="2" xfId="0" applyNumberFormat="1" applyFont="1" applyFill="1" applyBorder="1" applyAlignment="1">
      <alignment horizontal="center" wrapText="1"/>
    </xf>
    <xf numFmtId="1" fontId="5" fillId="6" borderId="0" xfId="0" applyNumberFormat="1" applyFont="1" applyFill="1" applyAlignment="1">
      <alignment horizontal="center" vertical="center"/>
    </xf>
    <xf numFmtId="0" fontId="8" fillId="7" borderId="3" xfId="0" applyFont="1" applyFill="1" applyBorder="1" applyAlignment="1">
      <alignment horizontal="left"/>
    </xf>
    <xf numFmtId="165" fontId="8" fillId="0" borderId="3" xfId="0" quotePrefix="1" applyNumberFormat="1" applyFont="1" applyBorder="1" applyAlignment="1">
      <alignment horizontal="left" wrapText="1"/>
    </xf>
    <xf numFmtId="1" fontId="5" fillId="6" borderId="0" xfId="0" applyNumberFormat="1" applyFont="1" applyFill="1" applyAlignment="1">
      <alignment horizontal="center"/>
    </xf>
    <xf numFmtId="1" fontId="5" fillId="9" borderId="0" xfId="0" applyNumberFormat="1" applyFont="1" applyFill="1" applyAlignment="1">
      <alignment horizontal="center"/>
    </xf>
    <xf numFmtId="1" fontId="5" fillId="6" borderId="0" xfId="0" applyNumberFormat="1" applyFont="1" applyFill="1" applyAlignment="1">
      <alignment horizontal="left"/>
    </xf>
    <xf numFmtId="1" fontId="5" fillId="10" borderId="0" xfId="0" applyNumberFormat="1" applyFont="1" applyFill="1" applyAlignment="1">
      <alignment horizontal="center"/>
    </xf>
    <xf numFmtId="4" fontId="9" fillId="11" borderId="2" xfId="0" applyNumberFormat="1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left"/>
    </xf>
    <xf numFmtId="165" fontId="17" fillId="0" borderId="3" xfId="0" applyNumberFormat="1" applyFont="1" applyBorder="1" applyAlignment="1">
      <alignment horizontal="left"/>
    </xf>
    <xf numFmtId="165" fontId="17" fillId="0" borderId="3" xfId="0" quotePrefix="1" applyNumberFormat="1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1" fontId="9" fillId="6" borderId="0" xfId="0" applyNumberFormat="1" applyFont="1" applyFill="1" applyAlignment="1">
      <alignment horizontal="center"/>
    </xf>
    <xf numFmtId="49" fontId="19" fillId="0" borderId="6" xfId="0" applyNumberFormat="1" applyFont="1" applyBorder="1" applyAlignment="1" applyProtection="1">
      <alignment horizontal="left"/>
      <protection locked="0"/>
    </xf>
    <xf numFmtId="49" fontId="18" fillId="0" borderId="6" xfId="0" applyNumberFormat="1" applyFont="1" applyBorder="1" applyAlignment="1" applyProtection="1">
      <alignment horizontal="left"/>
      <protection locked="0"/>
    </xf>
    <xf numFmtId="165" fontId="8" fillId="9" borderId="3" xfId="0" applyNumberFormat="1" applyFont="1" applyFill="1" applyBorder="1" applyAlignment="1">
      <alignment horizontal="left"/>
    </xf>
    <xf numFmtId="49" fontId="8" fillId="9" borderId="3" xfId="8" quotePrefix="1" applyNumberFormat="1" applyFont="1" applyFill="1" applyBorder="1" applyAlignment="1" applyProtection="1">
      <alignment horizontal="left" vertical="center"/>
      <protection locked="0"/>
    </xf>
    <xf numFmtId="49" fontId="8" fillId="9" borderId="3" xfId="0" applyNumberFormat="1" applyFont="1" applyFill="1" applyBorder="1" applyAlignment="1">
      <alignment horizontal="left" vertical="center" wrapText="1"/>
    </xf>
    <xf numFmtId="165" fontId="8" fillId="9" borderId="3" xfId="0" quotePrefix="1" applyNumberFormat="1" applyFont="1" applyFill="1" applyBorder="1" applyAlignment="1">
      <alignment horizontal="left"/>
    </xf>
    <xf numFmtId="165" fontId="5" fillId="0" borderId="0" xfId="0" quotePrefix="1" applyNumberFormat="1" applyFont="1" applyAlignment="1">
      <alignment horizontal="left"/>
    </xf>
    <xf numFmtId="0" fontId="8" fillId="0" borderId="0" xfId="0" quotePrefix="1" applyFont="1" applyAlignment="1">
      <alignment horizontal="left"/>
    </xf>
    <xf numFmtId="1" fontId="8" fillId="9" borderId="3" xfId="0" applyNumberFormat="1" applyFont="1" applyFill="1" applyBorder="1" applyAlignment="1">
      <alignment horizontal="center" vertical="center"/>
    </xf>
    <xf numFmtId="1" fontId="5" fillId="0" borderId="3" xfId="7" applyNumberFormat="1" applyFont="1" applyFill="1" applyBorder="1" applyAlignment="1">
      <alignment horizontal="center"/>
    </xf>
    <xf numFmtId="0" fontId="8" fillId="12" borderId="3" xfId="0" applyFont="1" applyFill="1" applyBorder="1" applyAlignment="1">
      <alignment horizontal="left"/>
    </xf>
    <xf numFmtId="165" fontId="5" fillId="13" borderId="3" xfId="0" quotePrefix="1" applyNumberFormat="1" applyFont="1" applyFill="1" applyBorder="1" applyAlignment="1">
      <alignment horizontal="left"/>
    </xf>
    <xf numFmtId="0" fontId="5" fillId="13" borderId="3" xfId="0" applyFont="1" applyFill="1" applyBorder="1" applyAlignment="1">
      <alignment horizontal="left"/>
    </xf>
    <xf numFmtId="1" fontId="5" fillId="13" borderId="3" xfId="0" applyNumberFormat="1" applyFont="1" applyFill="1" applyBorder="1" applyAlignment="1">
      <alignment horizontal="center" vertical="center"/>
    </xf>
    <xf numFmtId="4" fontId="5" fillId="13" borderId="3" xfId="0" applyNumberFormat="1" applyFont="1" applyFill="1" applyBorder="1"/>
    <xf numFmtId="4" fontId="12" fillId="13" borderId="3" xfId="0" applyNumberFormat="1" applyFont="1" applyFill="1" applyBorder="1" applyAlignment="1">
      <alignment horizontal="right"/>
    </xf>
    <xf numFmtId="0" fontId="5" fillId="13" borderId="3" xfId="0" applyFont="1" applyFill="1" applyBorder="1"/>
    <xf numFmtId="166" fontId="12" fillId="13" borderId="3" xfId="0" applyNumberFormat="1" applyFont="1" applyFill="1" applyBorder="1" applyAlignment="1">
      <alignment horizontal="center"/>
    </xf>
    <xf numFmtId="14" fontId="12" fillId="13" borderId="3" xfId="0" applyNumberFormat="1" applyFont="1" applyFill="1" applyBorder="1" applyAlignment="1">
      <alignment horizontal="right"/>
    </xf>
    <xf numFmtId="1" fontId="5" fillId="13" borderId="3" xfId="7" applyNumberFormat="1" applyFont="1" applyFill="1" applyBorder="1" applyAlignment="1">
      <alignment horizontal="center"/>
    </xf>
    <xf numFmtId="165" fontId="8" fillId="14" borderId="3" xfId="0" applyNumberFormat="1" applyFont="1" applyFill="1" applyBorder="1" applyAlignment="1">
      <alignment horizontal="left"/>
    </xf>
    <xf numFmtId="0" fontId="8" fillId="14" borderId="3" xfId="0" applyFont="1" applyFill="1" applyBorder="1" applyAlignment="1">
      <alignment horizontal="left"/>
    </xf>
    <xf numFmtId="1" fontId="8" fillId="14" borderId="3" xfId="0" applyNumberFormat="1" applyFont="1" applyFill="1" applyBorder="1" applyAlignment="1">
      <alignment horizontal="center" vertical="center"/>
    </xf>
    <xf numFmtId="4" fontId="8" fillId="14" borderId="3" xfId="0" applyNumberFormat="1" applyFont="1" applyFill="1" applyBorder="1"/>
    <xf numFmtId="4" fontId="12" fillId="14" borderId="3" xfId="0" applyNumberFormat="1" applyFont="1" applyFill="1" applyBorder="1" applyAlignment="1">
      <alignment horizontal="right"/>
    </xf>
    <xf numFmtId="0" fontId="8" fillId="14" borderId="3" xfId="0" applyFont="1" applyFill="1" applyBorder="1"/>
    <xf numFmtId="166" fontId="12" fillId="14" borderId="3" xfId="0" applyNumberFormat="1" applyFont="1" applyFill="1" applyBorder="1" applyAlignment="1">
      <alignment horizontal="center"/>
    </xf>
    <xf numFmtId="14" fontId="12" fillId="14" borderId="3" xfId="0" applyNumberFormat="1" applyFont="1" applyFill="1" applyBorder="1" applyAlignment="1">
      <alignment horizontal="right"/>
    </xf>
    <xf numFmtId="4" fontId="5" fillId="14" borderId="3" xfId="0" applyNumberFormat="1" applyFont="1" applyFill="1" applyBorder="1"/>
    <xf numFmtId="1" fontId="5" fillId="14" borderId="3" xfId="7" applyNumberFormat="1" applyFont="1" applyFill="1" applyBorder="1" applyAlignment="1">
      <alignment horizontal="center"/>
    </xf>
    <xf numFmtId="165" fontId="5" fillId="14" borderId="3" xfId="0" quotePrefix="1" applyNumberFormat="1" applyFont="1" applyFill="1" applyBorder="1" applyAlignment="1">
      <alignment horizontal="left"/>
    </xf>
    <xf numFmtId="0" fontId="5" fillId="14" borderId="3" xfId="0" applyFont="1" applyFill="1" applyBorder="1" applyAlignment="1">
      <alignment horizontal="left"/>
    </xf>
    <xf numFmtId="0" fontId="5" fillId="14" borderId="3" xfId="0" applyFont="1" applyFill="1" applyBorder="1"/>
    <xf numFmtId="0" fontId="5" fillId="15" borderId="3" xfId="0" quotePrefix="1" applyFont="1" applyFill="1" applyBorder="1" applyAlignment="1">
      <alignment horizontal="left"/>
    </xf>
    <xf numFmtId="0" fontId="8" fillId="15" borderId="3" xfId="0" applyFont="1" applyFill="1" applyBorder="1" applyAlignment="1">
      <alignment horizontal="left"/>
    </xf>
    <xf numFmtId="0" fontId="5" fillId="15" borderId="3" xfId="0" applyFont="1" applyFill="1" applyBorder="1" applyAlignment="1">
      <alignment horizontal="left"/>
    </xf>
    <xf numFmtId="0" fontId="5" fillId="15" borderId="3" xfId="0" applyFont="1" applyFill="1" applyBorder="1"/>
    <xf numFmtId="4" fontId="5" fillId="15" borderId="3" xfId="0" applyNumberFormat="1" applyFont="1" applyFill="1" applyBorder="1"/>
    <xf numFmtId="4" fontId="12" fillId="15" borderId="3" xfId="0" applyNumberFormat="1" applyFont="1" applyFill="1" applyBorder="1" applyAlignment="1">
      <alignment horizontal="right"/>
    </xf>
    <xf numFmtId="166" fontId="12" fillId="15" borderId="3" xfId="0" applyNumberFormat="1" applyFont="1" applyFill="1" applyBorder="1" applyAlignment="1">
      <alignment horizontal="center"/>
    </xf>
    <xf numFmtId="14" fontId="12" fillId="15" borderId="3" xfId="0" applyNumberFormat="1" applyFont="1" applyFill="1" applyBorder="1" applyAlignment="1">
      <alignment horizontal="right"/>
    </xf>
    <xf numFmtId="1" fontId="5" fillId="15" borderId="3" xfId="7" applyNumberFormat="1" applyFont="1" applyFill="1" applyBorder="1" applyAlignment="1">
      <alignment horizontal="center"/>
    </xf>
    <xf numFmtId="1" fontId="5" fillId="15" borderId="2" xfId="7" applyNumberFormat="1" applyFont="1" applyFill="1" applyBorder="1" applyAlignment="1">
      <alignment horizontal="center"/>
    </xf>
    <xf numFmtId="0" fontId="5" fillId="12" borderId="3" xfId="0" applyFont="1" applyFill="1" applyBorder="1" applyAlignment="1">
      <alignment horizontal="left"/>
    </xf>
    <xf numFmtId="1" fontId="5" fillId="0" borderId="3" xfId="0" quotePrefix="1" applyNumberFormat="1" applyFont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165" fontId="5" fillId="9" borderId="3" xfId="0" quotePrefix="1" applyNumberFormat="1" applyFont="1" applyFill="1" applyBorder="1" applyAlignment="1">
      <alignment horizontal="left"/>
    </xf>
    <xf numFmtId="165" fontId="21" fillId="0" borderId="3" xfId="0" quotePrefix="1" applyNumberFormat="1" applyFont="1" applyBorder="1" applyAlignment="1">
      <alignment horizontal="left"/>
    </xf>
    <xf numFmtId="0" fontId="21" fillId="0" borderId="3" xfId="0" applyFont="1" applyBorder="1" applyAlignment="1">
      <alignment horizontal="left"/>
    </xf>
    <xf numFmtId="0" fontId="21" fillId="0" borderId="3" xfId="0" applyFont="1" applyBorder="1"/>
    <xf numFmtId="4" fontId="21" fillId="0" borderId="3" xfId="0" applyNumberFormat="1" applyFont="1" applyBorder="1"/>
    <xf numFmtId="4" fontId="21" fillId="0" borderId="3" xfId="0" applyNumberFormat="1" applyFont="1" applyBorder="1" applyAlignment="1">
      <alignment horizontal="right"/>
    </xf>
    <xf numFmtId="166" fontId="21" fillId="0" borderId="3" xfId="0" applyNumberFormat="1" applyFont="1" applyBorder="1" applyAlignment="1">
      <alignment horizontal="center"/>
    </xf>
    <xf numFmtId="14" fontId="21" fillId="0" borderId="3" xfId="0" applyNumberFormat="1" applyFont="1" applyBorder="1" applyAlignment="1">
      <alignment horizontal="right"/>
    </xf>
    <xf numFmtId="1" fontId="21" fillId="0" borderId="3" xfId="7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left"/>
    </xf>
    <xf numFmtId="165" fontId="8" fillId="12" borderId="3" xfId="0" applyNumberFormat="1" applyFont="1" applyFill="1" applyBorder="1" applyAlignment="1">
      <alignment horizontal="left"/>
    </xf>
    <xf numFmtId="1" fontId="8" fillId="12" borderId="3" xfId="0" applyNumberFormat="1" applyFont="1" applyFill="1" applyBorder="1" applyAlignment="1">
      <alignment horizontal="center" vertical="center"/>
    </xf>
    <xf numFmtId="4" fontId="8" fillId="12" borderId="3" xfId="0" applyNumberFormat="1" applyFont="1" applyFill="1" applyBorder="1"/>
    <xf numFmtId="165" fontId="8" fillId="16" borderId="3" xfId="0" applyNumberFormat="1" applyFont="1" applyFill="1" applyBorder="1" applyAlignment="1">
      <alignment horizontal="left"/>
    </xf>
    <xf numFmtId="165" fontId="8" fillId="16" borderId="3" xfId="0" quotePrefix="1" applyNumberFormat="1" applyFont="1" applyFill="1" applyBorder="1" applyAlignment="1">
      <alignment horizontal="left"/>
    </xf>
    <xf numFmtId="0" fontId="8" fillId="16" borderId="3" xfId="0" applyFont="1" applyFill="1" applyBorder="1" applyAlignment="1">
      <alignment horizontal="left"/>
    </xf>
    <xf numFmtId="1" fontId="8" fillId="16" borderId="3" xfId="0" applyNumberFormat="1" applyFont="1" applyFill="1" applyBorder="1" applyAlignment="1">
      <alignment horizontal="center" vertical="center"/>
    </xf>
    <xf numFmtId="4" fontId="8" fillId="16" borderId="3" xfId="0" applyNumberFormat="1" applyFont="1" applyFill="1" applyBorder="1"/>
    <xf numFmtId="0" fontId="22" fillId="0" borderId="0" xfId="0" applyFont="1"/>
    <xf numFmtId="14" fontId="22" fillId="0" borderId="0" xfId="0" applyNumberFormat="1" applyFont="1"/>
    <xf numFmtId="4" fontId="22" fillId="0" borderId="0" xfId="0" applyNumberFormat="1" applyFont="1"/>
    <xf numFmtId="165" fontId="23" fillId="0" borderId="3" xfId="0" quotePrefix="1" applyNumberFormat="1" applyFont="1" applyBorder="1" applyAlignment="1">
      <alignment horizontal="left"/>
    </xf>
    <xf numFmtId="0" fontId="23" fillId="0" borderId="3" xfId="0" applyFont="1" applyBorder="1" applyAlignment="1">
      <alignment horizontal="left"/>
    </xf>
    <xf numFmtId="1" fontId="23" fillId="0" borderId="3" xfId="0" applyNumberFormat="1" applyFont="1" applyBorder="1" applyAlignment="1">
      <alignment horizontal="center" vertical="center"/>
    </xf>
    <xf numFmtId="4" fontId="23" fillId="0" borderId="3" xfId="0" applyNumberFormat="1" applyFont="1" applyBorder="1"/>
    <xf numFmtId="49" fontId="8" fillId="0" borderId="3" xfId="8" quotePrefix="1" applyNumberFormat="1" applyFont="1" applyBorder="1" applyAlignment="1" applyProtection="1">
      <alignment horizontal="left" vertical="center"/>
      <protection locked="0"/>
    </xf>
    <xf numFmtId="49" fontId="8" fillId="0" borderId="3" xfId="0" applyNumberFormat="1" applyFont="1" applyBorder="1" applyAlignment="1">
      <alignment horizontal="left" vertical="center" wrapText="1"/>
    </xf>
    <xf numFmtId="165" fontId="5" fillId="0" borderId="8" xfId="0" quotePrefix="1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4" fontId="5" fillId="0" borderId="8" xfId="0" applyNumberFormat="1" applyFont="1" applyBorder="1"/>
    <xf numFmtId="165" fontId="5" fillId="0" borderId="2" xfId="0" quotePrefix="1" applyNumberFormat="1" applyFont="1" applyBorder="1" applyAlignment="1">
      <alignment horizontal="left"/>
    </xf>
    <xf numFmtId="4" fontId="5" fillId="0" borderId="2" xfId="0" applyNumberFormat="1" applyFont="1" applyBorder="1"/>
    <xf numFmtId="3" fontId="8" fillId="0" borderId="3" xfId="0" quotePrefix="1" applyNumberFormat="1" applyFont="1" applyBorder="1" applyAlignment="1">
      <alignment horizontal="left"/>
    </xf>
    <xf numFmtId="0" fontId="8" fillId="0" borderId="8" xfId="0" applyFont="1" applyBorder="1" applyAlignment="1">
      <alignment horizontal="left"/>
    </xf>
    <xf numFmtId="1" fontId="8" fillId="0" borderId="8" xfId="0" applyNumberFormat="1" applyFont="1" applyBorder="1" applyAlignment="1">
      <alignment horizontal="center" vertical="center"/>
    </xf>
    <xf numFmtId="165" fontId="8" fillId="17" borderId="3" xfId="0" applyNumberFormat="1" applyFont="1" applyFill="1" applyBorder="1" applyAlignment="1">
      <alignment horizontal="left"/>
    </xf>
    <xf numFmtId="165" fontId="8" fillId="17" borderId="3" xfId="0" quotePrefix="1" applyNumberFormat="1" applyFont="1" applyFill="1" applyBorder="1" applyAlignment="1">
      <alignment horizontal="left"/>
    </xf>
    <xf numFmtId="0" fontId="8" fillId="17" borderId="3" xfId="0" applyFont="1" applyFill="1" applyBorder="1" applyAlignment="1">
      <alignment horizontal="left"/>
    </xf>
    <xf numFmtId="0" fontId="8" fillId="9" borderId="3" xfId="0" quotePrefix="1" applyFont="1" applyFill="1" applyBorder="1" applyAlignment="1">
      <alignment horizontal="left"/>
    </xf>
    <xf numFmtId="3" fontId="5" fillId="0" borderId="3" xfId="0" quotePrefix="1" applyNumberFormat="1" applyFont="1" applyBorder="1" applyAlignment="1">
      <alignment horizontal="left"/>
    </xf>
    <xf numFmtId="165" fontId="24" fillId="0" borderId="3" xfId="0" applyNumberFormat="1" applyFont="1" applyBorder="1" applyAlignment="1">
      <alignment horizontal="left"/>
    </xf>
    <xf numFmtId="165" fontId="24" fillId="0" borderId="3" xfId="0" quotePrefix="1" applyNumberFormat="1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6" fillId="0" borderId="3" xfId="0" applyFont="1" applyBorder="1" applyAlignment="1">
      <alignment horizontal="left"/>
    </xf>
    <xf numFmtId="1" fontId="24" fillId="0" borderId="3" xfId="0" applyNumberFormat="1" applyFont="1" applyBorder="1" applyAlignment="1">
      <alignment horizontal="center" vertical="center"/>
    </xf>
    <xf numFmtId="4" fontId="24" fillId="0" borderId="3" xfId="0" applyNumberFormat="1" applyFont="1" applyBorder="1"/>
    <xf numFmtId="165" fontId="8" fillId="0" borderId="8" xfId="0" quotePrefix="1" applyNumberFormat="1" applyFont="1" applyBorder="1" applyAlignment="1">
      <alignment horizontal="left"/>
    </xf>
    <xf numFmtId="0" fontId="8" fillId="18" borderId="3" xfId="0" quotePrefix="1" applyFont="1" applyFill="1" applyBorder="1" applyAlignment="1">
      <alignment horizontal="left"/>
    </xf>
    <xf numFmtId="0" fontId="8" fillId="18" borderId="3" xfId="0" applyFont="1" applyFill="1" applyBorder="1" applyAlignment="1">
      <alignment horizontal="left"/>
    </xf>
    <xf numFmtId="1" fontId="8" fillId="18" borderId="3" xfId="0" applyNumberFormat="1" applyFont="1" applyFill="1" applyBorder="1" applyAlignment="1">
      <alignment horizontal="center" vertical="center"/>
    </xf>
    <xf numFmtId="165" fontId="17" fillId="12" borderId="3" xfId="0" applyNumberFormat="1" applyFont="1" applyFill="1" applyBorder="1" applyAlignment="1">
      <alignment horizontal="left"/>
    </xf>
    <xf numFmtId="165" fontId="17" fillId="12" borderId="3" xfId="0" quotePrefix="1" applyNumberFormat="1" applyFont="1" applyFill="1" applyBorder="1" applyAlignment="1">
      <alignment horizontal="left"/>
    </xf>
    <xf numFmtId="0" fontId="17" fillId="12" borderId="3" xfId="0" applyFont="1" applyFill="1" applyBorder="1" applyAlignment="1">
      <alignment horizontal="left"/>
    </xf>
    <xf numFmtId="1" fontId="17" fillId="12" borderId="3" xfId="0" applyNumberFormat="1" applyFont="1" applyFill="1" applyBorder="1" applyAlignment="1">
      <alignment horizontal="center" vertical="center"/>
    </xf>
    <xf numFmtId="4" fontId="17" fillId="12" borderId="3" xfId="0" applyNumberFormat="1" applyFont="1" applyFill="1" applyBorder="1"/>
    <xf numFmtId="165" fontId="26" fillId="0" borderId="3" xfId="0" quotePrefix="1" applyNumberFormat="1" applyFont="1" applyBorder="1" applyAlignment="1">
      <alignment horizontal="left"/>
    </xf>
    <xf numFmtId="0" fontId="26" fillId="0" borderId="3" xfId="0" applyFont="1" applyBorder="1"/>
    <xf numFmtId="4" fontId="26" fillId="0" borderId="3" xfId="0" applyNumberFormat="1" applyFont="1" applyBorder="1"/>
    <xf numFmtId="1" fontId="8" fillId="17" borderId="3" xfId="0" applyNumberFormat="1" applyFont="1" applyFill="1" applyBorder="1" applyAlignment="1">
      <alignment horizontal="center" vertical="center"/>
    </xf>
    <xf numFmtId="0" fontId="27" fillId="0" borderId="0" xfId="0" applyFont="1"/>
    <xf numFmtId="14" fontId="27" fillId="0" borderId="0" xfId="0" applyNumberFormat="1" applyFont="1"/>
    <xf numFmtId="4" fontId="27" fillId="0" borderId="0" xfId="0" applyNumberFormat="1" applyFont="1"/>
    <xf numFmtId="0" fontId="28" fillId="0" borderId="0" xfId="0" applyFont="1"/>
    <xf numFmtId="0" fontId="8" fillId="16" borderId="3" xfId="0" quotePrefix="1" applyFont="1" applyFill="1" applyBorder="1" applyAlignment="1">
      <alignment horizontal="left"/>
    </xf>
    <xf numFmtId="0" fontId="8" fillId="16" borderId="5" xfId="0" applyFont="1" applyFill="1" applyBorder="1" applyAlignment="1">
      <alignment horizontal="left"/>
    </xf>
    <xf numFmtId="0" fontId="8" fillId="16" borderId="5" xfId="0" quotePrefix="1" applyFont="1" applyFill="1" applyBorder="1" applyAlignment="1">
      <alignment horizontal="left"/>
    </xf>
    <xf numFmtId="165" fontId="8" fillId="16" borderId="5" xfId="0" applyNumberFormat="1" applyFont="1" applyFill="1" applyBorder="1" applyAlignment="1">
      <alignment horizontal="left"/>
    </xf>
    <xf numFmtId="0" fontId="8" fillId="16" borderId="8" xfId="0" applyFont="1" applyFill="1" applyBorder="1" applyAlignment="1">
      <alignment horizontal="left"/>
    </xf>
    <xf numFmtId="1" fontId="8" fillId="16" borderId="8" xfId="0" applyNumberFormat="1" applyFont="1" applyFill="1" applyBorder="1" applyAlignment="1">
      <alignment horizontal="center" vertical="center"/>
    </xf>
    <xf numFmtId="1" fontId="9" fillId="20" borderId="14" xfId="0" applyNumberFormat="1" applyFont="1" applyFill="1" applyBorder="1" applyAlignment="1">
      <alignment horizontal="center" vertical="center"/>
    </xf>
    <xf numFmtId="2" fontId="9" fillId="20" borderId="14" xfId="0" applyNumberFormat="1" applyFont="1" applyFill="1" applyBorder="1" applyAlignment="1">
      <alignment horizontal="center" vertical="center"/>
    </xf>
    <xf numFmtId="1" fontId="9" fillId="20" borderId="14" xfId="0" applyNumberFormat="1" applyFont="1" applyFill="1" applyBorder="1" applyAlignment="1">
      <alignment horizontal="center" vertical="center" indent="1"/>
    </xf>
    <xf numFmtId="1" fontId="9" fillId="20" borderId="17" xfId="0" applyNumberFormat="1" applyFont="1" applyFill="1" applyBorder="1" applyAlignment="1">
      <alignment horizontal="center" vertical="center"/>
    </xf>
    <xf numFmtId="1" fontId="9" fillId="7" borderId="1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9" fillId="20" borderId="18" xfId="0" applyNumberFormat="1" applyFont="1" applyFill="1" applyBorder="1" applyAlignment="1">
      <alignment horizontal="center" vertical="center"/>
    </xf>
    <xf numFmtId="2" fontId="9" fillId="20" borderId="18" xfId="0" applyNumberFormat="1" applyFont="1" applyFill="1" applyBorder="1" applyAlignment="1">
      <alignment horizontal="center" vertical="center"/>
    </xf>
    <xf numFmtId="1" fontId="9" fillId="20" borderId="18" xfId="0" applyNumberFormat="1" applyFont="1" applyFill="1" applyBorder="1" applyAlignment="1">
      <alignment horizontal="center" vertical="center" indent="1"/>
    </xf>
    <xf numFmtId="1" fontId="9" fillId="20" borderId="19" xfId="0" applyNumberFormat="1" applyFont="1" applyFill="1" applyBorder="1" applyAlignment="1">
      <alignment horizontal="center" vertical="center"/>
    </xf>
    <xf numFmtId="1" fontId="9" fillId="7" borderId="18" xfId="0" applyNumberFormat="1" applyFont="1" applyFill="1" applyBorder="1" applyAlignment="1">
      <alignment horizontal="center" vertical="center"/>
    </xf>
    <xf numFmtId="0" fontId="0" fillId="0" borderId="8" xfId="0" applyBorder="1"/>
    <xf numFmtId="0" fontId="8" fillId="16" borderId="12" xfId="0" quotePrefix="1" applyFont="1" applyFill="1" applyBorder="1" applyAlignment="1">
      <alignment horizontal="left"/>
    </xf>
    <xf numFmtId="165" fontId="8" fillId="16" borderId="20" xfId="0" applyNumberFormat="1" applyFont="1" applyFill="1" applyBorder="1" applyAlignment="1">
      <alignment horizontal="left"/>
    </xf>
    <xf numFmtId="0" fontId="8" fillId="16" borderId="13" xfId="0" applyFont="1" applyFill="1" applyBorder="1" applyAlignment="1">
      <alignment horizontal="left"/>
    </xf>
    <xf numFmtId="165" fontId="8" fillId="16" borderId="10" xfId="0" applyNumberFormat="1" applyFont="1" applyFill="1" applyBorder="1" applyAlignment="1">
      <alignment horizontal="left"/>
    </xf>
    <xf numFmtId="0" fontId="8" fillId="16" borderId="9" xfId="0" applyFont="1" applyFill="1" applyBorder="1" applyAlignment="1">
      <alignment horizontal="left"/>
    </xf>
    <xf numFmtId="0" fontId="0" fillId="0" borderId="14" xfId="0" applyBorder="1"/>
    <xf numFmtId="165" fontId="5" fillId="0" borderId="3" xfId="0" applyNumberFormat="1" applyFont="1" applyBorder="1" applyAlignment="1">
      <alignment horizontal="left"/>
    </xf>
    <xf numFmtId="165" fontId="8" fillId="0" borderId="10" xfId="0" applyNumberFormat="1" applyFont="1" applyBorder="1" applyAlignment="1">
      <alignment horizontal="left"/>
    </xf>
    <xf numFmtId="14" fontId="8" fillId="16" borderId="8" xfId="0" applyNumberFormat="1" applyFont="1" applyFill="1" applyBorder="1" applyAlignment="1">
      <alignment horizontal="center" vertical="center"/>
    </xf>
    <xf numFmtId="4" fontId="0" fillId="0" borderId="8" xfId="0" applyNumberFormat="1" applyBorder="1"/>
    <xf numFmtId="0" fontId="8" fillId="0" borderId="10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1" fontId="8" fillId="16" borderId="13" xfId="0" applyNumberFormat="1" applyFont="1" applyFill="1" applyBorder="1" applyAlignment="1">
      <alignment horizontal="center" vertical="center"/>
    </xf>
    <xf numFmtId="1" fontId="29" fillId="0" borderId="8" xfId="0" applyNumberFormat="1" applyFont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5" fontId="8" fillId="16" borderId="15" xfId="0" applyNumberFormat="1" applyFont="1" applyFill="1" applyBorder="1" applyAlignment="1">
      <alignment horizontal="left"/>
    </xf>
    <xf numFmtId="0" fontId="8" fillId="9" borderId="9" xfId="0" applyFont="1" applyFill="1" applyBorder="1" applyAlignment="1">
      <alignment horizontal="left"/>
    </xf>
    <xf numFmtId="0" fontId="11" fillId="16" borderId="3" xfId="0" quotePrefix="1" applyFont="1" applyFill="1" applyBorder="1" applyAlignment="1">
      <alignment horizontal="left"/>
    </xf>
    <xf numFmtId="4" fontId="17" fillId="0" borderId="3" xfId="0" applyNumberFormat="1" applyFont="1" applyBorder="1"/>
    <xf numFmtId="165" fontId="29" fillId="0" borderId="3" xfId="0" quotePrefix="1" applyNumberFormat="1" applyFont="1" applyBorder="1" applyAlignment="1">
      <alignment horizontal="left"/>
    </xf>
    <xf numFmtId="1" fontId="8" fillId="4" borderId="8" xfId="0" applyNumberFormat="1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left"/>
    </xf>
    <xf numFmtId="165" fontId="5" fillId="0" borderId="3" xfId="0" quotePrefix="1" applyNumberFormat="1" applyFont="1" applyBorder="1" applyAlignment="1">
      <alignment horizontal="left" wrapText="1"/>
    </xf>
    <xf numFmtId="165" fontId="8" fillId="21" borderId="3" xfId="0" quotePrefix="1" applyNumberFormat="1" applyFont="1" applyFill="1" applyBorder="1" applyAlignment="1">
      <alignment horizontal="left"/>
    </xf>
    <xf numFmtId="0" fontId="8" fillId="21" borderId="3" xfId="0" applyFont="1" applyFill="1" applyBorder="1" applyAlignment="1">
      <alignment horizontal="left"/>
    </xf>
    <xf numFmtId="1" fontId="8" fillId="21" borderId="3" xfId="0" applyNumberFormat="1" applyFont="1" applyFill="1" applyBorder="1" applyAlignment="1">
      <alignment horizontal="center" vertical="center"/>
    </xf>
    <xf numFmtId="165" fontId="7" fillId="0" borderId="3" xfId="0" quotePrefix="1" applyNumberFormat="1" applyFont="1" applyBorder="1" applyAlignment="1">
      <alignment horizontal="left"/>
    </xf>
    <xf numFmtId="165" fontId="8" fillId="0" borderId="9" xfId="0" quotePrefix="1" applyNumberFormat="1" applyFont="1" applyBorder="1" applyAlignment="1">
      <alignment horizontal="left"/>
    </xf>
    <xf numFmtId="0" fontId="8" fillId="17" borderId="3" xfId="0" quotePrefix="1" applyFont="1" applyFill="1" applyBorder="1" applyAlignment="1">
      <alignment horizontal="left"/>
    </xf>
    <xf numFmtId="165" fontId="8" fillId="19" borderId="3" xfId="0" applyNumberFormat="1" applyFont="1" applyFill="1" applyBorder="1" applyAlignment="1">
      <alignment horizontal="left"/>
    </xf>
    <xf numFmtId="165" fontId="8" fillId="19" borderId="3" xfId="0" quotePrefix="1" applyNumberFormat="1" applyFont="1" applyFill="1" applyBorder="1" applyAlignment="1">
      <alignment horizontal="left"/>
    </xf>
    <xf numFmtId="0" fontId="8" fillId="19" borderId="3" xfId="0" applyFont="1" applyFill="1" applyBorder="1" applyAlignment="1">
      <alignment horizontal="left"/>
    </xf>
    <xf numFmtId="165" fontId="5" fillId="22" borderId="3" xfId="0" quotePrefix="1" applyNumberFormat="1" applyFont="1" applyFill="1" applyBorder="1" applyAlignment="1">
      <alignment horizontal="left"/>
    </xf>
    <xf numFmtId="0" fontId="5" fillId="22" borderId="3" xfId="0" applyFont="1" applyFill="1" applyBorder="1" applyAlignment="1">
      <alignment horizontal="left"/>
    </xf>
    <xf numFmtId="0" fontId="5" fillId="22" borderId="3" xfId="0" applyFont="1" applyFill="1" applyBorder="1"/>
    <xf numFmtId="4" fontId="5" fillId="22" borderId="3" xfId="0" applyNumberFormat="1" applyFont="1" applyFill="1" applyBorder="1"/>
    <xf numFmtId="165" fontId="8" fillId="22" borderId="3" xfId="0" applyNumberFormat="1" applyFont="1" applyFill="1" applyBorder="1" applyAlignment="1">
      <alignment horizontal="left"/>
    </xf>
    <xf numFmtId="165" fontId="8" fillId="22" borderId="3" xfId="0" quotePrefix="1" applyNumberFormat="1" applyFont="1" applyFill="1" applyBorder="1" applyAlignment="1">
      <alignment horizontal="left"/>
    </xf>
    <xf numFmtId="0" fontId="8" fillId="22" borderId="3" xfId="0" applyFont="1" applyFill="1" applyBorder="1" applyAlignment="1">
      <alignment horizontal="left"/>
    </xf>
    <xf numFmtId="1" fontId="8" fillId="22" borderId="3" xfId="0" applyNumberFormat="1" applyFont="1" applyFill="1" applyBorder="1" applyAlignment="1">
      <alignment horizontal="center" vertical="center"/>
    </xf>
    <xf numFmtId="4" fontId="8" fillId="22" borderId="3" xfId="0" applyNumberFormat="1" applyFont="1" applyFill="1" applyBorder="1"/>
    <xf numFmtId="0" fontId="8" fillId="22" borderId="3" xfId="0" applyFont="1" applyFill="1" applyBorder="1" applyAlignment="1">
      <alignment horizontal="left" wrapText="1"/>
    </xf>
    <xf numFmtId="4" fontId="8" fillId="0" borderId="3" xfId="0" applyNumberFormat="1" applyFont="1" applyBorder="1" applyAlignment="1">
      <alignment horizontal="right"/>
    </xf>
    <xf numFmtId="0" fontId="8" fillId="19" borderId="3" xfId="0" quotePrefix="1" applyFont="1" applyFill="1" applyBorder="1" applyAlignment="1">
      <alignment horizontal="left"/>
    </xf>
    <xf numFmtId="1" fontId="8" fillId="19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4" fontId="8" fillId="0" borderId="8" xfId="0" applyNumberFormat="1" applyFont="1" applyBorder="1"/>
    <xf numFmtId="165" fontId="5" fillId="0" borderId="14" xfId="0" quotePrefix="1" applyNumberFormat="1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1" fontId="8" fillId="0" borderId="14" xfId="0" applyNumberFormat="1" applyFont="1" applyBorder="1" applyAlignment="1">
      <alignment horizontal="center" vertical="center"/>
    </xf>
    <xf numFmtId="4" fontId="8" fillId="0" borderId="14" xfId="0" applyNumberFormat="1" applyFont="1" applyBorder="1"/>
    <xf numFmtId="2" fontId="8" fillId="0" borderId="0" xfId="0" applyNumberFormat="1" applyFont="1"/>
    <xf numFmtId="0" fontId="17" fillId="0" borderId="3" xfId="0" quotePrefix="1" applyFont="1" applyBorder="1" applyAlignment="1">
      <alignment horizontal="left"/>
    </xf>
    <xf numFmtId="1" fontId="17" fillId="0" borderId="3" xfId="0" applyNumberFormat="1" applyFont="1" applyBorder="1" applyAlignment="1">
      <alignment horizontal="center" vertical="center"/>
    </xf>
    <xf numFmtId="0" fontId="33" fillId="0" borderId="0" xfId="0" applyFont="1"/>
    <xf numFmtId="165" fontId="8" fillId="22" borderId="2" xfId="0" quotePrefix="1" applyNumberFormat="1" applyFont="1" applyFill="1" applyBorder="1" applyAlignment="1">
      <alignment horizontal="left"/>
    </xf>
    <xf numFmtId="4" fontId="5" fillId="0" borderId="14" xfId="0" applyNumberFormat="1" applyFont="1" applyBorder="1"/>
    <xf numFmtId="165" fontId="26" fillId="0" borderId="3" xfId="0" applyNumberFormat="1" applyFont="1" applyBorder="1" applyAlignment="1">
      <alignment horizontal="left"/>
    </xf>
    <xf numFmtId="1" fontId="26" fillId="0" borderId="3" xfId="0" applyNumberFormat="1" applyFont="1" applyBorder="1" applyAlignment="1">
      <alignment horizontal="center" vertical="center"/>
    </xf>
    <xf numFmtId="0" fontId="34" fillId="0" borderId="0" xfId="0" applyFont="1"/>
    <xf numFmtId="0" fontId="8" fillId="0" borderId="3" xfId="0" quotePrefix="1" applyFont="1" applyBorder="1" applyAlignment="1">
      <alignment horizontal="left" wrapText="1"/>
    </xf>
    <xf numFmtId="165" fontId="8" fillId="0" borderId="8" xfId="0" applyNumberFormat="1" applyFont="1" applyBorder="1" applyAlignment="1">
      <alignment horizontal="left"/>
    </xf>
    <xf numFmtId="165" fontId="3" fillId="19" borderId="3" xfId="0" quotePrefix="1" applyNumberFormat="1" applyFont="1" applyFill="1" applyBorder="1" applyAlignment="1">
      <alignment horizontal="left"/>
    </xf>
    <xf numFmtId="165" fontId="8" fillId="0" borderId="14" xfId="0" quotePrefix="1" applyNumberFormat="1" applyFont="1" applyBorder="1" applyAlignment="1">
      <alignment horizontal="left"/>
    </xf>
    <xf numFmtId="165" fontId="8" fillId="0" borderId="14" xfId="0" applyNumberFormat="1" applyFont="1" applyBorder="1" applyAlignment="1">
      <alignment horizontal="left"/>
    </xf>
    <xf numFmtId="0" fontId="8" fillId="22" borderId="3" xfId="0" quotePrefix="1" applyFont="1" applyFill="1" applyBorder="1" applyAlignment="1">
      <alignment horizontal="left"/>
    </xf>
    <xf numFmtId="0" fontId="0" fillId="22" borderId="0" xfId="0" applyFill="1"/>
    <xf numFmtId="0" fontId="0" fillId="0" borderId="0" xfId="0" quotePrefix="1"/>
    <xf numFmtId="165" fontId="35" fillId="0" borderId="3" xfId="0" quotePrefix="1" applyNumberFormat="1" applyFont="1" applyBorder="1" applyAlignment="1">
      <alignment horizontal="left"/>
    </xf>
    <xf numFmtId="0" fontId="18" fillId="23" borderId="3" xfId="0" quotePrefix="1" applyFont="1" applyFill="1" applyBorder="1" applyAlignment="1">
      <alignment horizontal="center" vertical="center"/>
    </xf>
    <xf numFmtId="0" fontId="0" fillId="19" borderId="0" xfId="0" applyFill="1"/>
    <xf numFmtId="165" fontId="17" fillId="18" borderId="3" xfId="0" quotePrefix="1" applyNumberFormat="1" applyFont="1" applyFill="1" applyBorder="1" applyAlignment="1">
      <alignment horizontal="left"/>
    </xf>
    <xf numFmtId="0" fontId="17" fillId="18" borderId="3" xfId="0" applyFont="1" applyFill="1" applyBorder="1" applyAlignment="1">
      <alignment horizontal="left"/>
    </xf>
    <xf numFmtId="1" fontId="17" fillId="18" borderId="3" xfId="0" applyNumberFormat="1" applyFont="1" applyFill="1" applyBorder="1" applyAlignment="1">
      <alignment horizontal="center" vertical="center"/>
    </xf>
    <xf numFmtId="165" fontId="17" fillId="17" borderId="3" xfId="0" quotePrefix="1" applyNumberFormat="1" applyFont="1" applyFill="1" applyBorder="1" applyAlignment="1">
      <alignment horizontal="left"/>
    </xf>
    <xf numFmtId="165" fontId="8" fillId="21" borderId="3" xfId="0" applyNumberFormat="1" applyFont="1" applyFill="1" applyBorder="1" applyAlignment="1">
      <alignment horizontal="left"/>
    </xf>
    <xf numFmtId="165" fontId="8" fillId="0" borderId="4" xfId="0" applyNumberFormat="1" applyFont="1" applyBorder="1" applyAlignment="1">
      <alignment horizontal="left"/>
    </xf>
    <xf numFmtId="165" fontId="17" fillId="0" borderId="0" xfId="0" applyNumberFormat="1" applyFont="1" applyAlignment="1">
      <alignment horizontal="left"/>
    </xf>
    <xf numFmtId="165" fontId="8" fillId="22" borderId="0" xfId="0" applyNumberFormat="1" applyFont="1" applyFill="1" applyAlignment="1">
      <alignment horizontal="left"/>
    </xf>
    <xf numFmtId="0" fontId="7" fillId="0" borderId="3" xfId="0" applyFont="1" applyBorder="1" applyAlignment="1">
      <alignment horizontal="left"/>
    </xf>
    <xf numFmtId="165" fontId="11" fillId="7" borderId="3" xfId="0" applyNumberFormat="1" applyFont="1" applyFill="1" applyBorder="1" applyAlignment="1">
      <alignment horizontal="left"/>
    </xf>
    <xf numFmtId="165" fontId="3" fillId="0" borderId="3" xfId="0" applyNumberFormat="1" applyFont="1" applyBorder="1" applyAlignment="1">
      <alignment horizontal="left"/>
    </xf>
    <xf numFmtId="0" fontId="8" fillId="22" borderId="0" xfId="0" applyFont="1" applyFill="1" applyAlignment="1">
      <alignment horizontal="left"/>
    </xf>
    <xf numFmtId="165" fontId="7" fillId="0" borderId="3" xfId="0" applyNumberFormat="1" applyFont="1" applyBorder="1" applyAlignment="1">
      <alignment horizontal="left" wrapText="1"/>
    </xf>
    <xf numFmtId="165" fontId="8" fillId="0" borderId="0" xfId="0" quotePrefix="1" applyNumberFormat="1" applyFont="1" applyAlignment="1">
      <alignment horizontal="left"/>
    </xf>
    <xf numFmtId="165" fontId="13" fillId="0" borderId="3" xfId="0" applyNumberFormat="1" applyFont="1" applyBorder="1" applyAlignment="1">
      <alignment horizontal="left"/>
    </xf>
    <xf numFmtId="4" fontId="5" fillId="7" borderId="3" xfId="0" applyNumberFormat="1" applyFont="1" applyFill="1" applyBorder="1"/>
    <xf numFmtId="0" fontId="7" fillId="0" borderId="3" xfId="0" applyFont="1" applyBorder="1"/>
    <xf numFmtId="0" fontId="14" fillId="0" borderId="3" xfId="0" applyFont="1" applyBorder="1"/>
    <xf numFmtId="0" fontId="8" fillId="0" borderId="2" xfId="0" applyFont="1" applyBorder="1" applyAlignment="1">
      <alignment horizontal="left"/>
    </xf>
    <xf numFmtId="165" fontId="11" fillId="0" borderId="3" xfId="0" applyNumberFormat="1" applyFont="1" applyBorder="1" applyAlignment="1">
      <alignment horizontal="left"/>
    </xf>
    <xf numFmtId="165" fontId="8" fillId="0" borderId="12" xfId="0" applyNumberFormat="1" applyFont="1" applyBorder="1" applyAlignment="1">
      <alignment horizontal="left"/>
    </xf>
    <xf numFmtId="165" fontId="35" fillId="0" borderId="0" xfId="0" quotePrefix="1" applyNumberFormat="1" applyFont="1" applyAlignment="1">
      <alignment horizontal="left"/>
    </xf>
    <xf numFmtId="165" fontId="8" fillId="22" borderId="0" xfId="0" quotePrefix="1" applyNumberFormat="1" applyFont="1" applyFill="1" applyAlignment="1">
      <alignment horizontal="left"/>
    </xf>
    <xf numFmtId="1" fontId="31" fillId="0" borderId="3" xfId="0" quotePrefix="1" applyNumberFormat="1" applyFont="1" applyBorder="1"/>
    <xf numFmtId="1" fontId="31" fillId="0" borderId="3" xfId="0" applyNumberFormat="1" applyFont="1" applyBorder="1" applyAlignment="1">
      <alignment horizontal="center"/>
    </xf>
    <xf numFmtId="4" fontId="11" fillId="7" borderId="3" xfId="0" applyNumberFormat="1" applyFont="1" applyFill="1" applyBorder="1"/>
    <xf numFmtId="49" fontId="8" fillId="0" borderId="3" xfId="0" applyNumberFormat="1" applyFont="1" applyBorder="1" applyAlignment="1">
      <alignment horizontal="left"/>
    </xf>
    <xf numFmtId="1" fontId="31" fillId="0" borderId="0" xfId="0" quotePrefix="1" applyNumberFormat="1" applyFont="1"/>
    <xf numFmtId="0" fontId="8" fillId="0" borderId="2" xfId="0" quotePrefix="1" applyFont="1" applyBorder="1" applyAlignment="1">
      <alignment horizontal="left"/>
    </xf>
    <xf numFmtId="165" fontId="8" fillId="9" borderId="0" xfId="0" quotePrefix="1" applyNumberFormat="1" applyFont="1" applyFill="1" applyAlignment="1">
      <alignment horizontal="left"/>
    </xf>
    <xf numFmtId="0" fontId="30" fillId="0" borderId="3" xfId="0" quotePrefix="1" applyFont="1" applyBorder="1"/>
    <xf numFmtId="0" fontId="0" fillId="0" borderId="3" xfId="0" quotePrefix="1" applyBorder="1"/>
    <xf numFmtId="165" fontId="17" fillId="0" borderId="0" xfId="0" quotePrefix="1" applyNumberFormat="1" applyFont="1" applyAlignment="1">
      <alignment horizontal="left"/>
    </xf>
    <xf numFmtId="4" fontId="9" fillId="11" borderId="3" xfId="0" applyNumberFormat="1" applyFont="1" applyFill="1" applyBorder="1" applyAlignment="1">
      <alignment horizontal="center" vertical="center" wrapText="1"/>
    </xf>
    <xf numFmtId="49" fontId="8" fillId="0" borderId="2" xfId="8" quotePrefix="1" applyNumberFormat="1" applyFont="1" applyBorder="1" applyAlignment="1" applyProtection="1">
      <alignment horizontal="left" vertical="center"/>
      <protection locked="0"/>
    </xf>
    <xf numFmtId="165" fontId="8" fillId="0" borderId="2" xfId="0" quotePrefix="1" applyNumberFormat="1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165" fontId="8" fillId="0" borderId="2" xfId="0" applyNumberFormat="1" applyFont="1" applyBorder="1" applyAlignment="1">
      <alignment horizontal="left"/>
    </xf>
    <xf numFmtId="4" fontId="9" fillId="22" borderId="3" xfId="0" applyNumberFormat="1" applyFont="1" applyFill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165" fontId="8" fillId="0" borderId="13" xfId="0" quotePrefix="1" applyNumberFormat="1" applyFont="1" applyBorder="1" applyAlignment="1">
      <alignment horizontal="left"/>
    </xf>
    <xf numFmtId="165" fontId="3" fillId="19" borderId="3" xfId="0" applyNumberFormat="1" applyFont="1" applyFill="1" applyBorder="1" applyAlignment="1">
      <alignment horizontal="left"/>
    </xf>
    <xf numFmtId="165" fontId="8" fillId="0" borderId="12" xfId="0" quotePrefix="1" applyNumberFormat="1" applyFont="1" applyBorder="1" applyAlignment="1">
      <alignment horizontal="left"/>
    </xf>
    <xf numFmtId="0" fontId="0" fillId="0" borderId="3" xfId="0" applyBorder="1"/>
    <xf numFmtId="0" fontId="8" fillId="0" borderId="4" xfId="0" applyFont="1" applyBorder="1" applyAlignment="1">
      <alignment horizontal="left"/>
    </xf>
    <xf numFmtId="0" fontId="17" fillId="0" borderId="0" xfId="0" applyFont="1" applyAlignment="1">
      <alignment horizontal="left"/>
    </xf>
    <xf numFmtId="4" fontId="5" fillId="7" borderId="3" xfId="0" applyNumberFormat="1" applyFont="1" applyFill="1" applyBorder="1" applyAlignment="1">
      <alignment horizontal="left"/>
    </xf>
    <xf numFmtId="49" fontId="31" fillId="0" borderId="3" xfId="0" applyNumberFormat="1" applyFont="1" applyBorder="1"/>
    <xf numFmtId="4" fontId="5" fillId="0" borderId="3" xfId="0" applyNumberFormat="1" applyFont="1" applyBorder="1" applyAlignment="1">
      <alignment horizontal="left"/>
    </xf>
    <xf numFmtId="0" fontId="30" fillId="0" borderId="3" xfId="0" applyFont="1" applyBorder="1"/>
    <xf numFmtId="0" fontId="5" fillId="0" borderId="14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4" fontId="8" fillId="0" borderId="3" xfId="0" applyNumberFormat="1" applyFont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8" fillId="0" borderId="14" xfId="0" quotePrefix="1" applyFont="1" applyBorder="1" applyAlignment="1">
      <alignment horizontal="left"/>
    </xf>
    <xf numFmtId="49" fontId="36" fillId="23" borderId="3" xfId="5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1" fontId="8" fillId="0" borderId="4" xfId="0" applyNumberFormat="1" applyFont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" fontId="8" fillId="22" borderId="0" xfId="0" applyNumberFormat="1" applyFont="1" applyFill="1" applyAlignment="1">
      <alignment horizontal="center" vertical="center"/>
    </xf>
    <xf numFmtId="1" fontId="5" fillId="7" borderId="3" xfId="0" applyNumberFormat="1" applyFont="1" applyFill="1" applyBorder="1" applyAlignment="1">
      <alignment horizontal="center" vertical="center"/>
    </xf>
    <xf numFmtId="49" fontId="31" fillId="0" borderId="3" xfId="0" applyNumberFormat="1" applyFont="1" applyBorder="1" applyAlignment="1">
      <alignment horizontal="center"/>
    </xf>
    <xf numFmtId="4" fontId="8" fillId="0" borderId="4" xfId="0" applyNumberFormat="1" applyFont="1" applyBorder="1"/>
    <xf numFmtId="4" fontId="17" fillId="0" borderId="0" xfId="0" applyNumberFormat="1" applyFont="1"/>
    <xf numFmtId="4" fontId="8" fillId="22" borderId="0" xfId="0" applyNumberFormat="1" applyFont="1" applyFill="1"/>
    <xf numFmtId="2" fontId="8" fillId="0" borderId="3" xfId="0" applyNumberFormat="1" applyFont="1" applyBorder="1"/>
    <xf numFmtId="168" fontId="8" fillId="0" borderId="3" xfId="0" applyNumberFormat="1" applyFont="1" applyBorder="1"/>
    <xf numFmtId="4" fontId="26" fillId="0" borderId="0" xfId="0" applyNumberFormat="1" applyFont="1"/>
    <xf numFmtId="4" fontId="5" fillId="22" borderId="0" xfId="0" applyNumberFormat="1" applyFont="1" applyFill="1"/>
    <xf numFmtId="0" fontId="8" fillId="0" borderId="3" xfId="0" applyFont="1" applyBorder="1" applyAlignment="1">
      <alignment horizontal="center"/>
    </xf>
    <xf numFmtId="0" fontId="8" fillId="0" borderId="8" xfId="0" applyFont="1" applyBorder="1" applyAlignment="1">
      <alignment horizontal="left" wrapText="1"/>
    </xf>
    <xf numFmtId="0" fontId="37" fillId="0" borderId="8" xfId="0" applyFont="1" applyBorder="1"/>
    <xf numFmtId="165" fontId="8" fillId="0" borderId="18" xfId="0" applyNumberFormat="1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1" fontId="8" fillId="0" borderId="18" xfId="0" applyNumberFormat="1" applyFont="1" applyBorder="1" applyAlignment="1">
      <alignment horizontal="center" vertical="center"/>
    </xf>
    <xf numFmtId="4" fontId="8" fillId="0" borderId="18" xfId="0" applyNumberFormat="1" applyFont="1" applyBorder="1"/>
    <xf numFmtId="4" fontId="5" fillId="0" borderId="18" xfId="0" applyNumberFormat="1" applyFont="1" applyBorder="1"/>
    <xf numFmtId="0" fontId="5" fillId="0" borderId="18" xfId="0" applyFont="1" applyBorder="1" applyAlignment="1">
      <alignment horizontal="left"/>
    </xf>
    <xf numFmtId="0" fontId="5" fillId="0" borderId="18" xfId="0" applyFont="1" applyBorder="1"/>
    <xf numFmtId="0" fontId="31" fillId="0" borderId="0" xfId="0" applyFont="1"/>
    <xf numFmtId="165" fontId="8" fillId="0" borderId="18" xfId="0" applyNumberFormat="1" applyFont="1" applyBorder="1" applyAlignment="1">
      <alignment horizontal="left" wrapText="1"/>
    </xf>
    <xf numFmtId="0" fontId="38" fillId="0" borderId="0" xfId="0" applyFont="1"/>
    <xf numFmtId="0" fontId="8" fillId="0" borderId="18" xfId="0" applyFont="1" applyBorder="1" applyAlignment="1">
      <alignment horizontal="left" wrapText="1"/>
    </xf>
    <xf numFmtId="165" fontId="8" fillId="22" borderId="8" xfId="0" applyNumberFormat="1" applyFont="1" applyFill="1" applyBorder="1" applyAlignment="1">
      <alignment horizontal="left"/>
    </xf>
    <xf numFmtId="0" fontId="8" fillId="22" borderId="8" xfId="0" applyFont="1" applyFill="1" applyBorder="1" applyAlignment="1">
      <alignment horizontal="left"/>
    </xf>
    <xf numFmtId="4" fontId="8" fillId="17" borderId="3" xfId="0" applyNumberFormat="1" applyFont="1" applyFill="1" applyBorder="1"/>
    <xf numFmtId="0" fontId="0" fillId="17" borderId="0" xfId="0" applyFill="1"/>
    <xf numFmtId="165" fontId="8" fillId="17" borderId="3" xfId="0" quotePrefix="1" applyNumberFormat="1" applyFont="1" applyFill="1" applyBorder="1" applyAlignment="1">
      <alignment horizontal="left" wrapText="1"/>
    </xf>
    <xf numFmtId="165" fontId="8" fillId="0" borderId="18" xfId="0" quotePrefix="1" applyNumberFormat="1" applyFont="1" applyBorder="1" applyAlignment="1">
      <alignment horizontal="left" wrapText="1"/>
    </xf>
    <xf numFmtId="4" fontId="8" fillId="19" borderId="3" xfId="0" applyNumberFormat="1" applyFont="1" applyFill="1" applyBorder="1"/>
    <xf numFmtId="4" fontId="8" fillId="9" borderId="3" xfId="0" applyNumberFormat="1" applyFont="1" applyFill="1" applyBorder="1"/>
    <xf numFmtId="0" fontId="0" fillId="9" borderId="0" xfId="0" applyFill="1"/>
    <xf numFmtId="165" fontId="8" fillId="15" borderId="3" xfId="0" applyNumberFormat="1" applyFont="1" applyFill="1" applyBorder="1" applyAlignment="1">
      <alignment horizontal="left"/>
    </xf>
    <xf numFmtId="165" fontId="8" fillId="15" borderId="3" xfId="0" quotePrefix="1" applyNumberFormat="1" applyFont="1" applyFill="1" applyBorder="1" applyAlignment="1">
      <alignment horizontal="left"/>
    </xf>
    <xf numFmtId="0" fontId="0" fillId="15" borderId="0" xfId="0" applyFill="1"/>
    <xf numFmtId="165" fontId="8" fillId="19" borderId="8" xfId="0" applyNumberFormat="1" applyFont="1" applyFill="1" applyBorder="1" applyAlignment="1">
      <alignment horizontal="left"/>
    </xf>
    <xf numFmtId="165" fontId="8" fillId="19" borderId="8" xfId="0" quotePrefix="1" applyNumberFormat="1" applyFont="1" applyFill="1" applyBorder="1" applyAlignment="1">
      <alignment horizontal="left"/>
    </xf>
    <xf numFmtId="0" fontId="8" fillId="19" borderId="8" xfId="0" applyFont="1" applyFill="1" applyBorder="1" applyAlignment="1">
      <alignment horizontal="left"/>
    </xf>
    <xf numFmtId="1" fontId="8" fillId="19" borderId="8" xfId="0" applyNumberFormat="1" applyFont="1" applyFill="1" applyBorder="1" applyAlignment="1">
      <alignment horizontal="center" vertical="center"/>
    </xf>
    <xf numFmtId="0" fontId="8" fillId="19" borderId="8" xfId="0" quotePrefix="1" applyFont="1" applyFill="1" applyBorder="1" applyAlignment="1">
      <alignment horizontal="left"/>
    </xf>
    <xf numFmtId="14" fontId="0" fillId="0" borderId="0" xfId="0" applyNumberFormat="1"/>
    <xf numFmtId="0" fontId="8" fillId="19" borderId="14" xfId="0" applyFont="1" applyFill="1" applyBorder="1" applyAlignment="1">
      <alignment horizontal="left"/>
    </xf>
    <xf numFmtId="0" fontId="0" fillId="19" borderId="8" xfId="0" applyFill="1" applyBorder="1"/>
    <xf numFmtId="165" fontId="8" fillId="19" borderId="14" xfId="0" applyNumberFormat="1" applyFont="1" applyFill="1" applyBorder="1" applyAlignment="1">
      <alignment horizontal="left"/>
    </xf>
    <xf numFmtId="165" fontId="8" fillId="19" borderId="14" xfId="0" quotePrefix="1" applyNumberFormat="1" applyFont="1" applyFill="1" applyBorder="1" applyAlignment="1">
      <alignment horizontal="left"/>
    </xf>
    <xf numFmtId="1" fontId="8" fillId="19" borderId="14" xfId="0" applyNumberFormat="1" applyFont="1" applyFill="1" applyBorder="1" applyAlignment="1">
      <alignment horizontal="center" vertical="center"/>
    </xf>
    <xf numFmtId="1" fontId="29" fillId="9" borderId="8" xfId="0" applyNumberFormat="1" applyFont="1" applyFill="1" applyBorder="1" applyAlignment="1">
      <alignment horizontal="center" vertical="center"/>
    </xf>
    <xf numFmtId="0" fontId="0" fillId="19" borderId="13" xfId="0" applyFill="1" applyBorder="1"/>
    <xf numFmtId="49" fontId="8" fillId="0" borderId="3" xfId="8" applyNumberFormat="1" applyFont="1" applyBorder="1" applyAlignment="1" applyProtection="1">
      <alignment horizontal="left" vertical="center"/>
      <protection locked="0"/>
    </xf>
    <xf numFmtId="165" fontId="29" fillId="0" borderId="8" xfId="0" applyNumberFormat="1" applyFont="1" applyBorder="1" applyAlignment="1">
      <alignment horizontal="left" wrapText="1"/>
    </xf>
    <xf numFmtId="0" fontId="41" fillId="0" borderId="8" xfId="0" applyFont="1" applyBorder="1"/>
    <xf numFmtId="0" fontId="41" fillId="0" borderId="8" xfId="0" applyFont="1" applyBorder="1" applyAlignment="1">
      <alignment horizontal="center"/>
    </xf>
    <xf numFmtId="0" fontId="41" fillId="22" borderId="8" xfId="0" applyFont="1" applyFill="1" applyBorder="1"/>
    <xf numFmtId="0" fontId="41" fillId="22" borderId="8" xfId="0" applyFont="1" applyFill="1" applyBorder="1" applyAlignment="1">
      <alignment horizontal="center"/>
    </xf>
    <xf numFmtId="4" fontId="8" fillId="22" borderId="8" xfId="0" applyNumberFormat="1" applyFont="1" applyFill="1" applyBorder="1"/>
    <xf numFmtId="165" fontId="8" fillId="22" borderId="14" xfId="0" applyNumberFormat="1" applyFont="1" applyFill="1" applyBorder="1" applyAlignment="1">
      <alignment horizontal="left"/>
    </xf>
    <xf numFmtId="0" fontId="8" fillId="22" borderId="14" xfId="0" applyFont="1" applyFill="1" applyBorder="1" applyAlignment="1">
      <alignment horizontal="left"/>
    </xf>
    <xf numFmtId="4" fontId="8" fillId="22" borderId="14" xfId="0" applyNumberFormat="1" applyFont="1" applyFill="1" applyBorder="1"/>
    <xf numFmtId="0" fontId="41" fillId="0" borderId="14" xfId="0" quotePrefix="1" applyFont="1" applyBorder="1"/>
    <xf numFmtId="0" fontId="41" fillId="0" borderId="14" xfId="0" applyFont="1" applyBorder="1" applyAlignment="1">
      <alignment horizontal="center"/>
    </xf>
    <xf numFmtId="165" fontId="29" fillId="0" borderId="8" xfId="0" applyNumberFormat="1" applyFont="1" applyBorder="1" applyAlignment="1">
      <alignment horizontal="left"/>
    </xf>
    <xf numFmtId="0" fontId="43" fillId="0" borderId="8" xfId="0" applyFont="1" applyBorder="1"/>
    <xf numFmtId="0" fontId="29" fillId="0" borderId="8" xfId="0" applyFont="1" applyBorder="1" applyAlignment="1">
      <alignment horizontal="left"/>
    </xf>
    <xf numFmtId="0" fontId="43" fillId="0" borderId="8" xfId="0" applyFont="1" applyBorder="1" applyAlignment="1">
      <alignment horizontal="center"/>
    </xf>
    <xf numFmtId="4" fontId="29" fillId="0" borderId="8" xfId="0" applyNumberFormat="1" applyFont="1" applyBorder="1"/>
    <xf numFmtId="0" fontId="44" fillId="19" borderId="0" xfId="0" applyFont="1" applyFill="1"/>
    <xf numFmtId="165" fontId="3" fillId="19" borderId="3" xfId="0" applyNumberFormat="1" applyFont="1" applyFill="1" applyBorder="1" applyAlignment="1">
      <alignment horizontal="center"/>
    </xf>
    <xf numFmtId="165" fontId="8" fillId="0" borderId="19" xfId="0" applyNumberFormat="1" applyFont="1" applyBorder="1" applyAlignment="1">
      <alignment horizontal="left"/>
    </xf>
    <xf numFmtId="165" fontId="8" fillId="0" borderId="22" xfId="0" applyNumberFormat="1" applyFont="1" applyBorder="1" applyAlignment="1">
      <alignment horizontal="left"/>
    </xf>
    <xf numFmtId="0" fontId="0" fillId="0" borderId="0" xfId="0" applyAlignment="1">
      <alignment vertical="top"/>
    </xf>
    <xf numFmtId="0" fontId="8" fillId="0" borderId="21" xfId="0" applyFont="1" applyBorder="1" applyAlignment="1">
      <alignment horizontal="left"/>
    </xf>
    <xf numFmtId="165" fontId="23" fillId="0" borderId="8" xfId="0" applyNumberFormat="1" applyFont="1" applyBorder="1" applyAlignment="1">
      <alignment horizontal="left"/>
    </xf>
    <xf numFmtId="0" fontId="28" fillId="19" borderId="0" xfId="0" applyFont="1" applyFill="1"/>
    <xf numFmtId="0" fontId="8" fillId="0" borderId="8" xfId="0" quotePrefix="1" applyFont="1" applyBorder="1" applyAlignment="1">
      <alignment horizontal="left"/>
    </xf>
    <xf numFmtId="165" fontId="8" fillId="0" borderId="17" xfId="0" applyNumberFormat="1" applyFont="1" applyBorder="1" applyAlignment="1">
      <alignment horizontal="left"/>
    </xf>
    <xf numFmtId="0" fontId="45" fillId="0" borderId="0" xfId="0" applyFont="1"/>
    <xf numFmtId="0" fontId="38" fillId="0" borderId="0" xfId="0" quotePrefix="1" applyFont="1"/>
    <xf numFmtId="165" fontId="8" fillId="0" borderId="5" xfId="0" applyNumberFormat="1" applyFont="1" applyBorder="1" applyAlignment="1">
      <alignment horizontal="left"/>
    </xf>
    <xf numFmtId="1" fontId="9" fillId="6" borderId="3" xfId="0" applyNumberFormat="1" applyFont="1" applyFill="1" applyBorder="1" applyAlignment="1">
      <alignment horizontal="center"/>
    </xf>
    <xf numFmtId="165" fontId="26" fillId="0" borderId="0" xfId="0" quotePrefix="1" applyNumberFormat="1" applyFont="1" applyAlignment="1">
      <alignment horizontal="left"/>
    </xf>
    <xf numFmtId="0" fontId="37" fillId="0" borderId="14" xfId="0" applyFont="1" applyBorder="1"/>
    <xf numFmtId="0" fontId="39" fillId="0" borderId="8" xfId="0" applyFont="1" applyBorder="1"/>
    <xf numFmtId="165" fontId="8" fillId="9" borderId="18" xfId="0" applyNumberFormat="1" applyFont="1" applyFill="1" applyBorder="1" applyAlignment="1">
      <alignment horizontal="left"/>
    </xf>
    <xf numFmtId="165" fontId="5" fillId="0" borderId="18" xfId="0" quotePrefix="1" applyNumberFormat="1" applyFont="1" applyBorder="1" applyAlignment="1">
      <alignment horizontal="left"/>
    </xf>
    <xf numFmtId="165" fontId="8" fillId="0" borderId="11" xfId="0" applyNumberFormat="1" applyFont="1" applyBorder="1" applyAlignment="1">
      <alignment horizontal="left"/>
    </xf>
    <xf numFmtId="165" fontId="8" fillId="19" borderId="0" xfId="0" applyNumberFormat="1" applyFont="1" applyFill="1" applyAlignment="1">
      <alignment horizontal="left"/>
    </xf>
    <xf numFmtId="165" fontId="23" fillId="0" borderId="0" xfId="0" applyNumberFormat="1" applyFont="1" applyAlignment="1">
      <alignment horizontal="left"/>
    </xf>
    <xf numFmtId="165" fontId="8" fillId="18" borderId="3" xfId="0" quotePrefix="1" applyNumberFormat="1" applyFont="1" applyFill="1" applyBorder="1" applyAlignment="1">
      <alignment horizontal="left"/>
    </xf>
    <xf numFmtId="0" fontId="34" fillId="0" borderId="8" xfId="0" quotePrefix="1" applyFont="1" applyBorder="1"/>
    <xf numFmtId="165" fontId="8" fillId="0" borderId="8" xfId="0" applyNumberFormat="1" applyFont="1" applyBorder="1" applyAlignment="1">
      <alignment horizontal="left" wrapText="1"/>
    </xf>
    <xf numFmtId="165" fontId="8" fillId="0" borderId="18" xfId="0" quotePrefix="1" applyNumberFormat="1" applyFont="1" applyBorder="1" applyAlignment="1">
      <alignment horizontal="left"/>
    </xf>
    <xf numFmtId="0" fontId="40" fillId="0" borderId="3" xfId="0" quotePrefix="1" applyFont="1" applyBorder="1"/>
    <xf numFmtId="1" fontId="5" fillId="6" borderId="3" xfId="0" applyNumberFormat="1" applyFont="1" applyFill="1" applyBorder="1" applyAlignment="1">
      <alignment horizontal="center"/>
    </xf>
    <xf numFmtId="165" fontId="8" fillId="0" borderId="0" xfId="0" quotePrefix="1" applyNumberFormat="1" applyFont="1" applyAlignment="1">
      <alignment horizontal="left" wrapText="1"/>
    </xf>
    <xf numFmtId="49" fontId="8" fillId="0" borderId="0" xfId="8" quotePrefix="1" applyNumberFormat="1" applyFont="1" applyBorder="1" applyAlignment="1" applyProtection="1">
      <alignment horizontal="left" vertical="center"/>
      <protection locked="0"/>
    </xf>
    <xf numFmtId="165" fontId="8" fillId="19" borderId="0" xfId="0" quotePrefix="1" applyNumberFormat="1" applyFont="1" applyFill="1" applyAlignment="1">
      <alignment horizontal="left"/>
    </xf>
    <xf numFmtId="165" fontId="8" fillId="24" borderId="8" xfId="0" quotePrefix="1" applyNumberFormat="1" applyFont="1" applyFill="1" applyBorder="1" applyAlignment="1">
      <alignment horizontal="left" wrapText="1"/>
    </xf>
    <xf numFmtId="165" fontId="8" fillId="9" borderId="18" xfId="0" quotePrefix="1" applyNumberFormat="1" applyFont="1" applyFill="1" applyBorder="1" applyAlignment="1">
      <alignment horizontal="left"/>
    </xf>
    <xf numFmtId="165" fontId="29" fillId="0" borderId="8" xfId="0" quotePrefix="1" applyNumberFormat="1" applyFont="1" applyBorder="1" applyAlignment="1">
      <alignment horizontal="left" wrapText="1"/>
    </xf>
    <xf numFmtId="165" fontId="8" fillId="0" borderId="8" xfId="0" quotePrefix="1" applyNumberFormat="1" applyFont="1" applyBorder="1" applyAlignment="1">
      <alignment horizontal="left" wrapText="1"/>
    </xf>
    <xf numFmtId="1" fontId="31" fillId="0" borderId="0" xfId="0" applyNumberFormat="1" applyFont="1" applyAlignment="1">
      <alignment horizontal="center"/>
    </xf>
    <xf numFmtId="165" fontId="8" fillId="0" borderId="16" xfId="0" quotePrefix="1" applyNumberFormat="1" applyFont="1" applyBorder="1" applyAlignment="1">
      <alignment horizontal="left" wrapText="1"/>
    </xf>
    <xf numFmtId="165" fontId="23" fillId="0" borderId="0" xfId="0" quotePrefix="1" applyNumberFormat="1" applyFont="1" applyAlignment="1">
      <alignment horizontal="left"/>
    </xf>
    <xf numFmtId="165" fontId="8" fillId="0" borderId="13" xfId="0" applyNumberFormat="1" applyFont="1" applyBorder="1" applyAlignment="1">
      <alignment horizontal="left"/>
    </xf>
    <xf numFmtId="4" fontId="9" fillId="11" borderId="0" xfId="0" applyNumberFormat="1" applyFont="1" applyFill="1" applyAlignment="1">
      <alignment horizontal="center" vertical="center" wrapText="1"/>
    </xf>
    <xf numFmtId="165" fontId="8" fillId="9" borderId="2" xfId="0" quotePrefix="1" applyNumberFormat="1" applyFont="1" applyFill="1" applyBorder="1" applyAlignment="1">
      <alignment horizontal="left"/>
    </xf>
    <xf numFmtId="4" fontId="9" fillId="22" borderId="0" xfId="0" applyNumberFormat="1" applyFont="1" applyFill="1" applyAlignment="1">
      <alignment horizontal="center" vertical="center" wrapText="1"/>
    </xf>
    <xf numFmtId="165" fontId="8" fillId="21" borderId="2" xfId="0" quotePrefix="1" applyNumberFormat="1" applyFont="1" applyFill="1" applyBorder="1" applyAlignment="1">
      <alignment horizontal="left"/>
    </xf>
    <xf numFmtId="165" fontId="8" fillId="0" borderId="22" xfId="0" quotePrefix="1" applyNumberFormat="1" applyFont="1" applyBorder="1" applyAlignment="1">
      <alignment horizontal="left"/>
    </xf>
    <xf numFmtId="165" fontId="5" fillId="0" borderId="8" xfId="0" applyNumberFormat="1" applyFont="1" applyBorder="1" applyAlignment="1">
      <alignment horizontal="left"/>
    </xf>
    <xf numFmtId="165" fontId="13" fillId="0" borderId="2" xfId="0" applyNumberFormat="1" applyFont="1" applyBorder="1" applyAlignment="1">
      <alignment horizontal="left"/>
    </xf>
    <xf numFmtId="165" fontId="8" fillId="17" borderId="2" xfId="0" quotePrefix="1" applyNumberFormat="1" applyFont="1" applyFill="1" applyBorder="1" applyAlignment="1">
      <alignment horizontal="left"/>
    </xf>
    <xf numFmtId="165" fontId="26" fillId="0" borderId="0" xfId="0" applyNumberFormat="1" applyFont="1" applyAlignment="1">
      <alignment horizontal="left"/>
    </xf>
    <xf numFmtId="165" fontId="8" fillId="0" borderId="19" xfId="0" quotePrefix="1" applyNumberFormat="1" applyFont="1" applyBorder="1" applyAlignment="1">
      <alignment horizontal="left"/>
    </xf>
    <xf numFmtId="0" fontId="26" fillId="0" borderId="0" xfId="0" applyFont="1" applyAlignment="1">
      <alignment horizontal="left"/>
    </xf>
    <xf numFmtId="0" fontId="40" fillId="0" borderId="3" xfId="0" applyFont="1" applyBorder="1"/>
    <xf numFmtId="0" fontId="37" fillId="22" borderId="3" xfId="0" applyFont="1" applyFill="1" applyBorder="1"/>
    <xf numFmtId="0" fontId="1" fillId="0" borderId="3" xfId="0" applyFont="1" applyBorder="1"/>
    <xf numFmtId="0" fontId="23" fillId="0" borderId="8" xfId="0" applyFont="1" applyBorder="1" applyAlignment="1">
      <alignment horizontal="left"/>
    </xf>
    <xf numFmtId="0" fontId="41" fillId="22" borderId="14" xfId="0" applyFont="1" applyFill="1" applyBorder="1"/>
    <xf numFmtId="0" fontId="8" fillId="9" borderId="18" xfId="0" applyFont="1" applyFill="1" applyBorder="1" applyAlignment="1">
      <alignment horizontal="left"/>
    </xf>
    <xf numFmtId="0" fontId="41" fillId="0" borderId="3" xfId="0" applyFont="1" applyBorder="1"/>
    <xf numFmtId="0" fontId="8" fillId="19" borderId="0" xfId="0" applyFont="1" applyFill="1" applyAlignment="1">
      <alignment horizontal="left"/>
    </xf>
    <xf numFmtId="49" fontId="31" fillId="0" borderId="0" xfId="0" applyNumberFormat="1" applyFont="1"/>
    <xf numFmtId="0" fontId="8" fillId="0" borderId="8" xfId="0" quotePrefix="1" applyFont="1" applyBorder="1" applyAlignment="1">
      <alignment horizontal="left" wrapText="1"/>
    </xf>
    <xf numFmtId="0" fontId="41" fillId="22" borderId="3" xfId="0" applyFont="1" applyFill="1" applyBorder="1"/>
    <xf numFmtId="0" fontId="23" fillId="0" borderId="0" xfId="0" applyFont="1" applyAlignment="1">
      <alignment horizontal="left"/>
    </xf>
    <xf numFmtId="0" fontId="8" fillId="0" borderId="13" xfId="0" quotePrefix="1" applyFont="1" applyBorder="1" applyAlignment="1">
      <alignment horizontal="left"/>
    </xf>
    <xf numFmtId="0" fontId="37" fillId="0" borderId="18" xfId="0" applyFont="1" applyBorder="1"/>
    <xf numFmtId="0" fontId="42" fillId="0" borderId="3" xfId="0" applyFont="1" applyBorder="1"/>
    <xf numFmtId="0" fontId="8" fillId="0" borderId="18" xfId="0" quotePrefix="1" applyFont="1" applyBorder="1" applyAlignment="1">
      <alignment horizontal="left"/>
    </xf>
    <xf numFmtId="0" fontId="8" fillId="17" borderId="0" xfId="0" applyFont="1" applyFill="1" applyAlignment="1">
      <alignment horizontal="left"/>
    </xf>
    <xf numFmtId="0" fontId="8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" fontId="5" fillId="6" borderId="3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41" fillId="22" borderId="14" xfId="0" applyFont="1" applyFill="1" applyBorder="1" applyAlignment="1">
      <alignment horizontal="center"/>
    </xf>
    <xf numFmtId="1" fontId="5" fillId="0" borderId="8" xfId="0" applyNumberFormat="1" applyFont="1" applyBorder="1" applyAlignment="1">
      <alignment horizontal="center" vertical="center"/>
    </xf>
    <xf numFmtId="1" fontId="8" fillId="9" borderId="18" xfId="0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/>
    </xf>
    <xf numFmtId="49" fontId="31" fillId="0" borderId="0" xfId="0" applyNumberFormat="1" applyFont="1" applyAlignment="1">
      <alignment horizontal="center"/>
    </xf>
    <xf numFmtId="0" fontId="41" fillId="22" borderId="3" xfId="0" applyFont="1" applyFill="1" applyBorder="1" applyAlignment="1">
      <alignment horizontal="center"/>
    </xf>
    <xf numFmtId="1" fontId="23" fillId="0" borderId="0" xfId="0" applyNumberFormat="1" applyFont="1" applyAlignment="1">
      <alignment horizontal="center" vertical="center"/>
    </xf>
    <xf numFmtId="0" fontId="5" fillId="0" borderId="14" xfId="0" applyFont="1" applyBorder="1"/>
    <xf numFmtId="1" fontId="5" fillId="9" borderId="3" xfId="0" applyNumberFormat="1" applyFont="1" applyFill="1" applyBorder="1" applyAlignment="1">
      <alignment horizontal="center"/>
    </xf>
    <xf numFmtId="4" fontId="7" fillId="0" borderId="3" xfId="0" applyNumberFormat="1" applyFont="1" applyBorder="1" applyAlignment="1">
      <alignment horizontal="center" vertical="center"/>
    </xf>
    <xf numFmtId="4" fontId="23" fillId="0" borderId="8" xfId="0" applyNumberFormat="1" applyFont="1" applyBorder="1"/>
    <xf numFmtId="4" fontId="23" fillId="0" borderId="0" xfId="0" applyNumberFormat="1" applyFont="1"/>
    <xf numFmtId="0" fontId="5" fillId="0" borderId="8" xfId="0" applyFont="1" applyBorder="1"/>
    <xf numFmtId="165" fontId="9" fillId="6" borderId="3" xfId="0" applyNumberFormat="1" applyFont="1" applyFill="1" applyBorder="1" applyAlignment="1">
      <alignment horizontal="center"/>
    </xf>
    <xf numFmtId="165" fontId="8" fillId="22" borderId="10" xfId="0" applyNumberFormat="1" applyFont="1" applyFill="1" applyBorder="1" applyAlignment="1">
      <alignment horizontal="left"/>
    </xf>
    <xf numFmtId="0" fontId="8" fillId="18" borderId="0" xfId="0" applyFont="1" applyFill="1" applyAlignment="1">
      <alignment horizontal="left"/>
    </xf>
    <xf numFmtId="0" fontId="5" fillId="0" borderId="0" xfId="0" quotePrefix="1" applyFont="1" applyAlignment="1">
      <alignment horizontal="left"/>
    </xf>
    <xf numFmtId="0" fontId="8" fillId="22" borderId="0" xfId="0" quotePrefix="1" applyFont="1" applyFill="1" applyAlignment="1">
      <alignment horizontal="left"/>
    </xf>
    <xf numFmtId="165" fontId="8" fillId="17" borderId="0" xfId="0" quotePrefix="1" applyNumberFormat="1" applyFont="1" applyFill="1" applyAlignment="1">
      <alignment horizontal="left" wrapText="1"/>
    </xf>
    <xf numFmtId="1" fontId="32" fillId="16" borderId="0" xfId="0" quotePrefix="1" applyNumberFormat="1" applyFont="1" applyFill="1" applyAlignment="1">
      <alignment wrapText="1"/>
    </xf>
    <xf numFmtId="1" fontId="5" fillId="0" borderId="0" xfId="0" quotePrefix="1" applyNumberFormat="1" applyFont="1" applyAlignment="1">
      <alignment horizontal="left"/>
    </xf>
    <xf numFmtId="165" fontId="29" fillId="0" borderId="0" xfId="0" quotePrefix="1" applyNumberFormat="1" applyFont="1" applyAlignment="1">
      <alignment horizontal="left"/>
    </xf>
    <xf numFmtId="4" fontId="9" fillId="11" borderId="13" xfId="0" applyNumberFormat="1" applyFont="1" applyFill="1" applyBorder="1" applyAlignment="1">
      <alignment horizontal="center" vertical="center" wrapText="1"/>
    </xf>
    <xf numFmtId="0" fontId="30" fillId="0" borderId="2" xfId="0" quotePrefix="1" applyFont="1" applyBorder="1"/>
    <xf numFmtId="165" fontId="8" fillId="17" borderId="0" xfId="0" quotePrefix="1" applyNumberFormat="1" applyFont="1" applyFill="1" applyAlignment="1">
      <alignment horizontal="left"/>
    </xf>
    <xf numFmtId="165" fontId="8" fillId="22" borderId="9" xfId="0" quotePrefix="1" applyNumberFormat="1" applyFont="1" applyFill="1" applyBorder="1" applyAlignment="1">
      <alignment horizontal="left"/>
    </xf>
    <xf numFmtId="165" fontId="29" fillId="0" borderId="9" xfId="0" quotePrefix="1" applyNumberFormat="1" applyFont="1" applyBorder="1" applyAlignment="1">
      <alignment horizontal="left"/>
    </xf>
    <xf numFmtId="165" fontId="5" fillId="0" borderId="2" xfId="0" applyNumberFormat="1" applyFont="1" applyBorder="1" applyAlignment="1">
      <alignment horizontal="left"/>
    </xf>
    <xf numFmtId="0" fontId="9" fillId="6" borderId="3" xfId="0" applyFont="1" applyFill="1" applyBorder="1" applyAlignment="1">
      <alignment horizontal="center"/>
    </xf>
    <xf numFmtId="165" fontId="8" fillId="17" borderId="0" xfId="0" applyNumberFormat="1" applyFont="1" applyFill="1" applyAlignment="1">
      <alignment horizontal="left"/>
    </xf>
    <xf numFmtId="1" fontId="8" fillId="22" borderId="2" xfId="0" applyNumberFormat="1" applyFont="1" applyFill="1" applyBorder="1" applyAlignment="1">
      <alignment horizontal="center" vertical="center"/>
    </xf>
    <xf numFmtId="0" fontId="5" fillId="0" borderId="2" xfId="0" applyFont="1" applyBorder="1"/>
    <xf numFmtId="1" fontId="8" fillId="18" borderId="0" xfId="0" applyNumberFormat="1" applyFont="1" applyFill="1" applyAlignment="1">
      <alignment horizontal="center" vertical="center"/>
    </xf>
    <xf numFmtId="4" fontId="8" fillId="22" borderId="2" xfId="0" applyNumberFormat="1" applyFont="1" applyFill="1" applyBorder="1"/>
    <xf numFmtId="0" fontId="9" fillId="9" borderId="3" xfId="0" applyFont="1" applyFill="1" applyBorder="1" applyAlignment="1">
      <alignment horizontal="center"/>
    </xf>
  </cellXfs>
  <cellStyles count="9">
    <cellStyle name="40% - Énfasis1 2" xfId="6" xr:uid="{00000000-0005-0000-0000-000000000000}"/>
    <cellStyle name="Millares" xfId="7" builtinId="3"/>
    <cellStyle name="Normal" xfId="0" builtinId="0"/>
    <cellStyle name="Normal 2" xfId="1" xr:uid="{00000000-0005-0000-0000-000004000000}"/>
    <cellStyle name="Normal 2 2" xfId="2" xr:uid="{00000000-0005-0000-0000-000005000000}"/>
    <cellStyle name="Normal 3" xfId="3" xr:uid="{00000000-0005-0000-0000-000006000000}"/>
    <cellStyle name="Normal 4" xfId="5" xr:uid="{00000000-0005-0000-0000-000007000000}"/>
    <cellStyle name="Normal_422433110 2" xfId="8" xr:uid="{00000000-0005-0000-0000-000008000000}"/>
    <cellStyle name="Notas 2" xfId="4" xr:uid="{00000000-0005-0000-0000-000009000000}"/>
  </cellStyles>
  <dxfs count="1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2DB0A"/>
      <color rgb="FFFFFFFF"/>
      <color rgb="FFFF25C6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Álvarez Morales, Ángel David" id="{AD1DBD40-E98F-450B-B108-D8ABB672B30A}" userId="S::adalvarezm@eservicios.indra.es::e85768c1-02d4-4da1-bfcd-25daa660409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43" dT="2024-07-30T13:54:54.47" personId="{AD1DBD40-E98F-450B-B108-D8ABB672B30A}" id="{9CE536B2-C493-4A57-A867-D5C5280C86FF}">
    <text>Se repite el mismo codigo en la linea 757 y tiene cesta asignada</text>
  </threadedComment>
  <threadedComment ref="A1150" dT="2024-07-30T13:54:54.47" personId="{AD1DBD40-E98F-450B-B108-D8ABB672B30A}" id="{688717F5-8535-4D7E-AEB3-CC00AABC9FDA}">
    <text>Se repite el mismo codigo en la linea 757 y tiene cesta asignada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s.rs-online.com/web/b/schneider-electric/" TargetMode="External"/><Relationship Id="rId1" Type="http://schemas.openxmlformats.org/officeDocument/2006/relationships/hyperlink" Target="https://es.rs-online.com/web/b/schneider-electric/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HL1578"/>
  <sheetViews>
    <sheetView tabSelected="1" topLeftCell="F1" zoomScale="70" zoomScaleNormal="70" zoomScaleSheetLayoutView="70" workbookViewId="0">
      <pane ySplit="1" topLeftCell="A2" activePane="bottomLeft" state="frozen"/>
      <selection activeCell="W1" sqref="W1"/>
      <selection pane="bottomLeft" activeCell="L1" sqref="L1:HT1048576"/>
    </sheetView>
  </sheetViews>
  <sheetFormatPr baseColWidth="10" defaultColWidth="11.42578125" defaultRowHeight="15" outlineLevelRow="1" x14ac:dyDescent="0.25"/>
  <cols>
    <col min="1" max="1" width="42.140625" bestFit="1" customWidth="1"/>
    <col min="2" max="2" width="21.42578125" customWidth="1"/>
    <col min="3" max="4" width="19.28515625" customWidth="1"/>
    <col min="5" max="5" width="17.85546875" customWidth="1"/>
    <col min="6" max="6" width="87.85546875" bestFit="1" customWidth="1"/>
    <col min="7" max="7" width="50" customWidth="1"/>
    <col min="8" max="8" width="17.85546875" customWidth="1"/>
    <col min="9" max="9" width="24.7109375" customWidth="1"/>
    <col min="10" max="10" width="5.7109375" customWidth="1"/>
    <col min="11" max="11" width="14.140625" customWidth="1"/>
  </cols>
  <sheetData>
    <row r="1" spans="1:1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74" t="s">
        <v>10</v>
      </c>
    </row>
    <row r="2" spans="1:11" ht="15.75" thickBot="1" x14ac:dyDescent="0.3">
      <c r="A2" s="323" t="s">
        <v>28</v>
      </c>
      <c r="B2" s="323"/>
      <c r="C2" s="323"/>
      <c r="D2" s="323"/>
      <c r="E2" s="323"/>
      <c r="F2" s="363" t="s">
        <v>29</v>
      </c>
      <c r="G2" s="28"/>
      <c r="H2" s="363" t="s">
        <v>30</v>
      </c>
      <c r="I2" s="363" t="s">
        <v>31</v>
      </c>
      <c r="J2" s="377">
        <v>1</v>
      </c>
      <c r="K2" s="382">
        <v>2578500</v>
      </c>
    </row>
    <row r="3" spans="1:11" x14ac:dyDescent="0.25">
      <c r="A3" s="39" t="s">
        <v>37</v>
      </c>
      <c r="B3" s="39"/>
      <c r="C3" s="39"/>
      <c r="D3" s="39"/>
      <c r="E3" s="39"/>
      <c r="F3" s="28" t="s">
        <v>38</v>
      </c>
      <c r="G3" s="28"/>
      <c r="H3" s="28" t="s">
        <v>30</v>
      </c>
      <c r="I3" s="28" t="s">
        <v>31</v>
      </c>
      <c r="J3" s="40">
        <v>1</v>
      </c>
      <c r="K3" s="30">
        <v>1140000</v>
      </c>
    </row>
    <row r="4" spans="1:11" ht="60" customHeight="1" x14ac:dyDescent="0.25">
      <c r="A4" s="466" t="s">
        <v>41</v>
      </c>
      <c r="B4" s="482" t="s">
        <v>42</v>
      </c>
      <c r="C4" s="482"/>
      <c r="D4" s="466"/>
      <c r="E4" s="466"/>
      <c r="F4" s="506" t="s">
        <v>43</v>
      </c>
      <c r="G4" s="28" t="s">
        <v>44</v>
      </c>
      <c r="H4" s="28" t="s">
        <v>45</v>
      </c>
      <c r="I4" s="506" t="s">
        <v>45</v>
      </c>
      <c r="J4" s="523">
        <v>1</v>
      </c>
      <c r="K4" s="528">
        <v>480000</v>
      </c>
    </row>
    <row r="5" spans="1:11" x14ac:dyDescent="0.25">
      <c r="A5" s="39" t="s">
        <v>37</v>
      </c>
      <c r="B5" s="39"/>
      <c r="C5" s="39"/>
      <c r="D5" s="39"/>
      <c r="E5" s="39"/>
      <c r="F5" s="28" t="s">
        <v>49</v>
      </c>
      <c r="G5" s="28"/>
      <c r="H5" s="28" t="s">
        <v>50</v>
      </c>
      <c r="I5" s="28" t="s">
        <v>50</v>
      </c>
      <c r="J5" s="40">
        <v>1</v>
      </c>
      <c r="K5" s="30">
        <v>223899.6</v>
      </c>
    </row>
    <row r="6" spans="1:11" x14ac:dyDescent="0.25">
      <c r="A6" s="31" t="s">
        <v>51</v>
      </c>
      <c r="B6" s="31"/>
      <c r="C6" s="31"/>
      <c r="D6" s="31"/>
      <c r="E6" s="31"/>
      <c r="F6" s="32" t="s">
        <v>52</v>
      </c>
      <c r="G6" s="32"/>
      <c r="H6" s="32" t="s">
        <v>53</v>
      </c>
      <c r="I6" s="32" t="s">
        <v>53</v>
      </c>
      <c r="J6" s="33">
        <v>1</v>
      </c>
      <c r="K6" s="34">
        <v>180000</v>
      </c>
    </row>
    <row r="7" spans="1:11" x14ac:dyDescent="0.25">
      <c r="A7" s="31" t="s">
        <v>28</v>
      </c>
      <c r="B7" s="31">
        <v>3166035600000</v>
      </c>
      <c r="C7" s="31" t="s">
        <v>55</v>
      </c>
      <c r="D7" s="31" t="s">
        <v>55</v>
      </c>
      <c r="E7" s="31" t="s">
        <v>55</v>
      </c>
      <c r="F7" s="32" t="s">
        <v>56</v>
      </c>
      <c r="G7" s="32" t="s">
        <v>57</v>
      </c>
      <c r="H7" s="32" t="s">
        <v>58</v>
      </c>
      <c r="I7" s="32" t="s">
        <v>58</v>
      </c>
      <c r="J7" s="32">
        <v>1</v>
      </c>
      <c r="K7" s="386" t="e">
        <f>#REF!*#REF!</f>
        <v>#REF!</v>
      </c>
    </row>
    <row r="8" spans="1:11" ht="26.25" x14ac:dyDescent="0.25">
      <c r="A8" s="31" t="s">
        <v>28</v>
      </c>
      <c r="B8" s="72" t="s">
        <v>60</v>
      </c>
      <c r="C8" s="72"/>
      <c r="D8" s="31"/>
      <c r="E8" s="31"/>
      <c r="F8" s="32" t="s">
        <v>61</v>
      </c>
      <c r="G8" s="32"/>
      <c r="H8" s="32" t="s">
        <v>50</v>
      </c>
      <c r="I8" s="32" t="s">
        <v>50</v>
      </c>
      <c r="J8" s="33">
        <v>1</v>
      </c>
      <c r="K8" s="34">
        <v>108814</v>
      </c>
    </row>
    <row r="9" spans="1:11" x14ac:dyDescent="0.25">
      <c r="A9" s="31" t="s">
        <v>28</v>
      </c>
      <c r="B9" s="31">
        <v>3166097300007</v>
      </c>
      <c r="C9" s="31"/>
      <c r="D9" s="31"/>
      <c r="E9" s="31"/>
      <c r="F9" s="32" t="s">
        <v>65</v>
      </c>
      <c r="G9" s="32"/>
      <c r="H9" s="32" t="s">
        <v>50</v>
      </c>
      <c r="I9" s="32" t="s">
        <v>50</v>
      </c>
      <c r="J9" s="33">
        <v>1</v>
      </c>
      <c r="K9" s="34">
        <v>99704</v>
      </c>
    </row>
    <row r="10" spans="1:11" x14ac:dyDescent="0.25">
      <c r="A10" s="31" t="s">
        <v>28</v>
      </c>
      <c r="B10" s="71" t="s">
        <v>66</v>
      </c>
      <c r="C10" s="71"/>
      <c r="D10" s="71"/>
      <c r="E10" s="71"/>
      <c r="F10" s="32" t="s">
        <v>67</v>
      </c>
      <c r="G10" s="32" t="s">
        <v>68</v>
      </c>
      <c r="H10" s="32" t="s">
        <v>58</v>
      </c>
      <c r="I10" s="32" t="s">
        <v>58</v>
      </c>
      <c r="J10" s="33">
        <v>1</v>
      </c>
      <c r="K10" s="34">
        <v>82800</v>
      </c>
    </row>
    <row r="11" spans="1:11" x14ac:dyDescent="0.25">
      <c r="A11" s="31" t="s">
        <v>69</v>
      </c>
      <c r="B11" s="31" t="s">
        <v>70</v>
      </c>
      <c r="C11" s="31"/>
      <c r="D11" s="31"/>
      <c r="E11" s="31"/>
      <c r="F11" s="32" t="s">
        <v>71</v>
      </c>
      <c r="G11" s="32" t="s">
        <v>72</v>
      </c>
      <c r="H11" s="32" t="s">
        <v>45</v>
      </c>
      <c r="I11" s="32" t="s">
        <v>45</v>
      </c>
      <c r="J11" s="33">
        <v>1</v>
      </c>
      <c r="K11" s="34">
        <v>82432</v>
      </c>
    </row>
    <row r="12" spans="1:11" x14ac:dyDescent="0.25">
      <c r="A12" s="31" t="s">
        <v>51</v>
      </c>
      <c r="B12" s="31">
        <v>8570100000000</v>
      </c>
      <c r="C12" s="31"/>
      <c r="D12" s="31"/>
      <c r="E12" s="31"/>
      <c r="F12" s="32" t="s">
        <v>74</v>
      </c>
      <c r="G12" s="32"/>
      <c r="H12" s="32" t="s">
        <v>53</v>
      </c>
      <c r="I12" s="32" t="s">
        <v>53</v>
      </c>
      <c r="J12" s="33">
        <v>1</v>
      </c>
      <c r="K12" s="34">
        <v>69500</v>
      </c>
    </row>
    <row r="13" spans="1:11" x14ac:dyDescent="0.25">
      <c r="A13" s="31" t="s">
        <v>28</v>
      </c>
      <c r="B13" s="31">
        <v>1390700590501</v>
      </c>
      <c r="C13" s="31" t="s">
        <v>55</v>
      </c>
      <c r="D13" s="31" t="s">
        <v>55</v>
      </c>
      <c r="E13" s="31" t="s">
        <v>55</v>
      </c>
      <c r="F13" s="103" t="s">
        <v>76</v>
      </c>
      <c r="G13" s="32"/>
      <c r="H13" s="32"/>
      <c r="I13" s="32" t="s">
        <v>58</v>
      </c>
      <c r="J13" s="32">
        <v>1</v>
      </c>
      <c r="K13" s="386" t="e">
        <f>#REF!*#REF!</f>
        <v>#REF!</v>
      </c>
    </row>
    <row r="14" spans="1:11" s="301" customFormat="1" x14ac:dyDescent="0.25">
      <c r="A14" s="221" t="s">
        <v>27</v>
      </c>
      <c r="B14" s="221" t="s">
        <v>77</v>
      </c>
      <c r="C14" s="221"/>
      <c r="D14" s="304"/>
      <c r="E14" s="304"/>
      <c r="F14" s="209" t="s">
        <v>78</v>
      </c>
      <c r="G14" s="209" t="s">
        <v>79</v>
      </c>
      <c r="H14" s="209" t="s">
        <v>80</v>
      </c>
      <c r="I14" s="209" t="s">
        <v>80</v>
      </c>
      <c r="J14" s="305">
        <v>1</v>
      </c>
      <c r="K14" s="223">
        <v>60665</v>
      </c>
    </row>
    <row r="15" spans="1:11" x14ac:dyDescent="0.25">
      <c r="A15" s="51" t="s">
        <v>27</v>
      </c>
      <c r="B15" s="341" t="s">
        <v>83</v>
      </c>
      <c r="C15" s="354" t="s">
        <v>84</v>
      </c>
      <c r="D15" s="326"/>
      <c r="E15" s="326"/>
      <c r="F15" s="36" t="s">
        <v>85</v>
      </c>
      <c r="G15" s="32"/>
      <c r="H15" s="32" t="s">
        <v>80</v>
      </c>
      <c r="I15" s="32" t="s">
        <v>80</v>
      </c>
      <c r="J15" s="33">
        <v>1</v>
      </c>
      <c r="K15" s="385">
        <v>60665</v>
      </c>
    </row>
    <row r="16" spans="1:11" x14ac:dyDescent="0.25">
      <c r="A16" s="31" t="s">
        <v>28</v>
      </c>
      <c r="B16" s="31">
        <v>3166097300006</v>
      </c>
      <c r="C16" s="31"/>
      <c r="D16" s="31"/>
      <c r="E16" s="31"/>
      <c r="F16" s="32" t="s">
        <v>87</v>
      </c>
      <c r="G16" s="32"/>
      <c r="H16" s="32" t="s">
        <v>50</v>
      </c>
      <c r="I16" s="32" t="s">
        <v>50</v>
      </c>
      <c r="J16" s="33">
        <v>1</v>
      </c>
      <c r="K16" s="34">
        <v>59792</v>
      </c>
    </row>
    <row r="17" spans="1:11" x14ac:dyDescent="0.25">
      <c r="A17" s="31" t="s">
        <v>37</v>
      </c>
      <c r="B17" s="31"/>
      <c r="C17" s="31"/>
      <c r="D17" s="31"/>
      <c r="E17" s="31"/>
      <c r="F17" s="32" t="s">
        <v>88</v>
      </c>
      <c r="G17" s="32" t="s">
        <v>89</v>
      </c>
      <c r="H17" s="32" t="s">
        <v>90</v>
      </c>
      <c r="I17" s="32" t="s">
        <v>90</v>
      </c>
      <c r="J17" s="33">
        <v>2</v>
      </c>
      <c r="K17" s="34">
        <v>44400</v>
      </c>
    </row>
    <row r="18" spans="1:11" x14ac:dyDescent="0.25">
      <c r="A18" s="221" t="s">
        <v>27</v>
      </c>
      <c r="B18" s="221" t="s">
        <v>92</v>
      </c>
      <c r="C18" s="221"/>
      <c r="D18" s="304"/>
      <c r="E18" s="304"/>
      <c r="F18" s="209" t="s">
        <v>93</v>
      </c>
      <c r="G18" s="209" t="s">
        <v>94</v>
      </c>
      <c r="H18" s="209" t="s">
        <v>80</v>
      </c>
      <c r="I18" s="209" t="s">
        <v>80</v>
      </c>
      <c r="J18" s="305">
        <v>1</v>
      </c>
      <c r="K18" s="223">
        <v>38605</v>
      </c>
    </row>
    <row r="19" spans="1:11" x14ac:dyDescent="0.25">
      <c r="A19" s="126" t="s">
        <v>27</v>
      </c>
      <c r="B19" s="345" t="s">
        <v>95</v>
      </c>
      <c r="C19" s="292" t="s">
        <v>96</v>
      </c>
      <c r="D19" s="63"/>
      <c r="E19" s="63"/>
      <c r="F19" s="26" t="s">
        <v>97</v>
      </c>
      <c r="G19" s="28"/>
      <c r="H19" s="28" t="s">
        <v>80</v>
      </c>
      <c r="I19" s="28" t="s">
        <v>80</v>
      </c>
      <c r="J19" s="40">
        <v>1</v>
      </c>
      <c r="K19" s="298">
        <v>38605</v>
      </c>
    </row>
    <row r="20" spans="1:11" x14ac:dyDescent="0.25">
      <c r="A20" s="39" t="s">
        <v>28</v>
      </c>
      <c r="B20" s="39"/>
      <c r="C20" s="39"/>
      <c r="D20" s="39"/>
      <c r="E20" s="39"/>
      <c r="F20" s="28" t="s">
        <v>98</v>
      </c>
      <c r="G20" s="28"/>
      <c r="H20" s="28" t="s">
        <v>30</v>
      </c>
      <c r="I20" s="28" t="s">
        <v>31</v>
      </c>
      <c r="J20" s="40">
        <v>1</v>
      </c>
      <c r="K20" s="30">
        <v>35000</v>
      </c>
    </row>
    <row r="21" spans="1:11" x14ac:dyDescent="0.25">
      <c r="A21" s="51" t="s">
        <v>27</v>
      </c>
      <c r="B21" s="51" t="s">
        <v>100</v>
      </c>
      <c r="C21" s="51"/>
      <c r="D21" s="51"/>
      <c r="E21" s="51"/>
      <c r="F21" s="52" t="s">
        <v>101</v>
      </c>
      <c r="G21" s="52" t="s">
        <v>102</v>
      </c>
      <c r="H21" s="52" t="s">
        <v>103</v>
      </c>
      <c r="I21" s="52" t="s">
        <v>103</v>
      </c>
      <c r="J21" s="54">
        <v>3</v>
      </c>
      <c r="K21" s="38">
        <v>33000</v>
      </c>
    </row>
    <row r="22" spans="1:11" x14ac:dyDescent="0.25">
      <c r="A22" s="31" t="s">
        <v>105</v>
      </c>
      <c r="B22" s="31"/>
      <c r="C22" s="31"/>
      <c r="D22" s="31"/>
      <c r="E22" s="31"/>
      <c r="F22" s="32" t="s">
        <v>106</v>
      </c>
      <c r="G22" s="32"/>
      <c r="H22" s="32" t="s">
        <v>53</v>
      </c>
      <c r="I22" s="32" t="s">
        <v>53</v>
      </c>
      <c r="J22" s="33">
        <v>1</v>
      </c>
      <c r="K22" s="34">
        <v>29390.400000000001</v>
      </c>
    </row>
    <row r="23" spans="1:11" x14ac:dyDescent="0.25">
      <c r="A23" s="73" t="s">
        <v>108</v>
      </c>
      <c r="B23" s="273" t="s">
        <v>109</v>
      </c>
      <c r="C23" s="273"/>
      <c r="D23" s="73"/>
      <c r="E23" s="73"/>
      <c r="F23" s="32" t="s">
        <v>110</v>
      </c>
      <c r="G23" s="32" t="s">
        <v>111</v>
      </c>
      <c r="H23" s="32" t="s">
        <v>112</v>
      </c>
      <c r="I23" s="32" t="s">
        <v>113</v>
      </c>
      <c r="J23" s="33">
        <v>1</v>
      </c>
      <c r="K23" s="34">
        <v>25000</v>
      </c>
    </row>
    <row r="24" spans="1:11" x14ac:dyDescent="0.25">
      <c r="A24" s="459" t="s">
        <v>27</v>
      </c>
      <c r="B24" s="459" t="s">
        <v>116</v>
      </c>
      <c r="C24" s="459"/>
      <c r="D24" s="492"/>
      <c r="E24" s="492"/>
      <c r="F24" s="494" t="s">
        <v>117</v>
      </c>
      <c r="G24" s="494" t="s">
        <v>118</v>
      </c>
      <c r="H24" s="494" t="s">
        <v>80</v>
      </c>
      <c r="I24" s="494" t="s">
        <v>80</v>
      </c>
      <c r="J24" s="515">
        <v>1</v>
      </c>
      <c r="K24" s="387">
        <v>19854</v>
      </c>
    </row>
    <row r="25" spans="1:11" x14ac:dyDescent="0.25">
      <c r="A25" s="126" t="s">
        <v>27</v>
      </c>
      <c r="B25" s="345" t="s">
        <v>119</v>
      </c>
      <c r="C25" s="292" t="s">
        <v>120</v>
      </c>
      <c r="D25" s="63"/>
      <c r="E25" s="63"/>
      <c r="F25" s="26" t="s">
        <v>121</v>
      </c>
      <c r="G25" s="28"/>
      <c r="H25" s="28" t="s">
        <v>80</v>
      </c>
      <c r="I25" s="28" t="s">
        <v>80</v>
      </c>
      <c r="J25" s="40">
        <v>1</v>
      </c>
      <c r="K25" s="298">
        <v>19854</v>
      </c>
    </row>
    <row r="26" spans="1:11" x14ac:dyDescent="0.25">
      <c r="A26" s="71" t="s">
        <v>37</v>
      </c>
      <c r="B26" s="71" t="s">
        <v>122</v>
      </c>
      <c r="C26" s="71"/>
      <c r="D26" s="71"/>
      <c r="E26" s="71"/>
      <c r="F26" s="32" t="s">
        <v>123</v>
      </c>
      <c r="G26" s="32" t="s">
        <v>124</v>
      </c>
      <c r="H26" s="32" t="s">
        <v>125</v>
      </c>
      <c r="I26" s="32" t="s">
        <v>125</v>
      </c>
      <c r="J26" s="33">
        <v>2</v>
      </c>
      <c r="K26" s="34">
        <v>19200</v>
      </c>
    </row>
    <row r="27" spans="1:11" x14ac:dyDescent="0.25">
      <c r="A27" s="31" t="s">
        <v>108</v>
      </c>
      <c r="B27" s="71" t="s">
        <v>126</v>
      </c>
      <c r="C27" s="71"/>
      <c r="D27" s="31"/>
      <c r="E27" s="31"/>
      <c r="F27" s="32" t="s">
        <v>127</v>
      </c>
      <c r="G27" s="31" t="s">
        <v>126</v>
      </c>
      <c r="H27" s="32" t="s">
        <v>128</v>
      </c>
      <c r="I27" s="32" t="s">
        <v>129</v>
      </c>
      <c r="J27" s="33">
        <v>1</v>
      </c>
      <c r="K27" s="34">
        <v>19000</v>
      </c>
    </row>
    <row r="28" spans="1:11" x14ac:dyDescent="0.25">
      <c r="A28" s="31" t="s">
        <v>37</v>
      </c>
      <c r="B28" s="31">
        <v>9999000322010</v>
      </c>
      <c r="C28" s="31"/>
      <c r="D28" s="31"/>
      <c r="E28" s="31"/>
      <c r="F28" s="32" t="s">
        <v>132</v>
      </c>
      <c r="G28" s="32"/>
      <c r="H28" s="32" t="s">
        <v>125</v>
      </c>
      <c r="I28" s="32" t="s">
        <v>125</v>
      </c>
      <c r="J28" s="33">
        <v>1</v>
      </c>
      <c r="K28" s="34">
        <v>18000</v>
      </c>
    </row>
    <row r="29" spans="1:11" x14ac:dyDescent="0.25">
      <c r="A29" s="221" t="s">
        <v>27</v>
      </c>
      <c r="B29" s="221" t="s">
        <v>134</v>
      </c>
      <c r="C29" s="221"/>
      <c r="D29" s="304"/>
      <c r="E29" s="304"/>
      <c r="F29" s="209" t="s">
        <v>135</v>
      </c>
      <c r="G29" s="209" t="s">
        <v>136</v>
      </c>
      <c r="H29" s="209" t="s">
        <v>80</v>
      </c>
      <c r="I29" s="209" t="s">
        <v>80</v>
      </c>
      <c r="J29" s="305">
        <v>1</v>
      </c>
      <c r="K29" s="223">
        <v>16655</v>
      </c>
    </row>
    <row r="30" spans="1:11" x14ac:dyDescent="0.25">
      <c r="A30" s="126" t="s">
        <v>27</v>
      </c>
      <c r="B30" s="537" t="s">
        <v>137</v>
      </c>
      <c r="C30" s="292" t="s">
        <v>138</v>
      </c>
      <c r="D30" s="63"/>
      <c r="E30" s="63"/>
      <c r="F30" s="26" t="s">
        <v>139</v>
      </c>
      <c r="G30" s="28"/>
      <c r="H30" s="28" t="s">
        <v>80</v>
      </c>
      <c r="I30" s="28" t="s">
        <v>80</v>
      </c>
      <c r="J30" s="40">
        <v>1</v>
      </c>
      <c r="K30" s="298">
        <v>16655</v>
      </c>
    </row>
    <row r="31" spans="1:11" x14ac:dyDescent="0.25">
      <c r="A31" s="51" t="s">
        <v>27</v>
      </c>
      <c r="B31" s="126" t="s">
        <v>140</v>
      </c>
      <c r="C31" s="126"/>
      <c r="D31" s="62"/>
      <c r="E31" s="62"/>
      <c r="F31" s="9" t="s">
        <v>141</v>
      </c>
      <c r="G31" s="9" t="s">
        <v>142</v>
      </c>
      <c r="H31" s="9" t="s">
        <v>80</v>
      </c>
      <c r="I31" s="9" t="s">
        <v>80</v>
      </c>
      <c r="J31" s="60">
        <v>1</v>
      </c>
      <c r="K31" s="47">
        <v>13236</v>
      </c>
    </row>
    <row r="32" spans="1:11" x14ac:dyDescent="0.25">
      <c r="A32" s="51" t="s">
        <v>27</v>
      </c>
      <c r="B32" s="536" t="s">
        <v>144</v>
      </c>
      <c r="C32" s="292" t="s">
        <v>145</v>
      </c>
      <c r="D32" s="63"/>
      <c r="E32" s="63"/>
      <c r="F32" s="26" t="s">
        <v>146</v>
      </c>
      <c r="G32" s="28"/>
      <c r="H32" s="28" t="s">
        <v>80</v>
      </c>
      <c r="I32" s="28" t="s">
        <v>80</v>
      </c>
      <c r="J32" s="40">
        <v>1</v>
      </c>
      <c r="K32" s="298">
        <v>13236</v>
      </c>
    </row>
    <row r="33" spans="1:11" x14ac:dyDescent="0.25">
      <c r="A33" s="459" t="s">
        <v>27</v>
      </c>
      <c r="B33" s="459" t="s">
        <v>147</v>
      </c>
      <c r="C33" s="459"/>
      <c r="D33" s="492"/>
      <c r="E33" s="492"/>
      <c r="F33" s="494" t="s">
        <v>148</v>
      </c>
      <c r="G33" s="494" t="s">
        <v>149</v>
      </c>
      <c r="H33" s="494" t="s">
        <v>80</v>
      </c>
      <c r="I33" s="494" t="s">
        <v>80</v>
      </c>
      <c r="J33" s="515">
        <v>1</v>
      </c>
      <c r="K33" s="387">
        <v>11802</v>
      </c>
    </row>
    <row r="34" spans="1:11" x14ac:dyDescent="0.25">
      <c r="A34" s="51" t="s">
        <v>27</v>
      </c>
      <c r="B34" s="341" t="s">
        <v>150</v>
      </c>
      <c r="C34" s="354" t="s">
        <v>151</v>
      </c>
      <c r="D34" s="326"/>
      <c r="E34" s="326"/>
      <c r="F34" s="36" t="s">
        <v>152</v>
      </c>
      <c r="G34" s="32"/>
      <c r="H34" s="32" t="s">
        <v>80</v>
      </c>
      <c r="I34" s="32" t="s">
        <v>80</v>
      </c>
      <c r="J34" s="33">
        <v>1</v>
      </c>
      <c r="K34" s="385">
        <v>11802</v>
      </c>
    </row>
    <row r="35" spans="1:11" x14ac:dyDescent="0.25">
      <c r="A35" s="71" t="s">
        <v>41</v>
      </c>
      <c r="B35" s="71" t="s">
        <v>153</v>
      </c>
      <c r="C35" s="71"/>
      <c r="D35" s="71"/>
      <c r="E35" s="71"/>
      <c r="F35" s="32" t="s">
        <v>154</v>
      </c>
      <c r="G35" s="70" t="s">
        <v>155</v>
      </c>
      <c r="H35" s="32" t="s">
        <v>53</v>
      </c>
      <c r="I35" s="32" t="s">
        <v>53</v>
      </c>
      <c r="J35" s="33">
        <v>1</v>
      </c>
      <c r="K35" s="34">
        <v>10108.799999999999</v>
      </c>
    </row>
    <row r="36" spans="1:11" x14ac:dyDescent="0.25">
      <c r="A36" s="31" t="s">
        <v>156</v>
      </c>
      <c r="B36" s="266" t="s">
        <v>157</v>
      </c>
      <c r="C36" s="71"/>
      <c r="D36" s="71"/>
      <c r="E36" s="71"/>
      <c r="F36" s="32" t="s">
        <v>158</v>
      </c>
      <c r="G36" s="32" t="s">
        <v>159</v>
      </c>
      <c r="H36" s="32" t="s">
        <v>125</v>
      </c>
      <c r="I36" s="32" t="s">
        <v>125</v>
      </c>
      <c r="J36" s="33">
        <v>1</v>
      </c>
      <c r="K36" s="34">
        <v>8150.76</v>
      </c>
    </row>
    <row r="37" spans="1:11" x14ac:dyDescent="0.25">
      <c r="A37" s="51" t="s">
        <v>27</v>
      </c>
      <c r="B37" s="51" t="s">
        <v>163</v>
      </c>
      <c r="C37" s="51"/>
      <c r="D37" s="253"/>
      <c r="E37" s="253"/>
      <c r="F37" s="52" t="s">
        <v>164</v>
      </c>
      <c r="G37" s="52" t="s">
        <v>165</v>
      </c>
      <c r="H37" s="52" t="s">
        <v>80</v>
      </c>
      <c r="I37" s="52" t="s">
        <v>80</v>
      </c>
      <c r="J37" s="53">
        <v>1</v>
      </c>
      <c r="K37" s="38">
        <v>7941</v>
      </c>
    </row>
    <row r="38" spans="1:11" x14ac:dyDescent="0.25">
      <c r="A38" s="51" t="s">
        <v>27</v>
      </c>
      <c r="B38" s="341" t="s">
        <v>166</v>
      </c>
      <c r="C38" s="354" t="s">
        <v>167</v>
      </c>
      <c r="D38" s="326"/>
      <c r="E38" s="326"/>
      <c r="F38" s="36" t="s">
        <v>168</v>
      </c>
      <c r="G38" s="32"/>
      <c r="H38" s="32" t="s">
        <v>80</v>
      </c>
      <c r="I38" s="32" t="s">
        <v>80</v>
      </c>
      <c r="J38" s="33">
        <v>1</v>
      </c>
      <c r="K38" s="385">
        <v>7941</v>
      </c>
    </row>
    <row r="39" spans="1:11" x14ac:dyDescent="0.25">
      <c r="A39" s="39" t="s">
        <v>169</v>
      </c>
      <c r="B39" s="331" t="s">
        <v>170</v>
      </c>
      <c r="C39" s="331"/>
      <c r="D39" s="39"/>
      <c r="E39" s="39"/>
      <c r="F39" s="28" t="s">
        <v>171</v>
      </c>
      <c r="G39" s="28" t="s">
        <v>172</v>
      </c>
      <c r="H39" s="511" t="s">
        <v>173</v>
      </c>
      <c r="I39" s="28" t="s">
        <v>174</v>
      </c>
      <c r="J39" s="40">
        <v>5</v>
      </c>
      <c r="K39" s="30">
        <v>7000</v>
      </c>
    </row>
    <row r="40" spans="1:11" x14ac:dyDescent="0.25">
      <c r="A40" s="39" t="s">
        <v>108</v>
      </c>
      <c r="B40" s="331" t="s">
        <v>176</v>
      </c>
      <c r="C40" s="331"/>
      <c r="D40" s="331"/>
      <c r="E40" s="331"/>
      <c r="F40" s="28" t="s">
        <v>177</v>
      </c>
      <c r="G40" s="28" t="s">
        <v>178</v>
      </c>
      <c r="H40" s="28" t="s">
        <v>179</v>
      </c>
      <c r="I40" s="28" t="s">
        <v>180</v>
      </c>
      <c r="J40" s="40">
        <v>1</v>
      </c>
      <c r="K40" s="30">
        <v>7000</v>
      </c>
    </row>
    <row r="41" spans="1:11" x14ac:dyDescent="0.25">
      <c r="A41" s="51" t="s">
        <v>27</v>
      </c>
      <c r="B41" s="51" t="s">
        <v>181</v>
      </c>
      <c r="C41" s="51"/>
      <c r="D41" s="51"/>
      <c r="E41" s="51"/>
      <c r="F41" s="52" t="s">
        <v>182</v>
      </c>
      <c r="G41" s="52" t="s">
        <v>183</v>
      </c>
      <c r="H41" s="52" t="s">
        <v>103</v>
      </c>
      <c r="I41" s="52" t="s">
        <v>103</v>
      </c>
      <c r="J41" s="54">
        <v>3</v>
      </c>
      <c r="K41" s="38">
        <v>6600</v>
      </c>
    </row>
    <row r="42" spans="1:11" x14ac:dyDescent="0.25">
      <c r="A42" s="51" t="s">
        <v>27</v>
      </c>
      <c r="B42" s="51" t="s">
        <v>184</v>
      </c>
      <c r="C42" s="51"/>
      <c r="D42" s="51"/>
      <c r="E42" s="51"/>
      <c r="F42" s="52" t="s">
        <v>185</v>
      </c>
      <c r="G42" s="52" t="s">
        <v>186</v>
      </c>
      <c r="H42" s="52" t="s">
        <v>187</v>
      </c>
      <c r="I42" s="52" t="s">
        <v>187</v>
      </c>
      <c r="J42" s="54">
        <v>1</v>
      </c>
      <c r="K42" s="38">
        <v>6333</v>
      </c>
    </row>
    <row r="43" spans="1:11" x14ac:dyDescent="0.25">
      <c r="A43" s="31" t="s">
        <v>105</v>
      </c>
      <c r="B43" s="31"/>
      <c r="C43" s="31"/>
      <c r="D43" s="31"/>
      <c r="E43" s="31"/>
      <c r="F43" s="32" t="s">
        <v>188</v>
      </c>
      <c r="G43" s="32"/>
      <c r="H43" s="32" t="s">
        <v>53</v>
      </c>
      <c r="I43" s="32" t="s">
        <v>53</v>
      </c>
      <c r="J43" s="33">
        <v>1</v>
      </c>
      <c r="K43" s="34">
        <v>6240</v>
      </c>
    </row>
    <row r="44" spans="1:11" x14ac:dyDescent="0.25">
      <c r="A44" s="31" t="s">
        <v>37</v>
      </c>
      <c r="B44" s="71" t="s">
        <v>189</v>
      </c>
      <c r="C44" s="31"/>
      <c r="D44" s="31"/>
      <c r="E44" s="31"/>
      <c r="F44" s="32" t="s">
        <v>190</v>
      </c>
      <c r="G44" s="32" t="s">
        <v>70</v>
      </c>
      <c r="H44" s="32" t="s">
        <v>125</v>
      </c>
      <c r="I44" s="32" t="s">
        <v>125</v>
      </c>
      <c r="J44" s="33">
        <v>6</v>
      </c>
      <c r="K44" s="34">
        <v>6050</v>
      </c>
    </row>
    <row r="45" spans="1:11" x14ac:dyDescent="0.25">
      <c r="A45" s="31" t="s">
        <v>69</v>
      </c>
      <c r="B45" s="31"/>
      <c r="C45" s="31"/>
      <c r="D45" s="31"/>
      <c r="E45" s="31"/>
      <c r="F45" s="32" t="s">
        <v>192</v>
      </c>
      <c r="G45" s="32"/>
      <c r="H45" s="32" t="s">
        <v>53</v>
      </c>
      <c r="I45" s="32" t="s">
        <v>53</v>
      </c>
      <c r="J45" s="33">
        <v>1</v>
      </c>
      <c r="K45" s="34">
        <v>6000</v>
      </c>
    </row>
    <row r="46" spans="1:11" x14ac:dyDescent="0.25">
      <c r="A46" s="31" t="s">
        <v>169</v>
      </c>
      <c r="B46" s="71" t="s">
        <v>193</v>
      </c>
      <c r="C46" s="71"/>
      <c r="D46" s="31"/>
      <c r="E46" s="31"/>
      <c r="F46" s="32" t="s">
        <v>194</v>
      </c>
      <c r="G46" s="32" t="s">
        <v>195</v>
      </c>
      <c r="H46" s="203" t="s">
        <v>173</v>
      </c>
      <c r="I46" s="32" t="s">
        <v>174</v>
      </c>
      <c r="J46" s="33">
        <v>7</v>
      </c>
      <c r="K46" s="34">
        <v>5500</v>
      </c>
    </row>
    <row r="47" spans="1:11" x14ac:dyDescent="0.25">
      <c r="A47" s="31" t="s">
        <v>169</v>
      </c>
      <c r="B47" s="71" t="s">
        <v>193</v>
      </c>
      <c r="C47" s="71"/>
      <c r="D47" s="31"/>
      <c r="E47" s="31"/>
      <c r="F47" s="32" t="s">
        <v>194</v>
      </c>
      <c r="G47" s="32" t="s">
        <v>195</v>
      </c>
      <c r="H47" s="203" t="s">
        <v>173</v>
      </c>
      <c r="I47" s="32" t="s">
        <v>174</v>
      </c>
      <c r="J47" s="33">
        <v>1</v>
      </c>
      <c r="K47" s="34">
        <v>5500</v>
      </c>
    </row>
    <row r="48" spans="1:11" x14ac:dyDescent="0.25">
      <c r="A48" s="32" t="s">
        <v>169</v>
      </c>
      <c r="B48" s="71" t="s">
        <v>198</v>
      </c>
      <c r="C48" s="71"/>
      <c r="D48" s="70"/>
      <c r="E48" s="70"/>
      <c r="F48" s="31" t="s">
        <v>199</v>
      </c>
      <c r="G48" s="32"/>
      <c r="H48" s="32" t="s">
        <v>200</v>
      </c>
      <c r="I48" s="32"/>
      <c r="J48" s="33">
        <v>1</v>
      </c>
      <c r="K48" s="34">
        <v>5289.19</v>
      </c>
    </row>
    <row r="49" spans="1:11" x14ac:dyDescent="0.25">
      <c r="A49" s="51"/>
      <c r="B49" s="51"/>
      <c r="C49" s="51"/>
      <c r="D49" s="51"/>
      <c r="E49" s="51"/>
      <c r="F49" s="52" t="s">
        <v>201</v>
      </c>
      <c r="G49" s="52"/>
      <c r="H49" s="52" t="s">
        <v>80</v>
      </c>
      <c r="I49" s="52" t="s">
        <v>80</v>
      </c>
      <c r="J49" s="53">
        <v>1</v>
      </c>
      <c r="K49" s="38">
        <v>5000</v>
      </c>
    </row>
    <row r="50" spans="1:11" x14ac:dyDescent="0.25">
      <c r="A50" s="31" t="s">
        <v>37</v>
      </c>
      <c r="B50" s="71" t="s">
        <v>202</v>
      </c>
      <c r="C50" s="71"/>
      <c r="D50" s="71"/>
      <c r="E50" s="71"/>
      <c r="F50" s="32" t="s">
        <v>203</v>
      </c>
      <c r="G50" s="32" t="s">
        <v>204</v>
      </c>
      <c r="H50" s="32" t="s">
        <v>205</v>
      </c>
      <c r="I50" s="32" t="s">
        <v>205</v>
      </c>
      <c r="J50" s="33">
        <v>1</v>
      </c>
      <c r="K50" s="34">
        <v>4800</v>
      </c>
    </row>
    <row r="51" spans="1:11" x14ac:dyDescent="0.25">
      <c r="A51" s="51" t="s">
        <v>27</v>
      </c>
      <c r="B51" s="51" t="s">
        <v>206</v>
      </c>
      <c r="C51" s="51"/>
      <c r="D51" s="51"/>
      <c r="E51" s="51"/>
      <c r="F51" s="52" t="s">
        <v>207</v>
      </c>
      <c r="G51" s="52" t="s">
        <v>208</v>
      </c>
      <c r="H51" s="52" t="s">
        <v>209</v>
      </c>
      <c r="I51" s="52" t="s">
        <v>209</v>
      </c>
      <c r="J51" s="54">
        <v>3</v>
      </c>
      <c r="K51" s="38">
        <v>3800</v>
      </c>
    </row>
    <row r="52" spans="1:11" x14ac:dyDescent="0.25">
      <c r="A52" s="51" t="s">
        <v>27</v>
      </c>
      <c r="B52" s="51" t="s">
        <v>210</v>
      </c>
      <c r="C52" s="51"/>
      <c r="D52" s="253"/>
      <c r="E52" s="253"/>
      <c r="F52" s="52" t="s">
        <v>211</v>
      </c>
      <c r="G52" s="52" t="s">
        <v>212</v>
      </c>
      <c r="H52" s="52" t="s">
        <v>80</v>
      </c>
      <c r="I52" s="52" t="s">
        <v>80</v>
      </c>
      <c r="J52" s="53">
        <v>1</v>
      </c>
      <c r="K52" s="38">
        <v>3639</v>
      </c>
    </row>
    <row r="53" spans="1:11" x14ac:dyDescent="0.25">
      <c r="A53" s="51" t="s">
        <v>27</v>
      </c>
      <c r="B53" s="341" t="s">
        <v>213</v>
      </c>
      <c r="C53" s="354" t="s">
        <v>214</v>
      </c>
      <c r="D53" s="326"/>
      <c r="E53" s="326"/>
      <c r="F53" s="36" t="s">
        <v>215</v>
      </c>
      <c r="G53" s="32"/>
      <c r="H53" s="32" t="s">
        <v>80</v>
      </c>
      <c r="I53" s="32" t="s">
        <v>80</v>
      </c>
      <c r="J53" s="33">
        <v>1</v>
      </c>
      <c r="K53" s="385">
        <v>3639</v>
      </c>
    </row>
    <row r="54" spans="1:11" x14ac:dyDescent="0.25">
      <c r="A54" s="51" t="s">
        <v>156</v>
      </c>
      <c r="B54" s="51"/>
      <c r="C54" s="51"/>
      <c r="D54" s="51"/>
      <c r="E54" s="51"/>
      <c r="F54" s="52" t="s">
        <v>216</v>
      </c>
      <c r="G54" s="52"/>
      <c r="H54" s="52"/>
      <c r="I54" s="52" t="s">
        <v>53</v>
      </c>
      <c r="J54" s="53">
        <v>1</v>
      </c>
      <c r="K54" s="38">
        <v>3546</v>
      </c>
    </row>
    <row r="55" spans="1:11" x14ac:dyDescent="0.25">
      <c r="A55" s="31" t="s">
        <v>217</v>
      </c>
      <c r="B55" s="71" t="s">
        <v>218</v>
      </c>
      <c r="C55" s="71"/>
      <c r="D55" s="71"/>
      <c r="E55" s="71"/>
      <c r="F55" s="32" t="s">
        <v>219</v>
      </c>
      <c r="G55" s="32" t="s">
        <v>220</v>
      </c>
      <c r="H55" s="32" t="s">
        <v>221</v>
      </c>
      <c r="I55" s="32" t="s">
        <v>222</v>
      </c>
      <c r="J55" s="33">
        <v>8</v>
      </c>
      <c r="K55" s="34">
        <v>3374.28</v>
      </c>
    </row>
    <row r="56" spans="1:11" x14ac:dyDescent="0.25">
      <c r="A56" s="31" t="s">
        <v>217</v>
      </c>
      <c r="B56" s="71" t="s">
        <v>218</v>
      </c>
      <c r="C56" s="71"/>
      <c r="D56" s="71"/>
      <c r="E56" s="71"/>
      <c r="F56" s="278" t="s">
        <v>219</v>
      </c>
      <c r="G56" s="278" t="s">
        <v>220</v>
      </c>
      <c r="H56" s="278" t="s">
        <v>221</v>
      </c>
      <c r="I56" s="278" t="s">
        <v>222</v>
      </c>
      <c r="J56" s="291">
        <v>7</v>
      </c>
      <c r="K56" s="34">
        <v>3374.28</v>
      </c>
    </row>
    <row r="57" spans="1:11" x14ac:dyDescent="0.25">
      <c r="A57" s="31" t="s">
        <v>51</v>
      </c>
      <c r="B57" s="31"/>
      <c r="C57" s="31"/>
      <c r="D57" s="31"/>
      <c r="E57" s="31"/>
      <c r="F57" s="32" t="s">
        <v>226</v>
      </c>
      <c r="G57" s="32"/>
      <c r="H57" s="32" t="s">
        <v>53</v>
      </c>
      <c r="I57" s="32" t="s">
        <v>53</v>
      </c>
      <c r="J57" s="33">
        <v>1</v>
      </c>
      <c r="K57" s="34">
        <v>3350.88</v>
      </c>
    </row>
    <row r="58" spans="1:11" x14ac:dyDescent="0.25">
      <c r="A58" s="31" t="s">
        <v>227</v>
      </c>
      <c r="B58" s="71" t="s">
        <v>228</v>
      </c>
      <c r="C58" s="71"/>
      <c r="D58" s="71"/>
      <c r="E58" s="71"/>
      <c r="F58" s="52" t="s">
        <v>229</v>
      </c>
      <c r="G58" s="52" t="s">
        <v>230</v>
      </c>
      <c r="H58" s="52" t="s">
        <v>231</v>
      </c>
      <c r="I58" s="32"/>
      <c r="J58" s="33">
        <v>2</v>
      </c>
      <c r="K58" s="34">
        <v>3200</v>
      </c>
    </row>
    <row r="59" spans="1:11" x14ac:dyDescent="0.25">
      <c r="A59" s="51" t="s">
        <v>27</v>
      </c>
      <c r="B59" s="51" t="s">
        <v>234</v>
      </c>
      <c r="C59" s="51"/>
      <c r="D59" s="51"/>
      <c r="E59" s="51"/>
      <c r="F59" s="52" t="s">
        <v>235</v>
      </c>
      <c r="G59" s="52" t="s">
        <v>236</v>
      </c>
      <c r="H59" s="52" t="s">
        <v>237</v>
      </c>
      <c r="I59" s="52"/>
      <c r="J59" s="54">
        <v>1</v>
      </c>
      <c r="K59" s="38">
        <v>3190</v>
      </c>
    </row>
    <row r="60" spans="1:11" x14ac:dyDescent="0.25">
      <c r="A60" s="31" t="s">
        <v>105</v>
      </c>
      <c r="B60" s="31"/>
      <c r="C60" s="31"/>
      <c r="D60" s="31"/>
      <c r="E60" s="31"/>
      <c r="F60" s="32" t="s">
        <v>238</v>
      </c>
      <c r="G60" s="32"/>
      <c r="H60" s="32" t="s">
        <v>53</v>
      </c>
      <c r="I60" s="32" t="s">
        <v>53</v>
      </c>
      <c r="J60" s="33">
        <v>1</v>
      </c>
      <c r="K60" s="34">
        <v>3016</v>
      </c>
    </row>
    <row r="61" spans="1:11" x14ac:dyDescent="0.25">
      <c r="A61" s="31" t="s">
        <v>169</v>
      </c>
      <c r="B61" s="71" t="s">
        <v>239</v>
      </c>
      <c r="C61" s="71"/>
      <c r="D61" s="31"/>
      <c r="E61" s="31"/>
      <c r="F61" s="32" t="s">
        <v>240</v>
      </c>
      <c r="G61" s="32" t="s">
        <v>241</v>
      </c>
      <c r="H61" s="32" t="s">
        <v>242</v>
      </c>
      <c r="I61" s="32" t="s">
        <v>243</v>
      </c>
      <c r="J61" s="33">
        <v>2</v>
      </c>
      <c r="K61" s="34">
        <v>3000</v>
      </c>
    </row>
    <row r="62" spans="1:11" x14ac:dyDescent="0.25">
      <c r="A62" s="51" t="s">
        <v>27</v>
      </c>
      <c r="B62" s="51" t="s">
        <v>244</v>
      </c>
      <c r="C62" s="51"/>
      <c r="D62" s="51"/>
      <c r="E62" s="51"/>
      <c r="F62" s="52" t="s">
        <v>245</v>
      </c>
      <c r="G62" s="52" t="s">
        <v>246</v>
      </c>
      <c r="H62" s="52" t="s">
        <v>209</v>
      </c>
      <c r="I62" s="52" t="s">
        <v>209</v>
      </c>
      <c r="J62" s="54">
        <v>1</v>
      </c>
      <c r="K62" s="38">
        <v>3000</v>
      </c>
    </row>
    <row r="63" spans="1:11" x14ac:dyDescent="0.25">
      <c r="A63" s="31" t="s">
        <v>227</v>
      </c>
      <c r="B63" s="71" t="s">
        <v>247</v>
      </c>
      <c r="C63" s="71"/>
      <c r="D63" s="71"/>
      <c r="E63" s="71"/>
      <c r="F63" s="52" t="s">
        <v>248</v>
      </c>
      <c r="G63" s="52" t="s">
        <v>249</v>
      </c>
      <c r="H63" s="52" t="s">
        <v>231</v>
      </c>
      <c r="I63" s="32"/>
      <c r="J63" s="33">
        <v>1</v>
      </c>
      <c r="K63" s="34">
        <v>3000</v>
      </c>
    </row>
    <row r="64" spans="1:11" x14ac:dyDescent="0.25">
      <c r="A64" s="31" t="s">
        <v>217</v>
      </c>
      <c r="B64" s="71" t="s">
        <v>250</v>
      </c>
      <c r="C64" s="71"/>
      <c r="D64" s="71"/>
      <c r="E64" s="71"/>
      <c r="F64" s="32" t="s">
        <v>251</v>
      </c>
      <c r="G64" s="32" t="s">
        <v>252</v>
      </c>
      <c r="H64" s="32" t="s">
        <v>221</v>
      </c>
      <c r="I64" s="32" t="s">
        <v>222</v>
      </c>
      <c r="J64" s="33">
        <v>4</v>
      </c>
      <c r="K64" s="34">
        <v>2951.16</v>
      </c>
    </row>
    <row r="65" spans="1:11" x14ac:dyDescent="0.25">
      <c r="A65" s="31" t="s">
        <v>217</v>
      </c>
      <c r="B65" s="71" t="s">
        <v>250</v>
      </c>
      <c r="C65" s="71"/>
      <c r="D65" s="71"/>
      <c r="E65" s="71"/>
      <c r="F65" s="278" t="s">
        <v>251</v>
      </c>
      <c r="G65" s="278" t="s">
        <v>252</v>
      </c>
      <c r="H65" s="278" t="s">
        <v>221</v>
      </c>
      <c r="I65" s="278" t="s">
        <v>222</v>
      </c>
      <c r="J65" s="291">
        <v>4</v>
      </c>
      <c r="K65" s="34">
        <v>2951.16</v>
      </c>
    </row>
    <row r="66" spans="1:11" x14ac:dyDescent="0.25">
      <c r="A66" s="31" t="s">
        <v>217</v>
      </c>
      <c r="B66" s="71" t="s">
        <v>253</v>
      </c>
      <c r="C66" s="71"/>
      <c r="D66" s="71"/>
      <c r="E66" s="71"/>
      <c r="F66" s="32" t="s">
        <v>254</v>
      </c>
      <c r="G66" s="32" t="s">
        <v>255</v>
      </c>
      <c r="H66" s="32"/>
      <c r="I66" s="32" t="s">
        <v>256</v>
      </c>
      <c r="J66" s="33">
        <v>1</v>
      </c>
      <c r="K66" s="34">
        <v>2800</v>
      </c>
    </row>
    <row r="67" spans="1:11" x14ac:dyDescent="0.25">
      <c r="A67" s="324" t="s">
        <v>217</v>
      </c>
      <c r="B67" s="350" t="s">
        <v>257</v>
      </c>
      <c r="C67" s="350"/>
      <c r="D67" s="350"/>
      <c r="E67" s="350"/>
      <c r="F67" s="364" t="s">
        <v>258</v>
      </c>
      <c r="G67" s="364" t="s">
        <v>259</v>
      </c>
      <c r="H67" s="364" t="s">
        <v>260</v>
      </c>
      <c r="I67" s="364" t="s">
        <v>256</v>
      </c>
      <c r="J67" s="40">
        <v>0</v>
      </c>
      <c r="K67" s="30">
        <v>2800</v>
      </c>
    </row>
    <row r="68" spans="1:11" x14ac:dyDescent="0.25">
      <c r="A68" s="324" t="s">
        <v>156</v>
      </c>
      <c r="B68" s="339" t="s">
        <v>261</v>
      </c>
      <c r="C68" s="350"/>
      <c r="D68" s="324"/>
      <c r="E68" s="324"/>
      <c r="F68" s="364" t="s">
        <v>262</v>
      </c>
      <c r="G68" s="364" t="s">
        <v>263</v>
      </c>
      <c r="H68" s="364" t="s">
        <v>125</v>
      </c>
      <c r="I68" s="364" t="s">
        <v>125</v>
      </c>
      <c r="J68" s="378">
        <v>6</v>
      </c>
      <c r="K68" s="383">
        <v>2500</v>
      </c>
    </row>
    <row r="69" spans="1:11" x14ac:dyDescent="0.25">
      <c r="A69" s="39" t="s">
        <v>217</v>
      </c>
      <c r="B69" s="331" t="s">
        <v>264</v>
      </c>
      <c r="C69" s="331"/>
      <c r="D69" s="331"/>
      <c r="E69" s="331"/>
      <c r="F69" s="28" t="s">
        <v>265</v>
      </c>
      <c r="G69" s="28" t="s">
        <v>266</v>
      </c>
      <c r="H69" s="28" t="s">
        <v>267</v>
      </c>
      <c r="I69" s="28" t="s">
        <v>268</v>
      </c>
      <c r="J69" s="40">
        <v>1</v>
      </c>
      <c r="K69" s="30">
        <v>2500</v>
      </c>
    </row>
    <row r="70" spans="1:11" x14ac:dyDescent="0.25">
      <c r="A70" s="31" t="s">
        <v>108</v>
      </c>
      <c r="B70" s="71" t="s">
        <v>269</v>
      </c>
      <c r="C70" s="31"/>
      <c r="D70" s="31"/>
      <c r="E70" s="31"/>
      <c r="F70" s="32" t="s">
        <v>270</v>
      </c>
      <c r="G70" s="32" t="s">
        <v>271</v>
      </c>
      <c r="H70" s="32" t="s">
        <v>272</v>
      </c>
      <c r="I70" s="32" t="s">
        <v>272</v>
      </c>
      <c r="J70" s="33">
        <v>1</v>
      </c>
      <c r="K70" s="34">
        <v>2500</v>
      </c>
    </row>
    <row r="71" spans="1:11" x14ac:dyDescent="0.25">
      <c r="A71" s="32" t="s">
        <v>227</v>
      </c>
      <c r="B71" s="70" t="s">
        <v>275</v>
      </c>
      <c r="C71" s="70"/>
      <c r="D71" s="70"/>
      <c r="E71" s="70"/>
      <c r="F71" s="52" t="s">
        <v>276</v>
      </c>
      <c r="G71" s="52" t="s">
        <v>277</v>
      </c>
      <c r="H71" s="52" t="s">
        <v>278</v>
      </c>
      <c r="I71" s="32"/>
      <c r="J71" s="33">
        <v>1</v>
      </c>
      <c r="K71" s="34">
        <v>2300</v>
      </c>
    </row>
    <row r="72" spans="1:11" x14ac:dyDescent="0.25">
      <c r="A72" s="51" t="s">
        <v>156</v>
      </c>
      <c r="B72" s="51"/>
      <c r="C72" s="51"/>
      <c r="D72" s="51"/>
      <c r="E72" s="51"/>
      <c r="F72" s="52" t="s">
        <v>279</v>
      </c>
      <c r="G72" s="52"/>
      <c r="H72" s="52"/>
      <c r="I72" s="52" t="s">
        <v>53</v>
      </c>
      <c r="J72" s="53">
        <v>1</v>
      </c>
      <c r="K72" s="38">
        <v>2288</v>
      </c>
    </row>
    <row r="73" spans="1:11" x14ac:dyDescent="0.25">
      <c r="A73" s="31" t="s">
        <v>227</v>
      </c>
      <c r="B73" s="71" t="s">
        <v>280</v>
      </c>
      <c r="C73" s="71"/>
      <c r="D73" s="71"/>
      <c r="E73" s="71"/>
      <c r="F73" s="52" t="s">
        <v>281</v>
      </c>
      <c r="G73" s="52" t="s">
        <v>282</v>
      </c>
      <c r="H73" s="52" t="s">
        <v>231</v>
      </c>
      <c r="I73" s="32"/>
      <c r="J73" s="33" t="s">
        <v>283</v>
      </c>
      <c r="K73" s="34">
        <v>2200</v>
      </c>
    </row>
    <row r="74" spans="1:11" x14ac:dyDescent="0.25">
      <c r="A74" s="31" t="s">
        <v>51</v>
      </c>
      <c r="B74" s="31"/>
      <c r="C74" s="31"/>
      <c r="D74" s="31"/>
      <c r="E74" s="31"/>
      <c r="F74" s="32" t="s">
        <v>284</v>
      </c>
      <c r="G74" s="32"/>
      <c r="H74" s="32" t="s">
        <v>53</v>
      </c>
      <c r="I74" s="32" t="s">
        <v>53</v>
      </c>
      <c r="J74" s="33">
        <v>1</v>
      </c>
      <c r="K74" s="34">
        <v>2106</v>
      </c>
    </row>
    <row r="75" spans="1:11" x14ac:dyDescent="0.25">
      <c r="A75" s="31" t="s">
        <v>69</v>
      </c>
      <c r="B75" s="31"/>
      <c r="C75" s="31"/>
      <c r="D75" s="31"/>
      <c r="E75" s="31"/>
      <c r="F75" s="32" t="s">
        <v>285</v>
      </c>
      <c r="G75" s="32"/>
      <c r="H75" s="32" t="s">
        <v>53</v>
      </c>
      <c r="I75" s="32" t="s">
        <v>53</v>
      </c>
      <c r="J75" s="33">
        <v>1</v>
      </c>
      <c r="K75" s="34">
        <v>2000</v>
      </c>
    </row>
    <row r="76" spans="1:11" x14ac:dyDescent="0.25">
      <c r="A76" s="51" t="s">
        <v>286</v>
      </c>
      <c r="B76" s="126" t="s">
        <v>287</v>
      </c>
      <c r="C76" s="126"/>
      <c r="D76" s="126"/>
      <c r="E76" s="126"/>
      <c r="F76" s="9" t="s">
        <v>288</v>
      </c>
      <c r="G76" s="9" t="s">
        <v>289</v>
      </c>
      <c r="H76" s="9" t="s">
        <v>58</v>
      </c>
      <c r="I76" s="9"/>
      <c r="J76" s="61">
        <v>1</v>
      </c>
      <c r="K76" s="47">
        <v>2000</v>
      </c>
    </row>
    <row r="77" spans="1:11" x14ac:dyDescent="0.25">
      <c r="A77" s="31" t="s">
        <v>217</v>
      </c>
      <c r="B77" s="331" t="s">
        <v>290</v>
      </c>
      <c r="C77" s="331"/>
      <c r="D77" s="331"/>
      <c r="E77" s="331"/>
      <c r="F77" s="28" t="s">
        <v>291</v>
      </c>
      <c r="G77" s="28" t="s">
        <v>292</v>
      </c>
      <c r="H77" s="28" t="s">
        <v>267</v>
      </c>
      <c r="I77" s="28"/>
      <c r="J77" s="40">
        <v>1</v>
      </c>
      <c r="K77" s="30">
        <v>2000</v>
      </c>
    </row>
    <row r="78" spans="1:11" x14ac:dyDescent="0.25">
      <c r="A78" s="31" t="s">
        <v>51</v>
      </c>
      <c r="B78" s="31"/>
      <c r="C78" s="31"/>
      <c r="D78" s="31"/>
      <c r="E78" s="31"/>
      <c r="F78" s="32" t="s">
        <v>293</v>
      </c>
      <c r="G78" s="32"/>
      <c r="H78" s="32" t="s">
        <v>53</v>
      </c>
      <c r="I78" s="32" t="s">
        <v>53</v>
      </c>
      <c r="J78" s="33">
        <v>1</v>
      </c>
      <c r="K78" s="34">
        <v>1946.88</v>
      </c>
    </row>
    <row r="79" spans="1:11" x14ac:dyDescent="0.25">
      <c r="A79" s="32" t="s">
        <v>169</v>
      </c>
      <c r="B79" s="331" t="s">
        <v>294</v>
      </c>
      <c r="C79" s="331"/>
      <c r="D79" s="127"/>
      <c r="E79" s="127"/>
      <c r="F79" s="28" t="s">
        <v>295</v>
      </c>
      <c r="G79" s="28" t="s">
        <v>296</v>
      </c>
      <c r="H79" s="28" t="s">
        <v>297</v>
      </c>
      <c r="I79" s="28"/>
      <c r="J79" s="40">
        <v>1</v>
      </c>
      <c r="K79" s="30">
        <v>1871.67</v>
      </c>
    </row>
    <row r="80" spans="1:11" x14ac:dyDescent="0.25">
      <c r="A80" s="52" t="s">
        <v>298</v>
      </c>
      <c r="B80" s="127" t="s">
        <v>299</v>
      </c>
      <c r="C80" s="127"/>
      <c r="D80" s="127"/>
      <c r="E80" s="127"/>
      <c r="F80" s="28" t="s">
        <v>300</v>
      </c>
      <c r="G80" s="127" t="s">
        <v>299</v>
      </c>
      <c r="H80" s="9"/>
      <c r="I80" s="28" t="s">
        <v>301</v>
      </c>
      <c r="J80" s="61">
        <v>5</v>
      </c>
      <c r="K80" s="47">
        <v>1800</v>
      </c>
    </row>
    <row r="81" spans="1:11" x14ac:dyDescent="0.25">
      <c r="A81" s="31" t="s">
        <v>156</v>
      </c>
      <c r="B81" s="266" t="s">
        <v>304</v>
      </c>
      <c r="C81" s="71"/>
      <c r="D81" s="71"/>
      <c r="E81" s="71"/>
      <c r="F81" s="32" t="s">
        <v>305</v>
      </c>
      <c r="G81" s="32" t="s">
        <v>306</v>
      </c>
      <c r="H81" s="32" t="s">
        <v>125</v>
      </c>
      <c r="I81" s="32" t="s">
        <v>125</v>
      </c>
      <c r="J81" s="33">
        <v>1</v>
      </c>
      <c r="K81" s="34">
        <v>1680.8</v>
      </c>
    </row>
    <row r="82" spans="1:11" x14ac:dyDescent="0.25">
      <c r="A82" s="51" t="s">
        <v>27</v>
      </c>
      <c r="B82" s="126" t="s">
        <v>307</v>
      </c>
      <c r="C82" s="126"/>
      <c r="D82" s="126"/>
      <c r="E82" s="126"/>
      <c r="F82" s="9" t="s">
        <v>308</v>
      </c>
      <c r="G82" s="9" t="s">
        <v>309</v>
      </c>
      <c r="H82" s="9" t="s">
        <v>310</v>
      </c>
      <c r="I82" s="9"/>
      <c r="J82" s="61">
        <v>1</v>
      </c>
      <c r="K82" s="47">
        <v>1595</v>
      </c>
    </row>
    <row r="83" spans="1:11" x14ac:dyDescent="0.25">
      <c r="A83" s="51" t="s">
        <v>27</v>
      </c>
      <c r="B83" s="126" t="s">
        <v>311</v>
      </c>
      <c r="C83" s="126"/>
      <c r="D83" s="126"/>
      <c r="E83" s="126"/>
      <c r="F83" s="9" t="s">
        <v>312</v>
      </c>
      <c r="G83" s="9" t="s">
        <v>313</v>
      </c>
      <c r="H83" s="9" t="s">
        <v>209</v>
      </c>
      <c r="I83" s="9" t="s">
        <v>209</v>
      </c>
      <c r="J83" s="61">
        <v>2</v>
      </c>
      <c r="K83" s="47">
        <v>1585</v>
      </c>
    </row>
    <row r="84" spans="1:11" x14ac:dyDescent="0.25">
      <c r="A84" s="32" t="s">
        <v>314</v>
      </c>
      <c r="B84" s="70" t="s">
        <v>315</v>
      </c>
      <c r="C84" s="70"/>
      <c r="D84" s="70"/>
      <c r="E84" s="70"/>
      <c r="F84" s="31" t="s">
        <v>316</v>
      </c>
      <c r="G84" s="32" t="s">
        <v>317</v>
      </c>
      <c r="H84" s="32" t="s">
        <v>318</v>
      </c>
      <c r="I84" s="32"/>
      <c r="J84" s="33">
        <v>8</v>
      </c>
      <c r="K84" s="34">
        <v>1500</v>
      </c>
    </row>
    <row r="85" spans="1:11" x14ac:dyDescent="0.25">
      <c r="A85" s="32" t="s">
        <v>314</v>
      </c>
      <c r="B85" s="70" t="s">
        <v>315</v>
      </c>
      <c r="C85" s="70"/>
      <c r="D85" s="70"/>
      <c r="E85" s="70"/>
      <c r="F85" s="31" t="s">
        <v>316</v>
      </c>
      <c r="G85" s="32" t="s">
        <v>317</v>
      </c>
      <c r="H85" s="32" t="s">
        <v>318</v>
      </c>
      <c r="I85" s="32"/>
      <c r="J85" s="33">
        <v>2</v>
      </c>
      <c r="K85" s="34">
        <v>1500</v>
      </c>
    </row>
    <row r="86" spans="1:11" x14ac:dyDescent="0.25">
      <c r="A86" s="31" t="s">
        <v>217</v>
      </c>
      <c r="B86" s="71" t="s">
        <v>319</v>
      </c>
      <c r="C86" s="71"/>
      <c r="D86" s="71"/>
      <c r="E86" s="71"/>
      <c r="F86" s="32" t="s">
        <v>320</v>
      </c>
      <c r="G86" s="32" t="s">
        <v>321</v>
      </c>
      <c r="H86" s="32" t="s">
        <v>322</v>
      </c>
      <c r="I86" s="32" t="s">
        <v>322</v>
      </c>
      <c r="J86" s="33">
        <v>1</v>
      </c>
      <c r="K86" s="34">
        <v>1500</v>
      </c>
    </row>
    <row r="87" spans="1:11" x14ac:dyDescent="0.25">
      <c r="A87" s="51" t="s">
        <v>298</v>
      </c>
      <c r="B87" s="191" t="s">
        <v>323</v>
      </c>
      <c r="C87" s="191"/>
      <c r="D87" s="51"/>
      <c r="E87" s="51"/>
      <c r="F87" s="52" t="s">
        <v>324</v>
      </c>
      <c r="G87" s="51" t="s">
        <v>325</v>
      </c>
      <c r="H87" s="9"/>
      <c r="I87" s="9" t="s">
        <v>326</v>
      </c>
      <c r="J87" s="61">
        <v>1</v>
      </c>
      <c r="K87" s="47">
        <v>1470</v>
      </c>
    </row>
    <row r="88" spans="1:11" x14ac:dyDescent="0.25">
      <c r="A88" s="32" t="s">
        <v>169</v>
      </c>
      <c r="B88" s="71" t="s">
        <v>327</v>
      </c>
      <c r="C88" s="71"/>
      <c r="D88" s="70"/>
      <c r="E88" s="70"/>
      <c r="F88" s="32" t="s">
        <v>328</v>
      </c>
      <c r="G88" s="32" t="s">
        <v>329</v>
      </c>
      <c r="H88" s="28" t="s">
        <v>297</v>
      </c>
      <c r="I88" s="28"/>
      <c r="J88" s="40">
        <v>3</v>
      </c>
      <c r="K88" s="30">
        <v>1272</v>
      </c>
    </row>
    <row r="89" spans="1:11" x14ac:dyDescent="0.25">
      <c r="A89" s="32" t="s">
        <v>314</v>
      </c>
      <c r="B89" s="70" t="s">
        <v>330</v>
      </c>
      <c r="C89" s="70"/>
      <c r="D89" s="70"/>
      <c r="E89" s="70"/>
      <c r="F89" s="31" t="s">
        <v>331</v>
      </c>
      <c r="G89" s="32" t="s">
        <v>332</v>
      </c>
      <c r="H89" s="28" t="s">
        <v>318</v>
      </c>
      <c r="I89" s="28"/>
      <c r="J89" s="40">
        <v>6</v>
      </c>
      <c r="K89" s="30">
        <v>1200</v>
      </c>
    </row>
    <row r="90" spans="1:11" x14ac:dyDescent="0.25">
      <c r="A90" s="32" t="s">
        <v>169</v>
      </c>
      <c r="B90" s="71" t="s">
        <v>333</v>
      </c>
      <c r="C90" s="71"/>
      <c r="D90" s="70"/>
      <c r="E90" s="70"/>
      <c r="F90" s="32" t="s">
        <v>334</v>
      </c>
      <c r="G90" s="32" t="s">
        <v>335</v>
      </c>
      <c r="H90" s="28" t="s">
        <v>297</v>
      </c>
      <c r="I90" s="28"/>
      <c r="J90" s="40">
        <v>1</v>
      </c>
      <c r="K90" s="30">
        <v>1001.67</v>
      </c>
    </row>
    <row r="91" spans="1:11" x14ac:dyDescent="0.25">
      <c r="A91" s="31" t="s">
        <v>156</v>
      </c>
      <c r="B91" s="266" t="s">
        <v>336</v>
      </c>
      <c r="C91" s="71"/>
      <c r="D91" s="71"/>
      <c r="E91" s="71"/>
      <c r="F91" s="32" t="s">
        <v>337</v>
      </c>
      <c r="G91" s="32" t="s">
        <v>338</v>
      </c>
      <c r="H91" s="28" t="s">
        <v>125</v>
      </c>
      <c r="I91" s="28" t="s">
        <v>125</v>
      </c>
      <c r="J91" s="40">
        <v>2</v>
      </c>
      <c r="K91" s="30">
        <v>1000</v>
      </c>
    </row>
    <row r="92" spans="1:11" x14ac:dyDescent="0.25">
      <c r="A92" s="31" t="s">
        <v>169</v>
      </c>
      <c r="B92" s="71" t="s">
        <v>339</v>
      </c>
      <c r="C92" s="71"/>
      <c r="D92" s="71"/>
      <c r="E92" s="71"/>
      <c r="F92" s="32" t="s">
        <v>340</v>
      </c>
      <c r="G92" s="32" t="s">
        <v>341</v>
      </c>
      <c r="H92" s="28" t="s">
        <v>260</v>
      </c>
      <c r="I92" s="28"/>
      <c r="J92" s="40">
        <v>1</v>
      </c>
      <c r="K92" s="30">
        <v>1000</v>
      </c>
    </row>
    <row r="93" spans="1:11" x14ac:dyDescent="0.25">
      <c r="A93" s="31" t="s">
        <v>169</v>
      </c>
      <c r="B93" s="71" t="s">
        <v>342</v>
      </c>
      <c r="C93" s="71"/>
      <c r="D93" s="71"/>
      <c r="E93" s="71"/>
      <c r="F93" s="32" t="s">
        <v>343</v>
      </c>
      <c r="G93" s="32" t="s">
        <v>344</v>
      </c>
      <c r="H93" s="28" t="s">
        <v>260</v>
      </c>
      <c r="I93" s="28"/>
      <c r="J93" s="40">
        <v>1</v>
      </c>
      <c r="K93" s="30">
        <v>1000</v>
      </c>
    </row>
    <row r="94" spans="1:11" x14ac:dyDescent="0.25">
      <c r="A94" s="31" t="s">
        <v>156</v>
      </c>
      <c r="B94" s="266" t="s">
        <v>345</v>
      </c>
      <c r="C94" s="71"/>
      <c r="D94" s="71"/>
      <c r="E94" s="71"/>
      <c r="F94" s="32" t="s">
        <v>346</v>
      </c>
      <c r="G94" s="32" t="s">
        <v>347</v>
      </c>
      <c r="H94" s="28" t="s">
        <v>125</v>
      </c>
      <c r="I94" s="28" t="s">
        <v>125</v>
      </c>
      <c r="J94" s="40">
        <v>1</v>
      </c>
      <c r="K94" s="30">
        <v>982.26</v>
      </c>
    </row>
    <row r="95" spans="1:11" x14ac:dyDescent="0.25">
      <c r="A95" s="39" t="s">
        <v>156</v>
      </c>
      <c r="B95" s="538" t="s">
        <v>348</v>
      </c>
      <c r="C95" s="71"/>
      <c r="D95" s="331"/>
      <c r="E95" s="331"/>
      <c r="F95" s="28" t="s">
        <v>349</v>
      </c>
      <c r="G95" s="28" t="s">
        <v>350</v>
      </c>
      <c r="H95" s="28" t="s">
        <v>125</v>
      </c>
      <c r="I95" s="28" t="s">
        <v>125</v>
      </c>
      <c r="J95" s="40">
        <v>1</v>
      </c>
      <c r="K95" s="41">
        <v>927.18</v>
      </c>
    </row>
    <row r="96" spans="1:11" x14ac:dyDescent="0.25">
      <c r="A96" s="51" t="s">
        <v>27</v>
      </c>
      <c r="B96" s="51" t="s">
        <v>351</v>
      </c>
      <c r="C96" s="51"/>
      <c r="D96" s="51"/>
      <c r="E96" s="51"/>
      <c r="F96" s="52" t="s">
        <v>352</v>
      </c>
      <c r="G96" s="52" t="s">
        <v>353</v>
      </c>
      <c r="H96" s="52" t="s">
        <v>354</v>
      </c>
      <c r="I96" s="52"/>
      <c r="J96" s="54">
        <v>3</v>
      </c>
      <c r="K96" s="38">
        <v>916.5</v>
      </c>
    </row>
    <row r="97" spans="1:11" x14ac:dyDescent="0.25">
      <c r="A97" s="31" t="s">
        <v>169</v>
      </c>
      <c r="B97" s="71" t="s">
        <v>355</v>
      </c>
      <c r="C97" s="71"/>
      <c r="D97" s="71"/>
      <c r="E97" s="71"/>
      <c r="F97" s="32" t="s">
        <v>356</v>
      </c>
      <c r="G97" s="32" t="s">
        <v>357</v>
      </c>
      <c r="H97" s="32" t="s">
        <v>358</v>
      </c>
      <c r="I97" s="32" t="s">
        <v>260</v>
      </c>
      <c r="J97" s="33">
        <v>4</v>
      </c>
      <c r="K97" s="34">
        <v>859</v>
      </c>
    </row>
    <row r="98" spans="1:11" x14ac:dyDescent="0.25">
      <c r="A98" s="51" t="s">
        <v>27</v>
      </c>
      <c r="B98" s="51" t="s">
        <v>359</v>
      </c>
      <c r="C98" s="51"/>
      <c r="D98" s="51"/>
      <c r="E98" s="51"/>
      <c r="F98" s="52" t="s">
        <v>360</v>
      </c>
      <c r="G98" s="52" t="s">
        <v>361</v>
      </c>
      <c r="H98" s="52" t="s">
        <v>362</v>
      </c>
      <c r="I98" s="52"/>
      <c r="J98" s="54">
        <v>1</v>
      </c>
      <c r="K98" s="38">
        <v>850</v>
      </c>
    </row>
    <row r="99" spans="1:11" x14ac:dyDescent="0.25">
      <c r="A99" s="31" t="s">
        <v>156</v>
      </c>
      <c r="B99" s="266" t="s">
        <v>363</v>
      </c>
      <c r="C99" s="71"/>
      <c r="D99" s="71"/>
      <c r="E99" s="71"/>
      <c r="F99" s="32" t="s">
        <v>364</v>
      </c>
      <c r="G99" s="32" t="s">
        <v>365</v>
      </c>
      <c r="H99" s="32" t="s">
        <v>125</v>
      </c>
      <c r="I99" s="32" t="s">
        <v>125</v>
      </c>
      <c r="J99" s="33">
        <v>4</v>
      </c>
      <c r="K99" s="34">
        <v>800</v>
      </c>
    </row>
    <row r="100" spans="1:11" x14ac:dyDescent="0.25">
      <c r="A100" s="318" t="s">
        <v>366</v>
      </c>
      <c r="B100" s="117" t="s">
        <v>367</v>
      </c>
      <c r="C100" s="117"/>
      <c r="D100" s="117"/>
      <c r="E100" s="117"/>
      <c r="F100" s="118" t="s">
        <v>368</v>
      </c>
      <c r="G100" s="116" t="s">
        <v>369</v>
      </c>
      <c r="H100" s="118" t="s">
        <v>370</v>
      </c>
      <c r="I100" s="319"/>
      <c r="J100" s="320">
        <v>2</v>
      </c>
      <c r="K100" s="265">
        <v>800</v>
      </c>
    </row>
    <row r="101" spans="1:11" x14ac:dyDescent="0.25">
      <c r="A101" s="51" t="s">
        <v>27</v>
      </c>
      <c r="B101" s="51" t="s">
        <v>372</v>
      </c>
      <c r="C101" s="51"/>
      <c r="D101" s="51"/>
      <c r="E101" s="51"/>
      <c r="F101" s="52" t="s">
        <v>373</v>
      </c>
      <c r="G101" s="52" t="s">
        <v>374</v>
      </c>
      <c r="H101" s="52" t="s">
        <v>375</v>
      </c>
      <c r="I101" s="52" t="s">
        <v>376</v>
      </c>
      <c r="J101" s="54">
        <v>1</v>
      </c>
      <c r="K101" s="38">
        <v>723.75</v>
      </c>
    </row>
    <row r="102" spans="1:11" x14ac:dyDescent="0.25">
      <c r="A102" s="51" t="s">
        <v>27</v>
      </c>
      <c r="B102" s="51" t="s">
        <v>377</v>
      </c>
      <c r="C102" s="51"/>
      <c r="D102" s="51"/>
      <c r="E102" s="51"/>
      <c r="F102" s="52" t="s">
        <v>378</v>
      </c>
      <c r="G102" s="52" t="s">
        <v>379</v>
      </c>
      <c r="H102" s="52" t="s">
        <v>380</v>
      </c>
      <c r="I102" s="52"/>
      <c r="J102" s="54">
        <v>1</v>
      </c>
      <c r="K102" s="38">
        <v>675</v>
      </c>
    </row>
    <row r="103" spans="1:11" x14ac:dyDescent="0.25">
      <c r="A103" s="51" t="s">
        <v>27</v>
      </c>
      <c r="B103" s="51" t="s">
        <v>381</v>
      </c>
      <c r="C103" s="51"/>
      <c r="D103" s="51"/>
      <c r="E103" s="51"/>
      <c r="F103" s="52" t="s">
        <v>382</v>
      </c>
      <c r="G103" s="69" t="s">
        <v>381</v>
      </c>
      <c r="H103" s="52" t="s">
        <v>80</v>
      </c>
      <c r="I103" s="52" t="s">
        <v>80</v>
      </c>
      <c r="J103" s="54">
        <v>1</v>
      </c>
      <c r="K103" s="38">
        <v>675</v>
      </c>
    </row>
    <row r="104" spans="1:11" x14ac:dyDescent="0.25">
      <c r="A104" s="279" t="s">
        <v>27</v>
      </c>
      <c r="B104" s="279" t="s">
        <v>383</v>
      </c>
      <c r="C104" s="279"/>
      <c r="D104" s="279" t="s">
        <v>384</v>
      </c>
      <c r="E104" s="279"/>
      <c r="F104" s="280" t="s">
        <v>385</v>
      </c>
      <c r="G104" s="280" t="s">
        <v>386</v>
      </c>
      <c r="H104" s="280" t="s">
        <v>387</v>
      </c>
      <c r="I104" s="280" t="s">
        <v>376</v>
      </c>
      <c r="J104" s="281">
        <v>1</v>
      </c>
      <c r="K104" s="282">
        <v>667.12</v>
      </c>
    </row>
    <row r="105" spans="1:11" x14ac:dyDescent="0.25">
      <c r="A105" s="51" t="s">
        <v>27</v>
      </c>
      <c r="B105" s="51" t="s">
        <v>388</v>
      </c>
      <c r="C105" s="51"/>
      <c r="D105" s="51"/>
      <c r="E105" s="51"/>
      <c r="F105" s="52" t="s">
        <v>389</v>
      </c>
      <c r="G105" s="52"/>
      <c r="H105" s="52" t="s">
        <v>80</v>
      </c>
      <c r="I105" s="52" t="s">
        <v>80</v>
      </c>
      <c r="J105" s="54">
        <v>1</v>
      </c>
      <c r="K105" s="38">
        <v>650</v>
      </c>
    </row>
    <row r="106" spans="1:11" x14ac:dyDescent="0.25">
      <c r="A106" s="31" t="s">
        <v>169</v>
      </c>
      <c r="B106" s="71" t="s">
        <v>390</v>
      </c>
      <c r="C106" s="71" t="s">
        <v>391</v>
      </c>
      <c r="D106" s="71"/>
      <c r="E106" s="71"/>
      <c r="F106" s="32" t="s">
        <v>392</v>
      </c>
      <c r="G106" s="32" t="s">
        <v>393</v>
      </c>
      <c r="H106" s="32" t="s">
        <v>394</v>
      </c>
      <c r="I106" s="32"/>
      <c r="J106" s="33">
        <v>1</v>
      </c>
      <c r="K106" s="34">
        <v>640</v>
      </c>
    </row>
    <row r="107" spans="1:11" x14ac:dyDescent="0.25">
      <c r="A107" s="31" t="s">
        <v>156</v>
      </c>
      <c r="B107" s="71" t="s">
        <v>395</v>
      </c>
      <c r="C107" s="71"/>
      <c r="D107" s="71"/>
      <c r="E107" s="71"/>
      <c r="F107" s="32" t="s">
        <v>396</v>
      </c>
      <c r="G107" s="32" t="s">
        <v>397</v>
      </c>
      <c r="H107" s="32" t="s">
        <v>125</v>
      </c>
      <c r="I107" s="32" t="s">
        <v>125</v>
      </c>
      <c r="J107" s="33">
        <v>6</v>
      </c>
      <c r="K107" s="34">
        <v>600</v>
      </c>
    </row>
    <row r="108" spans="1:11" x14ac:dyDescent="0.25">
      <c r="A108" s="31" t="s">
        <v>217</v>
      </c>
      <c r="B108" s="71" t="s">
        <v>398</v>
      </c>
      <c r="C108" s="71"/>
      <c r="D108" s="71"/>
      <c r="E108" s="71"/>
      <c r="F108" s="32" t="s">
        <v>399</v>
      </c>
      <c r="G108" s="32" t="s">
        <v>400</v>
      </c>
      <c r="H108" s="32" t="s">
        <v>221</v>
      </c>
      <c r="I108" s="32" t="s">
        <v>222</v>
      </c>
      <c r="J108" s="33">
        <v>5</v>
      </c>
      <c r="K108" s="34">
        <v>600</v>
      </c>
    </row>
    <row r="109" spans="1:11" x14ac:dyDescent="0.25">
      <c r="A109" s="31" t="s">
        <v>217</v>
      </c>
      <c r="B109" s="71" t="s">
        <v>398</v>
      </c>
      <c r="C109" s="71"/>
      <c r="D109" s="71"/>
      <c r="E109" s="71"/>
      <c r="F109" s="278" t="s">
        <v>399</v>
      </c>
      <c r="G109" s="278" t="s">
        <v>400</v>
      </c>
      <c r="H109" s="278" t="s">
        <v>221</v>
      </c>
      <c r="I109" s="278" t="s">
        <v>222</v>
      </c>
      <c r="J109" s="291">
        <v>5</v>
      </c>
      <c r="K109" s="34">
        <v>600</v>
      </c>
    </row>
    <row r="110" spans="1:11" x14ac:dyDescent="0.25">
      <c r="A110" s="31" t="s">
        <v>401</v>
      </c>
      <c r="B110" s="71" t="s">
        <v>402</v>
      </c>
      <c r="C110" s="71"/>
      <c r="D110" s="71"/>
      <c r="E110" s="71"/>
      <c r="F110" s="32" t="s">
        <v>403</v>
      </c>
      <c r="G110" s="32"/>
      <c r="H110" s="32"/>
      <c r="I110" s="32"/>
      <c r="J110" s="33">
        <v>1</v>
      </c>
      <c r="K110" s="34">
        <v>600</v>
      </c>
    </row>
    <row r="111" spans="1:11" x14ac:dyDescent="0.25">
      <c r="A111" s="116" t="s">
        <v>156</v>
      </c>
      <c r="B111" s="315" t="s">
        <v>404</v>
      </c>
      <c r="C111" s="117"/>
      <c r="D111" s="117"/>
      <c r="E111" s="117"/>
      <c r="F111" s="118" t="s">
        <v>405</v>
      </c>
      <c r="G111" s="118" t="s">
        <v>406</v>
      </c>
      <c r="H111" s="118" t="s">
        <v>125</v>
      </c>
      <c r="I111" s="118" t="s">
        <v>125</v>
      </c>
      <c r="J111" s="300">
        <v>1</v>
      </c>
      <c r="K111" s="265">
        <v>600</v>
      </c>
    </row>
    <row r="112" spans="1:11" x14ac:dyDescent="0.25">
      <c r="A112" s="32" t="s">
        <v>227</v>
      </c>
      <c r="B112" s="70" t="s">
        <v>407</v>
      </c>
      <c r="C112" s="70"/>
      <c r="D112" s="70"/>
      <c r="E112" s="70"/>
      <c r="F112" s="52" t="s">
        <v>408</v>
      </c>
      <c r="G112" s="52" t="s">
        <v>409</v>
      </c>
      <c r="H112" s="52" t="s">
        <v>410</v>
      </c>
      <c r="I112" s="32"/>
      <c r="J112" s="33">
        <v>1</v>
      </c>
      <c r="K112" s="34">
        <v>600</v>
      </c>
    </row>
    <row r="113" spans="1:11" x14ac:dyDescent="0.25">
      <c r="A113" s="31" t="s">
        <v>227</v>
      </c>
      <c r="B113" s="71" t="s">
        <v>411</v>
      </c>
      <c r="C113" s="71"/>
      <c r="D113" s="71"/>
      <c r="E113" s="71"/>
      <c r="F113" s="52" t="s">
        <v>412</v>
      </c>
      <c r="G113" s="52" t="s">
        <v>413</v>
      </c>
      <c r="H113" s="52" t="s">
        <v>410</v>
      </c>
      <c r="I113" s="32"/>
      <c r="J113" s="33">
        <v>1</v>
      </c>
      <c r="K113" s="34">
        <v>600</v>
      </c>
    </row>
    <row r="114" spans="1:11" x14ac:dyDescent="0.25">
      <c r="A114" s="31" t="s">
        <v>227</v>
      </c>
      <c r="B114" s="71" t="s">
        <v>411</v>
      </c>
      <c r="C114" s="71"/>
      <c r="D114" s="71"/>
      <c r="E114" s="71"/>
      <c r="F114" s="52" t="s">
        <v>412</v>
      </c>
      <c r="G114" s="52" t="s">
        <v>414</v>
      </c>
      <c r="H114" s="52" t="s">
        <v>410</v>
      </c>
      <c r="I114" s="32"/>
      <c r="J114" s="33">
        <v>1</v>
      </c>
      <c r="K114" s="34">
        <v>600</v>
      </c>
    </row>
    <row r="115" spans="1:11" x14ac:dyDescent="0.25">
      <c r="A115" s="31" t="s">
        <v>156</v>
      </c>
      <c r="B115" s="266" t="s">
        <v>415</v>
      </c>
      <c r="C115" s="71"/>
      <c r="D115" s="71"/>
      <c r="E115" s="71"/>
      <c r="F115" s="32" t="s">
        <v>416</v>
      </c>
      <c r="G115" s="32" t="s">
        <v>417</v>
      </c>
      <c r="H115" s="32" t="s">
        <v>125</v>
      </c>
      <c r="I115" s="32" t="s">
        <v>125</v>
      </c>
      <c r="J115" s="33">
        <v>1</v>
      </c>
      <c r="K115" s="34">
        <v>591.25</v>
      </c>
    </row>
    <row r="116" spans="1:11" x14ac:dyDescent="0.25">
      <c r="A116" s="51" t="s">
        <v>27</v>
      </c>
      <c r="B116" s="51" t="s">
        <v>418</v>
      </c>
      <c r="C116" s="51"/>
      <c r="D116" s="51"/>
      <c r="E116" s="51"/>
      <c r="F116" s="52" t="s">
        <v>419</v>
      </c>
      <c r="G116" s="52" t="s">
        <v>420</v>
      </c>
      <c r="H116" s="52" t="s">
        <v>421</v>
      </c>
      <c r="I116" s="52" t="s">
        <v>421</v>
      </c>
      <c r="J116" s="54">
        <v>3</v>
      </c>
      <c r="K116" s="38">
        <v>558.47</v>
      </c>
    </row>
    <row r="117" spans="1:11" outlineLevel="1" x14ac:dyDescent="0.25">
      <c r="A117" s="51" t="s">
        <v>27</v>
      </c>
      <c r="B117" s="51" t="s">
        <v>422</v>
      </c>
      <c r="C117" s="51"/>
      <c r="D117" s="51"/>
      <c r="E117" s="51"/>
      <c r="F117" s="52" t="s">
        <v>423</v>
      </c>
      <c r="G117" s="52">
        <v>22651</v>
      </c>
      <c r="H117" s="52" t="s">
        <v>80</v>
      </c>
      <c r="I117" s="52" t="s">
        <v>80</v>
      </c>
      <c r="J117" s="54">
        <v>1</v>
      </c>
      <c r="K117" s="38">
        <v>550</v>
      </c>
    </row>
    <row r="118" spans="1:11" outlineLevel="1" x14ac:dyDescent="0.25">
      <c r="A118" s="51" t="s">
        <v>156</v>
      </c>
      <c r="B118" s="51"/>
      <c r="C118" s="51"/>
      <c r="D118" s="51"/>
      <c r="E118" s="51"/>
      <c r="F118" s="52" t="s">
        <v>424</v>
      </c>
      <c r="G118" s="52"/>
      <c r="H118" s="52"/>
      <c r="I118" s="52" t="s">
        <v>53</v>
      </c>
      <c r="J118" s="53">
        <v>1</v>
      </c>
      <c r="K118" s="38">
        <v>528.32000000000005</v>
      </c>
    </row>
    <row r="119" spans="1:11" outlineLevel="1" x14ac:dyDescent="0.25">
      <c r="A119" s="32" t="s">
        <v>169</v>
      </c>
      <c r="B119" s="70" t="s">
        <v>425</v>
      </c>
      <c r="C119" s="70"/>
      <c r="D119" s="70"/>
      <c r="E119" s="70"/>
      <c r="F119" s="31" t="s">
        <v>426</v>
      </c>
      <c r="G119" s="32" t="s">
        <v>427</v>
      </c>
      <c r="H119" s="32" t="s">
        <v>358</v>
      </c>
      <c r="I119" s="32" t="s">
        <v>260</v>
      </c>
      <c r="J119" s="33">
        <v>4</v>
      </c>
      <c r="K119" s="34">
        <v>500</v>
      </c>
    </row>
    <row r="120" spans="1:11" outlineLevel="1" x14ac:dyDescent="0.25">
      <c r="A120" s="31" t="s">
        <v>217</v>
      </c>
      <c r="B120" s="71" t="s">
        <v>429</v>
      </c>
      <c r="C120" s="71"/>
      <c r="D120" s="71"/>
      <c r="E120" s="71"/>
      <c r="F120" s="32" t="s">
        <v>430</v>
      </c>
      <c r="G120" s="32" t="s">
        <v>431</v>
      </c>
      <c r="H120" s="32" t="s">
        <v>221</v>
      </c>
      <c r="I120" s="32" t="s">
        <v>222</v>
      </c>
      <c r="J120" s="33">
        <v>1</v>
      </c>
      <c r="K120" s="34">
        <v>455.26</v>
      </c>
    </row>
    <row r="121" spans="1:11" outlineLevel="1" x14ac:dyDescent="0.25">
      <c r="A121" s="31" t="s">
        <v>217</v>
      </c>
      <c r="B121" s="71" t="s">
        <v>432</v>
      </c>
      <c r="C121" s="71"/>
      <c r="D121" s="71"/>
      <c r="E121" s="71"/>
      <c r="F121" s="32" t="s">
        <v>433</v>
      </c>
      <c r="G121" s="32" t="s">
        <v>434</v>
      </c>
      <c r="H121" s="32" t="s">
        <v>435</v>
      </c>
      <c r="I121" s="32"/>
      <c r="J121" s="33">
        <v>6</v>
      </c>
      <c r="K121" s="34">
        <v>450</v>
      </c>
    </row>
    <row r="122" spans="1:11" outlineLevel="1" x14ac:dyDescent="0.25">
      <c r="A122" s="31" t="s">
        <v>108</v>
      </c>
      <c r="B122" s="71" t="s">
        <v>436</v>
      </c>
      <c r="C122" s="71"/>
      <c r="D122" s="71"/>
      <c r="E122" s="71"/>
      <c r="F122" s="32" t="s">
        <v>437</v>
      </c>
      <c r="G122" s="32" t="s">
        <v>438</v>
      </c>
      <c r="H122" s="32" t="s">
        <v>439</v>
      </c>
      <c r="I122" s="32"/>
      <c r="J122" s="33">
        <v>1</v>
      </c>
      <c r="K122" s="34">
        <v>450</v>
      </c>
    </row>
    <row r="123" spans="1:11" outlineLevel="1" x14ac:dyDescent="0.25">
      <c r="A123" s="31" t="s">
        <v>108</v>
      </c>
      <c r="B123" s="71" t="s">
        <v>440</v>
      </c>
      <c r="C123" s="71"/>
      <c r="D123" s="71">
        <v>1138022410200</v>
      </c>
      <c r="E123" s="71"/>
      <c r="F123" s="32" t="s">
        <v>441</v>
      </c>
      <c r="G123" s="32">
        <v>2700975</v>
      </c>
      <c r="H123" s="32" t="s">
        <v>442</v>
      </c>
      <c r="I123" s="32"/>
      <c r="J123" s="33">
        <v>1</v>
      </c>
      <c r="K123" s="34">
        <v>450</v>
      </c>
    </row>
    <row r="124" spans="1:11" x14ac:dyDescent="0.25">
      <c r="A124" s="126" t="s">
        <v>27</v>
      </c>
      <c r="B124" s="126" t="s">
        <v>443</v>
      </c>
      <c r="C124" s="126"/>
      <c r="D124" s="126"/>
      <c r="E124" s="126"/>
      <c r="F124" s="9" t="s">
        <v>444</v>
      </c>
      <c r="G124" s="9" t="s">
        <v>445</v>
      </c>
      <c r="H124" s="9" t="s">
        <v>380</v>
      </c>
      <c r="I124" s="9"/>
      <c r="J124" s="61">
        <v>1</v>
      </c>
      <c r="K124" s="47">
        <v>422</v>
      </c>
    </row>
    <row r="125" spans="1:11" x14ac:dyDescent="0.25">
      <c r="A125" s="532" t="s">
        <v>366</v>
      </c>
      <c r="B125" s="127" t="s">
        <v>446</v>
      </c>
      <c r="C125" s="127"/>
      <c r="D125" s="127"/>
      <c r="E125" s="127"/>
      <c r="F125" s="28" t="s">
        <v>447</v>
      </c>
      <c r="G125" s="28" t="s">
        <v>448</v>
      </c>
      <c r="H125" s="28" t="s">
        <v>449</v>
      </c>
      <c r="I125" s="532"/>
      <c r="J125" s="549">
        <v>1</v>
      </c>
      <c r="K125" s="30">
        <v>419.95</v>
      </c>
    </row>
    <row r="126" spans="1:11" x14ac:dyDescent="0.25">
      <c r="A126" s="51"/>
      <c r="B126" s="51" t="s">
        <v>450</v>
      </c>
      <c r="C126" s="51"/>
      <c r="D126" s="51"/>
      <c r="E126" s="51"/>
      <c r="F126" s="268" t="s">
        <v>451</v>
      </c>
      <c r="G126" s="268">
        <v>600570</v>
      </c>
      <c r="H126" s="268" t="s">
        <v>452</v>
      </c>
      <c r="I126" s="52"/>
      <c r="J126" s="54">
        <v>1</v>
      </c>
      <c r="K126" s="38">
        <v>401</v>
      </c>
    </row>
    <row r="127" spans="1:11" x14ac:dyDescent="0.25">
      <c r="A127" s="31" t="s">
        <v>169</v>
      </c>
      <c r="B127" s="71" t="s">
        <v>453</v>
      </c>
      <c r="C127" s="71"/>
      <c r="D127" s="71"/>
      <c r="E127" s="71"/>
      <c r="F127" s="32" t="s">
        <v>454</v>
      </c>
      <c r="G127" s="32" t="s">
        <v>455</v>
      </c>
      <c r="H127" s="32" t="s">
        <v>456</v>
      </c>
      <c r="I127" s="32"/>
      <c r="J127" s="33">
        <v>5</v>
      </c>
      <c r="K127" s="34">
        <v>400</v>
      </c>
    </row>
    <row r="128" spans="1:11" x14ac:dyDescent="0.25">
      <c r="A128" s="51" t="s">
        <v>286</v>
      </c>
      <c r="B128" s="51" t="s">
        <v>450</v>
      </c>
      <c r="C128" s="51"/>
      <c r="D128" s="51"/>
      <c r="E128" s="51"/>
      <c r="F128" s="52" t="s">
        <v>451</v>
      </c>
      <c r="G128" s="52">
        <v>600570</v>
      </c>
      <c r="H128" s="52" t="s">
        <v>452</v>
      </c>
      <c r="I128" s="52"/>
      <c r="J128" s="54">
        <v>2</v>
      </c>
      <c r="K128" s="38">
        <v>400</v>
      </c>
    </row>
    <row r="129" spans="1:11" x14ac:dyDescent="0.25">
      <c r="A129" s="51" t="s">
        <v>27</v>
      </c>
      <c r="B129" s="51" t="s">
        <v>457</v>
      </c>
      <c r="C129" s="51"/>
      <c r="D129" s="51"/>
      <c r="E129" s="51"/>
      <c r="F129" s="52" t="s">
        <v>458</v>
      </c>
      <c r="G129" s="52" t="s">
        <v>459</v>
      </c>
      <c r="H129" s="52" t="s">
        <v>460</v>
      </c>
      <c r="I129" s="52" t="s">
        <v>461</v>
      </c>
      <c r="J129" s="54">
        <v>1</v>
      </c>
      <c r="K129" s="38">
        <v>373.09</v>
      </c>
    </row>
    <row r="130" spans="1:11" x14ac:dyDescent="0.25">
      <c r="A130" s="32" t="s">
        <v>462</v>
      </c>
      <c r="B130" s="70" t="s">
        <v>463</v>
      </c>
      <c r="C130" s="70"/>
      <c r="D130" s="70"/>
      <c r="E130" s="70"/>
      <c r="F130" s="31" t="s">
        <v>464</v>
      </c>
      <c r="G130" s="32" t="s">
        <v>465</v>
      </c>
      <c r="H130" s="32" t="s">
        <v>173</v>
      </c>
      <c r="I130" s="32"/>
      <c r="J130" s="33">
        <v>3</v>
      </c>
      <c r="K130" s="34">
        <v>350</v>
      </c>
    </row>
    <row r="131" spans="1:11" x14ac:dyDescent="0.25">
      <c r="A131" s="51" t="s">
        <v>27</v>
      </c>
      <c r="B131" s="51" t="s">
        <v>466</v>
      </c>
      <c r="C131" s="51"/>
      <c r="D131" s="51"/>
      <c r="E131" s="51"/>
      <c r="F131" s="52" t="s">
        <v>467</v>
      </c>
      <c r="G131" s="52" t="s">
        <v>468</v>
      </c>
      <c r="H131" s="52" t="s">
        <v>469</v>
      </c>
      <c r="I131" s="52" t="s">
        <v>469</v>
      </c>
      <c r="J131" s="54">
        <v>1</v>
      </c>
      <c r="K131" s="38">
        <v>331.4</v>
      </c>
    </row>
    <row r="132" spans="1:11" x14ac:dyDescent="0.25">
      <c r="A132" s="31" t="s">
        <v>105</v>
      </c>
      <c r="B132" s="31"/>
      <c r="C132" s="31"/>
      <c r="D132" s="31"/>
      <c r="E132" s="31"/>
      <c r="F132" s="32" t="s">
        <v>470</v>
      </c>
      <c r="G132" s="32"/>
      <c r="H132" s="32" t="s">
        <v>53</v>
      </c>
      <c r="I132" s="32" t="s">
        <v>53</v>
      </c>
      <c r="J132" s="33">
        <v>1</v>
      </c>
      <c r="K132" s="34">
        <v>312</v>
      </c>
    </row>
    <row r="133" spans="1:11" x14ac:dyDescent="0.25">
      <c r="A133" s="31" t="s">
        <v>105</v>
      </c>
      <c r="B133" s="31"/>
      <c r="C133" s="31"/>
      <c r="D133" s="31"/>
      <c r="E133" s="31"/>
      <c r="F133" s="32"/>
      <c r="G133" s="32"/>
      <c r="H133" s="32"/>
      <c r="I133" s="32"/>
      <c r="J133" s="33">
        <v>1</v>
      </c>
      <c r="K133" s="34">
        <v>312</v>
      </c>
    </row>
    <row r="134" spans="1:11" x14ac:dyDescent="0.25">
      <c r="A134" s="32" t="s">
        <v>169</v>
      </c>
      <c r="B134" s="70" t="s">
        <v>471</v>
      </c>
      <c r="C134" s="70"/>
      <c r="D134" s="70"/>
      <c r="E134" s="70"/>
      <c r="F134" s="31" t="s">
        <v>472</v>
      </c>
      <c r="G134" s="32" t="s">
        <v>473</v>
      </c>
      <c r="H134" s="32" t="s">
        <v>358</v>
      </c>
      <c r="I134" s="32" t="s">
        <v>260</v>
      </c>
      <c r="J134" s="33">
        <v>2</v>
      </c>
      <c r="K134" s="34">
        <v>300</v>
      </c>
    </row>
    <row r="135" spans="1:11" x14ac:dyDescent="0.25">
      <c r="A135" s="51" t="s">
        <v>474</v>
      </c>
      <c r="B135" s="51" t="s">
        <v>475</v>
      </c>
      <c r="C135" s="51"/>
      <c r="D135" s="51"/>
      <c r="E135" s="51"/>
      <c r="F135" s="32" t="s">
        <v>476</v>
      </c>
      <c r="G135" s="52" t="s">
        <v>477</v>
      </c>
      <c r="H135" s="52"/>
      <c r="I135" s="52"/>
      <c r="J135" s="54">
        <v>1</v>
      </c>
      <c r="K135" s="38">
        <v>300</v>
      </c>
    </row>
    <row r="136" spans="1:11" x14ac:dyDescent="0.25">
      <c r="A136" s="51" t="s">
        <v>474</v>
      </c>
      <c r="B136" s="51" t="s">
        <v>478</v>
      </c>
      <c r="C136" s="51"/>
      <c r="D136" s="51"/>
      <c r="E136" s="51"/>
      <c r="F136" s="32" t="s">
        <v>479</v>
      </c>
      <c r="G136" s="52" t="s">
        <v>478</v>
      </c>
      <c r="H136" s="52" t="s">
        <v>480</v>
      </c>
      <c r="I136" s="52"/>
      <c r="J136" s="54">
        <v>1</v>
      </c>
      <c r="K136" s="38">
        <v>300</v>
      </c>
    </row>
    <row r="137" spans="1:11" x14ac:dyDescent="0.25">
      <c r="A137" s="467" t="s">
        <v>366</v>
      </c>
      <c r="B137" s="71" t="s">
        <v>481</v>
      </c>
      <c r="C137" s="71"/>
      <c r="D137" s="71"/>
      <c r="E137" s="71"/>
      <c r="F137" s="32" t="s">
        <v>482</v>
      </c>
      <c r="G137" s="31" t="s">
        <v>483</v>
      </c>
      <c r="H137" s="32" t="s">
        <v>484</v>
      </c>
      <c r="I137" s="214"/>
      <c r="J137" s="215">
        <v>0</v>
      </c>
      <c r="K137" s="34">
        <v>300</v>
      </c>
    </row>
    <row r="138" spans="1:11" x14ac:dyDescent="0.25">
      <c r="A138" s="31" t="s">
        <v>314</v>
      </c>
      <c r="B138" s="71" t="s">
        <v>485</v>
      </c>
      <c r="C138" s="71"/>
      <c r="D138" s="270"/>
      <c r="E138" s="270"/>
      <c r="F138" s="271" t="s">
        <v>486</v>
      </c>
      <c r="G138" s="271" t="s">
        <v>487</v>
      </c>
      <c r="H138" s="271" t="s">
        <v>488</v>
      </c>
      <c r="I138" s="271" t="s">
        <v>461</v>
      </c>
      <c r="J138" s="272">
        <v>1</v>
      </c>
      <c r="K138" s="34">
        <v>277</v>
      </c>
    </row>
    <row r="139" spans="1:11" x14ac:dyDescent="0.25">
      <c r="A139" s="283" t="s">
        <v>314</v>
      </c>
      <c r="B139" s="283" t="s">
        <v>70</v>
      </c>
      <c r="C139" s="283"/>
      <c r="D139" s="283"/>
      <c r="E139" s="283"/>
      <c r="F139" s="285" t="s">
        <v>490</v>
      </c>
      <c r="G139" s="285" t="s">
        <v>491</v>
      </c>
      <c r="H139" s="285" t="s">
        <v>488</v>
      </c>
      <c r="I139" s="285" t="s">
        <v>461</v>
      </c>
      <c r="J139" s="286">
        <v>1</v>
      </c>
      <c r="K139" s="287">
        <v>277</v>
      </c>
    </row>
    <row r="140" spans="1:11" x14ac:dyDescent="0.25">
      <c r="A140" s="31" t="s">
        <v>314</v>
      </c>
      <c r="B140" s="71" t="s">
        <v>492</v>
      </c>
      <c r="C140" s="71"/>
      <c r="D140" s="31"/>
      <c r="E140" s="31"/>
      <c r="F140" s="32" t="s">
        <v>493</v>
      </c>
      <c r="G140" s="32" t="s">
        <v>494</v>
      </c>
      <c r="H140" s="32" t="s">
        <v>488</v>
      </c>
      <c r="I140" s="32" t="s">
        <v>461</v>
      </c>
      <c r="J140" s="33">
        <v>1</v>
      </c>
      <c r="K140" s="34">
        <v>277</v>
      </c>
    </row>
    <row r="141" spans="1:11" x14ac:dyDescent="0.25">
      <c r="A141" s="31" t="s">
        <v>314</v>
      </c>
      <c r="B141" s="71" t="s">
        <v>495</v>
      </c>
      <c r="C141" s="71"/>
      <c r="D141" s="31"/>
      <c r="E141" s="31"/>
      <c r="F141" s="32" t="s">
        <v>496</v>
      </c>
      <c r="G141" s="32" t="s">
        <v>497</v>
      </c>
      <c r="H141" s="32" t="s">
        <v>488</v>
      </c>
      <c r="I141" s="32" t="s">
        <v>461</v>
      </c>
      <c r="J141" s="33">
        <v>1</v>
      </c>
      <c r="K141" s="34">
        <v>277</v>
      </c>
    </row>
    <row r="142" spans="1:11" x14ac:dyDescent="0.25">
      <c r="A142" s="283" t="s">
        <v>314</v>
      </c>
      <c r="B142" s="284" t="s">
        <v>498</v>
      </c>
      <c r="C142" s="356" t="s">
        <v>499</v>
      </c>
      <c r="D142" s="283"/>
      <c r="E142" s="283"/>
      <c r="F142" s="285" t="s">
        <v>500</v>
      </c>
      <c r="G142" s="285" t="s">
        <v>501</v>
      </c>
      <c r="H142" s="285" t="s">
        <v>488</v>
      </c>
      <c r="I142" s="285" t="s">
        <v>461</v>
      </c>
      <c r="J142" s="286">
        <v>1</v>
      </c>
      <c r="K142" s="287">
        <v>277</v>
      </c>
    </row>
    <row r="143" spans="1:11" x14ac:dyDescent="0.25">
      <c r="A143" s="412" t="s">
        <v>286</v>
      </c>
      <c r="B143" s="413"/>
      <c r="C143" s="412"/>
      <c r="D143" s="412"/>
      <c r="E143" s="412"/>
      <c r="F143" s="155" t="s">
        <v>502</v>
      </c>
      <c r="G143" s="155" t="s">
        <v>503</v>
      </c>
      <c r="H143" s="155" t="s">
        <v>504</v>
      </c>
      <c r="I143" s="155"/>
      <c r="J143" s="156">
        <v>1</v>
      </c>
      <c r="K143" s="157">
        <v>264.70999999999998</v>
      </c>
    </row>
    <row r="144" spans="1:11" x14ac:dyDescent="0.25">
      <c r="A144" s="31" t="s">
        <v>108</v>
      </c>
      <c r="B144" s="32">
        <v>6500800135</v>
      </c>
      <c r="C144" s="31"/>
      <c r="D144" s="31"/>
      <c r="E144" s="31"/>
      <c r="F144" s="32" t="s">
        <v>506</v>
      </c>
      <c r="G144" s="32"/>
      <c r="H144" s="32" t="s">
        <v>507</v>
      </c>
      <c r="I144" s="32" t="s">
        <v>507</v>
      </c>
      <c r="J144" s="33">
        <v>1</v>
      </c>
      <c r="K144" s="157">
        <v>264.70999999999998</v>
      </c>
    </row>
    <row r="145" spans="1:11" x14ac:dyDescent="0.25">
      <c r="A145" s="32" t="s">
        <v>169</v>
      </c>
      <c r="B145" s="71" t="s">
        <v>509</v>
      </c>
      <c r="C145" s="71"/>
      <c r="D145" s="70"/>
      <c r="E145" s="70"/>
      <c r="F145" s="31" t="s">
        <v>510</v>
      </c>
      <c r="G145" s="198" t="s">
        <v>511</v>
      </c>
      <c r="H145" s="32" t="s">
        <v>200</v>
      </c>
      <c r="I145" s="32"/>
      <c r="J145" s="33">
        <v>1</v>
      </c>
      <c r="K145" s="34">
        <v>264.45</v>
      </c>
    </row>
    <row r="146" spans="1:11" x14ac:dyDescent="0.25">
      <c r="A146" s="31" t="s">
        <v>108</v>
      </c>
      <c r="B146" s="71" t="s">
        <v>512</v>
      </c>
      <c r="C146" s="71"/>
      <c r="D146" s="71"/>
      <c r="E146" s="71"/>
      <c r="F146" s="32" t="s">
        <v>513</v>
      </c>
      <c r="G146" s="32" t="s">
        <v>514</v>
      </c>
      <c r="H146" s="32" t="s">
        <v>515</v>
      </c>
      <c r="I146" s="32" t="s">
        <v>516</v>
      </c>
      <c r="J146" s="33">
        <v>8</v>
      </c>
      <c r="K146" s="34">
        <v>250</v>
      </c>
    </row>
    <row r="147" spans="1:11" x14ac:dyDescent="0.25">
      <c r="A147" s="31" t="s">
        <v>108</v>
      </c>
      <c r="B147" s="71" t="s">
        <v>517</v>
      </c>
      <c r="C147" s="71"/>
      <c r="D147" s="71"/>
      <c r="E147" s="71"/>
      <c r="F147" s="32" t="s">
        <v>518</v>
      </c>
      <c r="G147" s="31">
        <v>915437020000</v>
      </c>
      <c r="H147" s="32" t="s">
        <v>519</v>
      </c>
      <c r="I147" s="32"/>
      <c r="J147" s="33">
        <v>6</v>
      </c>
      <c r="K147" s="34">
        <v>250</v>
      </c>
    </row>
    <row r="148" spans="1:11" x14ac:dyDescent="0.25">
      <c r="A148" s="51" t="s">
        <v>27</v>
      </c>
      <c r="B148" s="51" t="s">
        <v>520</v>
      </c>
      <c r="C148" s="51"/>
      <c r="D148" s="51"/>
      <c r="E148" s="51"/>
      <c r="F148" s="52" t="s">
        <v>521</v>
      </c>
      <c r="G148" s="52" t="s">
        <v>522</v>
      </c>
      <c r="H148" s="52" t="s">
        <v>209</v>
      </c>
      <c r="I148" s="52" t="s">
        <v>209</v>
      </c>
      <c r="J148" s="54">
        <v>1</v>
      </c>
      <c r="K148" s="38">
        <v>250</v>
      </c>
    </row>
    <row r="149" spans="1:11" x14ac:dyDescent="0.25">
      <c r="A149" s="51" t="s">
        <v>286</v>
      </c>
      <c r="B149" s="51" t="s">
        <v>523</v>
      </c>
      <c r="C149" s="51"/>
      <c r="D149" s="51"/>
      <c r="E149" s="51"/>
      <c r="F149" s="52" t="s">
        <v>524</v>
      </c>
      <c r="G149" s="52" t="s">
        <v>525</v>
      </c>
      <c r="H149" s="52" t="s">
        <v>58</v>
      </c>
      <c r="I149" s="52"/>
      <c r="J149" s="54">
        <v>14</v>
      </c>
      <c r="K149" s="38">
        <v>240</v>
      </c>
    </row>
    <row r="150" spans="1:11" x14ac:dyDescent="0.25">
      <c r="A150" s="71" t="s">
        <v>217</v>
      </c>
      <c r="B150" s="71" t="s">
        <v>526</v>
      </c>
      <c r="C150" s="71"/>
      <c r="D150" s="71"/>
      <c r="E150" s="71"/>
      <c r="F150" s="32" t="s">
        <v>527</v>
      </c>
      <c r="G150" s="32" t="s">
        <v>528</v>
      </c>
      <c r="H150" s="32" t="s">
        <v>435</v>
      </c>
      <c r="I150" s="32"/>
      <c r="J150" s="33">
        <v>2</v>
      </c>
      <c r="K150" s="34">
        <v>228</v>
      </c>
    </row>
    <row r="151" spans="1:11" x14ac:dyDescent="0.25">
      <c r="A151" s="51" t="s">
        <v>27</v>
      </c>
      <c r="B151" s="51" t="s">
        <v>529</v>
      </c>
      <c r="C151" s="51"/>
      <c r="D151" s="51"/>
      <c r="E151" s="51"/>
      <c r="F151" s="52" t="s">
        <v>530</v>
      </c>
      <c r="G151" s="52" t="s">
        <v>531</v>
      </c>
      <c r="H151" s="52" t="s">
        <v>421</v>
      </c>
      <c r="I151" s="52" t="s">
        <v>421</v>
      </c>
      <c r="J151" s="54">
        <v>3</v>
      </c>
      <c r="K151" s="38">
        <v>215.75</v>
      </c>
    </row>
    <row r="152" spans="1:11" x14ac:dyDescent="0.25">
      <c r="A152" s="51" t="s">
        <v>27</v>
      </c>
      <c r="B152" s="51" t="s">
        <v>532</v>
      </c>
      <c r="C152" s="51"/>
      <c r="D152" s="51"/>
      <c r="E152" s="51"/>
      <c r="F152" s="52" t="s">
        <v>533</v>
      </c>
      <c r="G152" s="52" t="s">
        <v>534</v>
      </c>
      <c r="H152" s="52" t="s">
        <v>421</v>
      </c>
      <c r="I152" s="52" t="s">
        <v>421</v>
      </c>
      <c r="J152" s="54">
        <v>3</v>
      </c>
      <c r="K152" s="38">
        <v>210.83</v>
      </c>
    </row>
    <row r="153" spans="1:11" x14ac:dyDescent="0.25">
      <c r="A153" s="31" t="s">
        <v>169</v>
      </c>
      <c r="B153" s="71" t="s">
        <v>535</v>
      </c>
      <c r="C153" s="71"/>
      <c r="D153" s="71"/>
      <c r="E153" s="71"/>
      <c r="F153" s="71" t="s">
        <v>536</v>
      </c>
      <c r="G153" s="71" t="s">
        <v>537</v>
      </c>
      <c r="H153" s="71" t="s">
        <v>538</v>
      </c>
      <c r="I153" s="71" t="s">
        <v>173</v>
      </c>
      <c r="J153" s="33">
        <v>14</v>
      </c>
      <c r="K153" s="34">
        <v>202.68</v>
      </c>
    </row>
    <row r="154" spans="1:11" x14ac:dyDescent="0.25">
      <c r="A154" s="31" t="s">
        <v>108</v>
      </c>
      <c r="B154" s="71" t="s">
        <v>539</v>
      </c>
      <c r="C154" s="71"/>
      <c r="D154" s="71"/>
      <c r="E154" s="71"/>
      <c r="F154" s="32" t="s">
        <v>540</v>
      </c>
      <c r="G154" s="32" t="s">
        <v>541</v>
      </c>
      <c r="H154" s="32" t="s">
        <v>442</v>
      </c>
      <c r="I154" s="32"/>
      <c r="J154" s="33">
        <v>3</v>
      </c>
      <c r="K154" s="34">
        <v>200</v>
      </c>
    </row>
    <row r="155" spans="1:11" x14ac:dyDescent="0.25">
      <c r="A155" s="31" t="s">
        <v>169</v>
      </c>
      <c r="B155" s="71" t="s">
        <v>542</v>
      </c>
      <c r="C155" s="71"/>
      <c r="D155" s="71"/>
      <c r="E155" s="71"/>
      <c r="F155" s="32" t="s">
        <v>543</v>
      </c>
      <c r="G155" s="32" t="s">
        <v>544</v>
      </c>
      <c r="H155" s="32"/>
      <c r="I155" s="32"/>
      <c r="J155" s="33">
        <v>3</v>
      </c>
      <c r="K155" s="34">
        <v>200</v>
      </c>
    </row>
    <row r="156" spans="1:11" x14ac:dyDescent="0.25">
      <c r="A156" s="31" t="s">
        <v>108</v>
      </c>
      <c r="B156" s="71" t="s">
        <v>545</v>
      </c>
      <c r="C156" s="71"/>
      <c r="D156" s="71"/>
      <c r="E156" s="71"/>
      <c r="F156" s="32" t="s">
        <v>546</v>
      </c>
      <c r="G156" s="32" t="s">
        <v>547</v>
      </c>
      <c r="H156" s="32" t="s">
        <v>442</v>
      </c>
      <c r="I156" s="32"/>
      <c r="J156" s="33">
        <v>2</v>
      </c>
      <c r="K156" s="34">
        <v>200</v>
      </c>
    </row>
    <row r="157" spans="1:11" x14ac:dyDescent="0.25">
      <c r="A157" s="51" t="s">
        <v>548</v>
      </c>
      <c r="B157" s="51" t="s">
        <v>549</v>
      </c>
      <c r="C157" s="51"/>
      <c r="D157" s="51"/>
      <c r="E157" s="51"/>
      <c r="F157" s="52" t="s">
        <v>550</v>
      </c>
      <c r="G157" s="52" t="s">
        <v>551</v>
      </c>
      <c r="H157" s="52"/>
      <c r="I157" s="52"/>
      <c r="J157" s="54">
        <v>2</v>
      </c>
      <c r="K157" s="38">
        <v>200</v>
      </c>
    </row>
    <row r="158" spans="1:11" x14ac:dyDescent="0.25">
      <c r="A158" s="283" t="s">
        <v>169</v>
      </c>
      <c r="B158" s="284" t="s">
        <v>552</v>
      </c>
      <c r="C158" s="284" t="s">
        <v>553</v>
      </c>
      <c r="D158" s="284"/>
      <c r="E158" s="284"/>
      <c r="F158" s="285" t="s">
        <v>554</v>
      </c>
      <c r="G158" s="285" t="s">
        <v>555</v>
      </c>
      <c r="H158" s="285" t="s">
        <v>556</v>
      </c>
      <c r="I158" s="285"/>
      <c r="J158" s="286">
        <v>1</v>
      </c>
      <c r="K158" s="287">
        <v>200</v>
      </c>
    </row>
    <row r="159" spans="1:11" x14ac:dyDescent="0.25">
      <c r="A159" s="51" t="s">
        <v>27</v>
      </c>
      <c r="B159" s="51" t="s">
        <v>557</v>
      </c>
      <c r="C159" s="51"/>
      <c r="D159" s="51"/>
      <c r="E159" s="51"/>
      <c r="F159" s="52" t="s">
        <v>558</v>
      </c>
      <c r="G159" s="52" t="s">
        <v>559</v>
      </c>
      <c r="H159" s="52" t="s">
        <v>560</v>
      </c>
      <c r="I159" s="52"/>
      <c r="J159" s="54">
        <v>2</v>
      </c>
      <c r="K159" s="38">
        <v>193.71</v>
      </c>
    </row>
    <row r="160" spans="1:11" x14ac:dyDescent="0.25">
      <c r="A160" s="51" t="s">
        <v>27</v>
      </c>
      <c r="B160" s="51" t="s">
        <v>561</v>
      </c>
      <c r="C160" s="51"/>
      <c r="D160" s="51">
        <v>1351710230200</v>
      </c>
      <c r="E160" s="51"/>
      <c r="F160" s="52" t="s">
        <v>562</v>
      </c>
      <c r="G160" s="52" t="s">
        <v>563</v>
      </c>
      <c r="H160" s="52" t="s">
        <v>564</v>
      </c>
      <c r="I160" s="52"/>
      <c r="J160" s="54">
        <v>1</v>
      </c>
      <c r="K160" s="38">
        <v>172.78</v>
      </c>
    </row>
    <row r="161" spans="1:11" x14ac:dyDescent="0.25">
      <c r="A161" s="31" t="s">
        <v>217</v>
      </c>
      <c r="B161" s="202" t="s">
        <v>565</v>
      </c>
      <c r="C161" s="71"/>
      <c r="D161" s="71"/>
      <c r="E161" s="71"/>
      <c r="F161" s="32" t="s">
        <v>566</v>
      </c>
      <c r="G161" s="70" t="s">
        <v>565</v>
      </c>
      <c r="H161" s="32" t="s">
        <v>519</v>
      </c>
      <c r="I161" s="32" t="s">
        <v>567</v>
      </c>
      <c r="J161" s="33">
        <v>50</v>
      </c>
      <c r="K161" s="34">
        <v>164.21</v>
      </c>
    </row>
    <row r="162" spans="1:11" x14ac:dyDescent="0.25">
      <c r="A162" s="51" t="s">
        <v>27</v>
      </c>
      <c r="B162" s="51" t="s">
        <v>568</v>
      </c>
      <c r="C162" s="51"/>
      <c r="D162" s="51"/>
      <c r="E162" s="51"/>
      <c r="F162" s="52" t="s">
        <v>569</v>
      </c>
      <c r="G162" s="52" t="s">
        <v>570</v>
      </c>
      <c r="H162" s="52" t="s">
        <v>571</v>
      </c>
      <c r="I162" s="52" t="s">
        <v>571</v>
      </c>
      <c r="J162" s="54">
        <v>1</v>
      </c>
      <c r="K162" s="38">
        <v>157.43</v>
      </c>
    </row>
    <row r="163" spans="1:11" x14ac:dyDescent="0.25">
      <c r="A163" s="32" t="s">
        <v>217</v>
      </c>
      <c r="B163" s="275" t="s">
        <v>572</v>
      </c>
      <c r="C163" s="70"/>
      <c r="D163" s="70"/>
      <c r="E163" s="70"/>
      <c r="F163" s="32" t="s">
        <v>573</v>
      </c>
      <c r="G163" s="70" t="s">
        <v>572</v>
      </c>
      <c r="H163" s="32" t="s">
        <v>519</v>
      </c>
      <c r="I163" s="32" t="s">
        <v>567</v>
      </c>
      <c r="J163" s="33">
        <v>25</v>
      </c>
      <c r="K163" s="34">
        <v>154.36000000000001</v>
      </c>
    </row>
    <row r="164" spans="1:11" x14ac:dyDescent="0.25">
      <c r="A164" s="31" t="s">
        <v>217</v>
      </c>
      <c r="B164" s="202" t="s">
        <v>574</v>
      </c>
      <c r="C164" s="71"/>
      <c r="D164" s="71"/>
      <c r="E164" s="71"/>
      <c r="F164" s="32" t="s">
        <v>575</v>
      </c>
      <c r="G164" s="70" t="s">
        <v>574</v>
      </c>
      <c r="H164" s="32" t="s">
        <v>519</v>
      </c>
      <c r="I164" s="32" t="s">
        <v>567</v>
      </c>
      <c r="J164" s="33">
        <v>45</v>
      </c>
      <c r="K164" s="34">
        <v>152.77000000000001</v>
      </c>
    </row>
    <row r="165" spans="1:11" x14ac:dyDescent="0.25">
      <c r="A165" s="31" t="s">
        <v>227</v>
      </c>
      <c r="B165" s="71" t="s">
        <v>576</v>
      </c>
      <c r="C165" s="71"/>
      <c r="D165" s="71"/>
      <c r="E165" s="71"/>
      <c r="F165" s="52" t="s">
        <v>577</v>
      </c>
      <c r="G165" s="52" t="s">
        <v>578</v>
      </c>
      <c r="H165" s="52" t="s">
        <v>484</v>
      </c>
      <c r="I165" s="32"/>
      <c r="J165" s="33">
        <v>6</v>
      </c>
      <c r="K165" s="34">
        <v>150</v>
      </c>
    </row>
    <row r="166" spans="1:11" x14ac:dyDescent="0.25">
      <c r="A166" s="52" t="s">
        <v>298</v>
      </c>
      <c r="B166" s="191" t="s">
        <v>579</v>
      </c>
      <c r="C166" s="351"/>
      <c r="D166" s="51"/>
      <c r="E166" s="71"/>
      <c r="F166" s="32" t="s">
        <v>580</v>
      </c>
      <c r="G166" s="32" t="s">
        <v>581</v>
      </c>
      <c r="H166" s="32"/>
      <c r="I166" s="32" t="s">
        <v>125</v>
      </c>
      <c r="J166" s="54">
        <v>1</v>
      </c>
      <c r="K166" s="38">
        <v>150</v>
      </c>
    </row>
    <row r="167" spans="1:11" x14ac:dyDescent="0.25">
      <c r="A167" s="31" t="s">
        <v>314</v>
      </c>
      <c r="B167" s="71" t="s">
        <v>582</v>
      </c>
      <c r="C167" s="71"/>
      <c r="D167" s="71"/>
      <c r="E167" s="71"/>
      <c r="F167" s="32" t="s">
        <v>583</v>
      </c>
      <c r="G167" s="32" t="s">
        <v>584</v>
      </c>
      <c r="H167" s="32" t="s">
        <v>585</v>
      </c>
      <c r="I167" s="32" t="s">
        <v>586</v>
      </c>
      <c r="J167" s="33">
        <v>1</v>
      </c>
      <c r="K167" s="34">
        <v>140</v>
      </c>
    </row>
    <row r="168" spans="1:11" x14ac:dyDescent="0.25">
      <c r="A168" s="31" t="s">
        <v>169</v>
      </c>
      <c r="B168" s="71" t="s">
        <v>587</v>
      </c>
      <c r="C168" s="71"/>
      <c r="D168" s="71"/>
      <c r="E168" s="71"/>
      <c r="F168" s="32" t="s">
        <v>588</v>
      </c>
      <c r="G168" s="32" t="s">
        <v>589</v>
      </c>
      <c r="H168" s="32" t="s">
        <v>358</v>
      </c>
      <c r="I168" s="32" t="s">
        <v>260</v>
      </c>
      <c r="J168" s="33">
        <v>4</v>
      </c>
      <c r="K168" s="34">
        <v>134</v>
      </c>
    </row>
    <row r="169" spans="1:11" x14ac:dyDescent="0.25">
      <c r="A169" s="31" t="s">
        <v>217</v>
      </c>
      <c r="B169" s="71" t="s">
        <v>590</v>
      </c>
      <c r="C169" s="71"/>
      <c r="D169" s="71"/>
      <c r="E169" s="71"/>
      <c r="F169" s="32" t="s">
        <v>591</v>
      </c>
      <c r="G169" s="70" t="s">
        <v>592</v>
      </c>
      <c r="H169" s="32"/>
      <c r="I169" s="32"/>
      <c r="J169" s="33">
        <v>1</v>
      </c>
      <c r="K169" s="34">
        <v>130</v>
      </c>
    </row>
    <row r="170" spans="1:11" x14ac:dyDescent="0.25">
      <c r="A170" s="31" t="s">
        <v>227</v>
      </c>
      <c r="B170" s="71" t="s">
        <v>593</v>
      </c>
      <c r="C170" s="71"/>
      <c r="D170" s="71"/>
      <c r="E170" s="71"/>
      <c r="F170" s="52" t="s">
        <v>594</v>
      </c>
      <c r="G170" s="52" t="s">
        <v>595</v>
      </c>
      <c r="H170" s="52" t="s">
        <v>596</v>
      </c>
      <c r="I170" s="32"/>
      <c r="J170" s="33">
        <v>1</v>
      </c>
      <c r="K170" s="34">
        <v>130</v>
      </c>
    </row>
    <row r="171" spans="1:11" x14ac:dyDescent="0.25">
      <c r="A171" s="31" t="s">
        <v>227</v>
      </c>
      <c r="B171" s="71" t="s">
        <v>597</v>
      </c>
      <c r="C171" s="71"/>
      <c r="D171" s="71"/>
      <c r="E171" s="71"/>
      <c r="F171" s="52" t="s">
        <v>598</v>
      </c>
      <c r="G171" s="52" t="s">
        <v>599</v>
      </c>
      <c r="H171" s="52" t="s">
        <v>600</v>
      </c>
      <c r="I171" s="52" t="s">
        <v>601</v>
      </c>
      <c r="J171" s="33">
        <v>1</v>
      </c>
      <c r="K171" s="38">
        <v>125.34</v>
      </c>
    </row>
    <row r="172" spans="1:11" x14ac:dyDescent="0.25">
      <c r="A172" s="51" t="s">
        <v>27</v>
      </c>
      <c r="B172" s="51" t="s">
        <v>602</v>
      </c>
      <c r="C172" s="51"/>
      <c r="D172" s="51"/>
      <c r="E172" s="51"/>
      <c r="F172" s="52" t="s">
        <v>603</v>
      </c>
      <c r="G172" s="52" t="s">
        <v>604</v>
      </c>
      <c r="H172" s="52" t="s">
        <v>297</v>
      </c>
      <c r="I172" s="52" t="s">
        <v>297</v>
      </c>
      <c r="J172" s="54">
        <v>1</v>
      </c>
      <c r="K172" s="38">
        <v>122</v>
      </c>
    </row>
    <row r="173" spans="1:11" x14ac:dyDescent="0.25">
      <c r="A173" s="31" t="s">
        <v>169</v>
      </c>
      <c r="B173" s="71" t="s">
        <v>605</v>
      </c>
      <c r="C173" s="71"/>
      <c r="D173" s="71"/>
      <c r="E173" s="71"/>
      <c r="F173" s="32" t="s">
        <v>606</v>
      </c>
      <c r="G173" s="32" t="s">
        <v>607</v>
      </c>
      <c r="H173" s="32" t="s">
        <v>394</v>
      </c>
      <c r="I173" s="32"/>
      <c r="J173" s="33">
        <v>20</v>
      </c>
      <c r="K173" s="34">
        <v>120</v>
      </c>
    </row>
    <row r="174" spans="1:11" x14ac:dyDescent="0.25">
      <c r="A174" s="31" t="s">
        <v>169</v>
      </c>
      <c r="B174" s="71" t="s">
        <v>608</v>
      </c>
      <c r="C174" s="71"/>
      <c r="D174" s="71"/>
      <c r="E174" s="71"/>
      <c r="F174" s="32" t="s">
        <v>609</v>
      </c>
      <c r="G174" s="32" t="s">
        <v>610</v>
      </c>
      <c r="H174" s="32" t="s">
        <v>394</v>
      </c>
      <c r="I174" s="32"/>
      <c r="J174" s="33">
        <v>2</v>
      </c>
      <c r="K174" s="34">
        <v>120</v>
      </c>
    </row>
    <row r="175" spans="1:11" x14ac:dyDescent="0.25">
      <c r="A175" s="31" t="s">
        <v>169</v>
      </c>
      <c r="B175" s="71" t="s">
        <v>611</v>
      </c>
      <c r="C175" s="71"/>
      <c r="D175" s="71"/>
      <c r="E175" s="71"/>
      <c r="F175" s="32" t="s">
        <v>612</v>
      </c>
      <c r="G175" s="32" t="s">
        <v>613</v>
      </c>
      <c r="H175" s="32" t="s">
        <v>394</v>
      </c>
      <c r="I175" s="32"/>
      <c r="J175" s="33">
        <v>2</v>
      </c>
      <c r="K175" s="34">
        <v>120</v>
      </c>
    </row>
    <row r="176" spans="1:11" x14ac:dyDescent="0.25">
      <c r="A176" s="31" t="s">
        <v>227</v>
      </c>
      <c r="B176" s="71" t="s">
        <v>614</v>
      </c>
      <c r="C176" s="71"/>
      <c r="D176" s="71"/>
      <c r="E176" s="71"/>
      <c r="F176" s="52" t="s">
        <v>615</v>
      </c>
      <c r="G176" s="52" t="s">
        <v>616</v>
      </c>
      <c r="H176" s="52" t="s">
        <v>617</v>
      </c>
      <c r="I176" s="32"/>
      <c r="J176" s="33">
        <v>2</v>
      </c>
      <c r="K176" s="34">
        <v>110</v>
      </c>
    </row>
    <row r="177" spans="1:11" x14ac:dyDescent="0.25">
      <c r="A177" s="31" t="s">
        <v>169</v>
      </c>
      <c r="B177" s="71" t="s">
        <v>618</v>
      </c>
      <c r="C177" s="71"/>
      <c r="D177" s="71"/>
      <c r="E177" s="71"/>
      <c r="F177" s="32" t="s">
        <v>619</v>
      </c>
      <c r="G177" s="32" t="s">
        <v>620</v>
      </c>
      <c r="H177" s="32" t="s">
        <v>621</v>
      </c>
      <c r="I177" s="32" t="s">
        <v>622</v>
      </c>
      <c r="J177" s="33">
        <v>12</v>
      </c>
      <c r="K177" s="34">
        <v>100</v>
      </c>
    </row>
    <row r="178" spans="1:11" x14ac:dyDescent="0.25">
      <c r="A178" s="52" t="s">
        <v>298</v>
      </c>
      <c r="B178" s="69" t="s">
        <v>623</v>
      </c>
      <c r="C178" s="69"/>
      <c r="D178" s="69"/>
      <c r="E178" s="69"/>
      <c r="F178" s="32" t="s">
        <v>624</v>
      </c>
      <c r="G178" s="70" t="s">
        <v>623</v>
      </c>
      <c r="H178" s="52"/>
      <c r="I178" s="32" t="s">
        <v>301</v>
      </c>
      <c r="J178" s="54">
        <v>7</v>
      </c>
      <c r="K178" s="38">
        <v>100</v>
      </c>
    </row>
    <row r="179" spans="1:11" x14ac:dyDescent="0.25">
      <c r="A179" s="31" t="s">
        <v>169</v>
      </c>
      <c r="B179" s="71" t="s">
        <v>625</v>
      </c>
      <c r="C179" s="71"/>
      <c r="D179" s="71"/>
      <c r="E179" s="71"/>
      <c r="F179" s="32" t="s">
        <v>626</v>
      </c>
      <c r="G179" s="32" t="s">
        <v>627</v>
      </c>
      <c r="H179" s="32"/>
      <c r="I179" s="32"/>
      <c r="J179" s="33">
        <v>3</v>
      </c>
      <c r="K179" s="34">
        <v>100</v>
      </c>
    </row>
    <row r="180" spans="1:11" x14ac:dyDescent="0.25">
      <c r="A180" s="116" t="s">
        <v>156</v>
      </c>
      <c r="B180" s="315" t="s">
        <v>628</v>
      </c>
      <c r="C180" s="117"/>
      <c r="D180" s="117"/>
      <c r="E180" s="117"/>
      <c r="F180" s="118" t="s">
        <v>629</v>
      </c>
      <c r="G180" s="118" t="s">
        <v>630</v>
      </c>
      <c r="H180" s="118" t="s">
        <v>125</v>
      </c>
      <c r="I180" s="118" t="s">
        <v>125</v>
      </c>
      <c r="J180" s="300">
        <v>2</v>
      </c>
      <c r="K180" s="265">
        <v>100</v>
      </c>
    </row>
    <row r="181" spans="1:11" x14ac:dyDescent="0.25">
      <c r="A181" s="31" t="s">
        <v>227</v>
      </c>
      <c r="B181" s="71" t="s">
        <v>631</v>
      </c>
      <c r="C181" s="71"/>
      <c r="D181" s="71"/>
      <c r="E181" s="71"/>
      <c r="F181" s="52" t="s">
        <v>632</v>
      </c>
      <c r="G181" s="52" t="s">
        <v>633</v>
      </c>
      <c r="H181" s="52" t="s">
        <v>231</v>
      </c>
      <c r="I181" s="32"/>
      <c r="J181" s="33">
        <v>2</v>
      </c>
      <c r="K181" s="34">
        <v>100</v>
      </c>
    </row>
    <row r="182" spans="1:11" x14ac:dyDescent="0.25">
      <c r="A182" s="31" t="s">
        <v>108</v>
      </c>
      <c r="B182" s="71" t="s">
        <v>634</v>
      </c>
      <c r="C182" s="71"/>
      <c r="D182" s="71"/>
      <c r="E182" s="71"/>
      <c r="F182" s="32" t="s">
        <v>635</v>
      </c>
      <c r="G182" s="32"/>
      <c r="H182" s="32"/>
      <c r="I182" s="32"/>
      <c r="J182" s="33">
        <v>1</v>
      </c>
      <c r="K182" s="34">
        <v>100</v>
      </c>
    </row>
    <row r="183" spans="1:11" x14ac:dyDescent="0.25">
      <c r="A183" s="31" t="s">
        <v>108</v>
      </c>
      <c r="B183" s="71" t="s">
        <v>636</v>
      </c>
      <c r="C183" s="71"/>
      <c r="D183" s="71"/>
      <c r="E183" s="71"/>
      <c r="F183" s="32" t="s">
        <v>637</v>
      </c>
      <c r="G183" s="32" t="s">
        <v>638</v>
      </c>
      <c r="H183" s="32" t="s">
        <v>515</v>
      </c>
      <c r="I183" s="32" t="s">
        <v>516</v>
      </c>
      <c r="J183" s="33">
        <v>16</v>
      </c>
      <c r="K183" s="34">
        <v>99</v>
      </c>
    </row>
    <row r="184" spans="1:11" x14ac:dyDescent="0.25">
      <c r="A184" s="31" t="s">
        <v>108</v>
      </c>
      <c r="B184" s="71" t="s">
        <v>639</v>
      </c>
      <c r="C184" s="71"/>
      <c r="D184" s="71"/>
      <c r="E184" s="71"/>
      <c r="F184" s="32" t="s">
        <v>640</v>
      </c>
      <c r="G184" s="32" t="s">
        <v>641</v>
      </c>
      <c r="H184" s="32" t="s">
        <v>515</v>
      </c>
      <c r="I184" s="32" t="s">
        <v>516</v>
      </c>
      <c r="J184" s="33">
        <v>15</v>
      </c>
      <c r="K184" s="34">
        <v>99</v>
      </c>
    </row>
    <row r="185" spans="1:11" x14ac:dyDescent="0.25">
      <c r="A185" s="355" t="s">
        <v>108</v>
      </c>
      <c r="B185" s="353" t="s">
        <v>642</v>
      </c>
      <c r="C185" s="353"/>
      <c r="D185" s="353"/>
      <c r="E185" s="353"/>
      <c r="F185" s="336" t="s">
        <v>643</v>
      </c>
      <c r="G185" s="336" t="s">
        <v>644</v>
      </c>
      <c r="H185" s="336" t="s">
        <v>515</v>
      </c>
      <c r="I185" s="336" t="s">
        <v>516</v>
      </c>
      <c r="J185" s="84">
        <v>8</v>
      </c>
      <c r="K185" s="85">
        <v>99</v>
      </c>
    </row>
    <row r="186" spans="1:11" x14ac:dyDescent="0.25">
      <c r="A186" s="212" t="s">
        <v>108</v>
      </c>
      <c r="B186" s="212" t="s">
        <v>645</v>
      </c>
      <c r="C186" s="212"/>
      <c r="D186" s="212"/>
      <c r="E186" s="212"/>
      <c r="F186" s="199" t="s">
        <v>646</v>
      </c>
      <c r="G186" s="199" t="s">
        <v>647</v>
      </c>
      <c r="H186" s="199" t="s">
        <v>515</v>
      </c>
      <c r="I186" s="199" t="s">
        <v>516</v>
      </c>
      <c r="J186" s="200">
        <v>3</v>
      </c>
      <c r="K186" s="293">
        <v>99</v>
      </c>
    </row>
    <row r="187" spans="1:11" x14ac:dyDescent="0.25">
      <c r="A187" s="193" t="s">
        <v>27</v>
      </c>
      <c r="B187" s="193" t="s">
        <v>648</v>
      </c>
      <c r="C187" s="193"/>
      <c r="D187" s="193"/>
      <c r="E187" s="193"/>
      <c r="F187" s="194" t="s">
        <v>649</v>
      </c>
      <c r="G187" s="194" t="s">
        <v>650</v>
      </c>
      <c r="H187" s="194" t="s">
        <v>297</v>
      </c>
      <c r="I187" s="194" t="s">
        <v>297</v>
      </c>
      <c r="J187" s="529">
        <v>1</v>
      </c>
      <c r="K187" s="195">
        <v>95</v>
      </c>
    </row>
    <row r="188" spans="1:11" x14ac:dyDescent="0.25">
      <c r="A188" s="193" t="s">
        <v>27</v>
      </c>
      <c r="B188" s="193" t="s">
        <v>651</v>
      </c>
      <c r="C188" s="193"/>
      <c r="D188" s="193"/>
      <c r="E188" s="193"/>
      <c r="F188" s="194" t="s">
        <v>652</v>
      </c>
      <c r="G188" s="194">
        <v>145040045</v>
      </c>
      <c r="H188" s="194" t="s">
        <v>653</v>
      </c>
      <c r="I188" s="194" t="s">
        <v>654</v>
      </c>
      <c r="J188" s="529">
        <v>2</v>
      </c>
      <c r="K188" s="195">
        <v>92.74</v>
      </c>
    </row>
    <row r="189" spans="1:11" x14ac:dyDescent="0.25">
      <c r="A189" s="193" t="s">
        <v>286</v>
      </c>
      <c r="B189" s="193" t="s">
        <v>655</v>
      </c>
      <c r="C189" s="193"/>
      <c r="D189" s="193"/>
      <c r="E189" s="193"/>
      <c r="F189" s="194" t="s">
        <v>656</v>
      </c>
      <c r="G189" s="194" t="s">
        <v>657</v>
      </c>
      <c r="H189" s="194" t="s">
        <v>58</v>
      </c>
      <c r="I189" s="194"/>
      <c r="J189" s="529">
        <v>3</v>
      </c>
      <c r="K189" s="195">
        <v>90</v>
      </c>
    </row>
    <row r="190" spans="1:11" x14ac:dyDescent="0.25">
      <c r="A190" s="294" t="s">
        <v>27</v>
      </c>
      <c r="B190" s="294" t="s">
        <v>658</v>
      </c>
      <c r="C190" s="294"/>
      <c r="D190" s="294"/>
      <c r="E190" s="294"/>
      <c r="F190" s="369" t="s">
        <v>659</v>
      </c>
      <c r="G190" s="369" t="s">
        <v>660</v>
      </c>
      <c r="H190" s="369" t="s">
        <v>380</v>
      </c>
      <c r="I190" s="369"/>
      <c r="J190" s="524">
        <v>1</v>
      </c>
      <c r="K190" s="303">
        <v>88.62</v>
      </c>
    </row>
    <row r="191" spans="1:11" x14ac:dyDescent="0.25">
      <c r="A191" s="193" t="s">
        <v>27</v>
      </c>
      <c r="B191" s="193" t="s">
        <v>661</v>
      </c>
      <c r="C191" s="193"/>
      <c r="D191" s="193"/>
      <c r="E191" s="193"/>
      <c r="F191" s="194" t="s">
        <v>662</v>
      </c>
      <c r="G191" s="194" t="s">
        <v>663</v>
      </c>
      <c r="H191" s="194" t="s">
        <v>664</v>
      </c>
      <c r="I191" s="194" t="s">
        <v>461</v>
      </c>
      <c r="J191" s="529">
        <v>1</v>
      </c>
      <c r="K191" s="195">
        <v>85.02</v>
      </c>
    </row>
    <row r="192" spans="1:11" x14ac:dyDescent="0.25">
      <c r="A192" s="193" t="s">
        <v>286</v>
      </c>
      <c r="B192" s="294" t="s">
        <v>665</v>
      </c>
      <c r="C192" s="294"/>
      <c r="D192" s="294"/>
      <c r="E192" s="294"/>
      <c r="F192" s="369" t="s">
        <v>666</v>
      </c>
      <c r="G192" s="369">
        <v>600329</v>
      </c>
      <c r="H192" s="369" t="s">
        <v>452</v>
      </c>
      <c r="I192" s="369"/>
      <c r="J192" s="524">
        <v>12</v>
      </c>
      <c r="K192" s="303">
        <v>80</v>
      </c>
    </row>
    <row r="193" spans="1:11" x14ac:dyDescent="0.25">
      <c r="A193" s="338" t="s">
        <v>314</v>
      </c>
      <c r="B193" s="212" t="s">
        <v>667</v>
      </c>
      <c r="C193" s="539" t="s">
        <v>499</v>
      </c>
      <c r="D193" s="212"/>
      <c r="E193" s="212"/>
      <c r="F193" s="295" t="s">
        <v>668</v>
      </c>
      <c r="G193" s="295" t="s">
        <v>669</v>
      </c>
      <c r="H193" s="295"/>
      <c r="I193" s="199" t="s">
        <v>461</v>
      </c>
      <c r="J193" s="200">
        <v>4</v>
      </c>
      <c r="K193" s="293">
        <v>80</v>
      </c>
    </row>
    <row r="194" spans="1:11" x14ac:dyDescent="0.25">
      <c r="A194" s="338" t="s">
        <v>314</v>
      </c>
      <c r="B194" s="212" t="s">
        <v>671</v>
      </c>
      <c r="C194" s="359"/>
      <c r="D194" s="212"/>
      <c r="E194" s="361"/>
      <c r="F194" s="199" t="s">
        <v>672</v>
      </c>
      <c r="G194" s="199"/>
      <c r="H194" s="199"/>
      <c r="I194" s="376"/>
      <c r="J194" s="200">
        <v>36</v>
      </c>
      <c r="K194" s="293">
        <v>76.290000000000006</v>
      </c>
    </row>
    <row r="195" spans="1:11" x14ac:dyDescent="0.25">
      <c r="A195" s="126" t="s">
        <v>298</v>
      </c>
      <c r="B195" s="474" t="s">
        <v>673</v>
      </c>
      <c r="C195" s="484" t="s">
        <v>499</v>
      </c>
      <c r="D195" s="126"/>
      <c r="E195" s="126"/>
      <c r="F195" s="9" t="s">
        <v>674</v>
      </c>
      <c r="G195" s="126" t="s">
        <v>673</v>
      </c>
      <c r="H195" s="9"/>
      <c r="I195" s="9" t="s">
        <v>301</v>
      </c>
      <c r="J195" s="61">
        <v>5</v>
      </c>
      <c r="K195" s="47">
        <v>70</v>
      </c>
    </row>
    <row r="196" spans="1:11" x14ac:dyDescent="0.25">
      <c r="A196" s="39" t="s">
        <v>41</v>
      </c>
      <c r="B196" s="331" t="s">
        <v>676</v>
      </c>
      <c r="C196" s="331"/>
      <c r="D196" s="331"/>
      <c r="E196" s="331"/>
      <c r="F196" s="28" t="s">
        <v>677</v>
      </c>
      <c r="G196" s="28"/>
      <c r="H196" s="28" t="s">
        <v>678</v>
      </c>
      <c r="I196" s="28" t="s">
        <v>679</v>
      </c>
      <c r="J196" s="40">
        <v>2</v>
      </c>
      <c r="K196" s="30">
        <v>70</v>
      </c>
    </row>
    <row r="197" spans="1:11" x14ac:dyDescent="0.25">
      <c r="A197" s="126" t="s">
        <v>298</v>
      </c>
      <c r="B197" s="474" t="s">
        <v>680</v>
      </c>
      <c r="C197" s="474"/>
      <c r="D197" s="126"/>
      <c r="E197" s="126"/>
      <c r="F197" s="9" t="s">
        <v>681</v>
      </c>
      <c r="G197" s="126" t="s">
        <v>680</v>
      </c>
      <c r="H197" s="9"/>
      <c r="I197" s="9" t="s">
        <v>301</v>
      </c>
      <c r="J197" s="61">
        <v>2</v>
      </c>
      <c r="K197" s="47">
        <v>70</v>
      </c>
    </row>
    <row r="198" spans="1:11" x14ac:dyDescent="0.25">
      <c r="A198" s="51" t="s">
        <v>298</v>
      </c>
      <c r="B198" s="191" t="s">
        <v>682</v>
      </c>
      <c r="C198" s="191"/>
      <c r="D198" s="51"/>
      <c r="E198" s="51"/>
      <c r="F198" s="52" t="s">
        <v>683</v>
      </c>
      <c r="G198" s="51" t="s">
        <v>682</v>
      </c>
      <c r="H198" s="52"/>
      <c r="I198" s="52" t="s">
        <v>301</v>
      </c>
      <c r="J198" s="54">
        <v>2</v>
      </c>
      <c r="K198" s="38">
        <v>70</v>
      </c>
    </row>
    <row r="199" spans="1:11" x14ac:dyDescent="0.25">
      <c r="A199" s="51" t="s">
        <v>298</v>
      </c>
      <c r="B199" s="191" t="s">
        <v>685</v>
      </c>
      <c r="C199" s="191"/>
      <c r="D199" s="51"/>
      <c r="E199" s="51"/>
      <c r="F199" s="52" t="s">
        <v>686</v>
      </c>
      <c r="G199" s="51" t="s">
        <v>685</v>
      </c>
      <c r="H199" s="52"/>
      <c r="I199" s="52" t="s">
        <v>301</v>
      </c>
      <c r="J199" s="54">
        <v>1</v>
      </c>
      <c r="K199" s="38">
        <v>70</v>
      </c>
    </row>
    <row r="200" spans="1:11" x14ac:dyDescent="0.25">
      <c r="A200" s="51" t="s">
        <v>298</v>
      </c>
      <c r="B200" s="191" t="s">
        <v>688</v>
      </c>
      <c r="C200" s="351" t="s">
        <v>499</v>
      </c>
      <c r="D200" s="51"/>
      <c r="E200" s="51"/>
      <c r="F200" s="52" t="s">
        <v>689</v>
      </c>
      <c r="G200" s="51" t="s">
        <v>688</v>
      </c>
      <c r="H200" s="52"/>
      <c r="I200" s="52" t="s">
        <v>301</v>
      </c>
      <c r="J200" s="54">
        <v>1</v>
      </c>
      <c r="K200" s="38">
        <v>70</v>
      </c>
    </row>
    <row r="201" spans="1:11" x14ac:dyDescent="0.25">
      <c r="A201" s="51" t="s">
        <v>298</v>
      </c>
      <c r="B201" s="191" t="s">
        <v>691</v>
      </c>
      <c r="C201" s="191"/>
      <c r="D201" s="51"/>
      <c r="E201" s="51"/>
      <c r="F201" s="32" t="s">
        <v>692</v>
      </c>
      <c r="G201" s="32" t="s">
        <v>691</v>
      </c>
      <c r="H201" s="52"/>
      <c r="I201" s="32" t="s">
        <v>301</v>
      </c>
      <c r="J201" s="54">
        <v>1</v>
      </c>
      <c r="K201" s="38">
        <v>70</v>
      </c>
    </row>
    <row r="202" spans="1:11" x14ac:dyDescent="0.25">
      <c r="A202" s="51" t="s">
        <v>298</v>
      </c>
      <c r="B202" s="191" t="s">
        <v>694</v>
      </c>
      <c r="C202" s="191"/>
      <c r="D202" s="51"/>
      <c r="E202" s="51"/>
      <c r="F202" s="32" t="s">
        <v>695</v>
      </c>
      <c r="G202" s="32" t="s">
        <v>694</v>
      </c>
      <c r="H202" s="52"/>
      <c r="I202" s="32" t="s">
        <v>301</v>
      </c>
      <c r="J202" s="54">
        <v>1</v>
      </c>
      <c r="K202" s="38">
        <v>70</v>
      </c>
    </row>
    <row r="203" spans="1:11" x14ac:dyDescent="0.25">
      <c r="A203" s="51" t="s">
        <v>298</v>
      </c>
      <c r="B203" s="191" t="s">
        <v>697</v>
      </c>
      <c r="C203" s="191"/>
      <c r="D203" s="51"/>
      <c r="E203" s="51"/>
      <c r="F203" s="52" t="s">
        <v>698</v>
      </c>
      <c r="G203" s="51" t="s">
        <v>697</v>
      </c>
      <c r="H203" s="52"/>
      <c r="I203" s="52" t="s">
        <v>301</v>
      </c>
      <c r="J203" s="54">
        <v>1</v>
      </c>
      <c r="K203" s="38">
        <v>70</v>
      </c>
    </row>
    <row r="204" spans="1:11" x14ac:dyDescent="0.25">
      <c r="A204" s="51" t="s">
        <v>298</v>
      </c>
      <c r="B204" s="191" t="s">
        <v>700</v>
      </c>
      <c r="C204" s="191"/>
      <c r="D204" s="51"/>
      <c r="E204" s="51"/>
      <c r="F204" s="52" t="s">
        <v>701</v>
      </c>
      <c r="G204" s="51" t="s">
        <v>700</v>
      </c>
      <c r="H204" s="52"/>
      <c r="I204" s="52" t="s">
        <v>301</v>
      </c>
      <c r="J204" s="54">
        <v>1</v>
      </c>
      <c r="K204" s="38">
        <v>70</v>
      </c>
    </row>
    <row r="205" spans="1:11" x14ac:dyDescent="0.25">
      <c r="A205" s="51" t="s">
        <v>298</v>
      </c>
      <c r="B205" s="191" t="s">
        <v>703</v>
      </c>
      <c r="C205" s="191"/>
      <c r="D205" s="51"/>
      <c r="E205" s="51"/>
      <c r="F205" s="52" t="s">
        <v>704</v>
      </c>
      <c r="G205" s="51" t="s">
        <v>703</v>
      </c>
      <c r="H205" s="52"/>
      <c r="I205" s="52" t="s">
        <v>301</v>
      </c>
      <c r="J205" s="54">
        <v>1</v>
      </c>
      <c r="K205" s="38">
        <v>70</v>
      </c>
    </row>
    <row r="206" spans="1:11" x14ac:dyDescent="0.25">
      <c r="A206" s="51" t="s">
        <v>298</v>
      </c>
      <c r="B206" s="191" t="s">
        <v>706</v>
      </c>
      <c r="C206" s="191"/>
      <c r="D206" s="51"/>
      <c r="E206" s="51"/>
      <c r="F206" s="52" t="s">
        <v>707</v>
      </c>
      <c r="G206" s="51" t="s">
        <v>706</v>
      </c>
      <c r="H206" s="52"/>
      <c r="I206" s="52" t="s">
        <v>301</v>
      </c>
      <c r="J206" s="54">
        <v>1</v>
      </c>
      <c r="K206" s="38">
        <v>70</v>
      </c>
    </row>
    <row r="207" spans="1:11" x14ac:dyDescent="0.25">
      <c r="A207" s="51" t="s">
        <v>298</v>
      </c>
      <c r="B207" s="191" t="s">
        <v>709</v>
      </c>
      <c r="C207" s="191"/>
      <c r="D207" s="51"/>
      <c r="E207" s="51"/>
      <c r="F207" s="52" t="s">
        <v>710</v>
      </c>
      <c r="G207" s="51" t="s">
        <v>709</v>
      </c>
      <c r="H207" s="52"/>
      <c r="I207" s="52" t="s">
        <v>301</v>
      </c>
      <c r="J207" s="54">
        <v>1</v>
      </c>
      <c r="K207" s="38">
        <v>70</v>
      </c>
    </row>
    <row r="208" spans="1:11" x14ac:dyDescent="0.25">
      <c r="A208" s="126" t="s">
        <v>298</v>
      </c>
      <c r="B208" s="474" t="s">
        <v>712</v>
      </c>
      <c r="C208" s="474"/>
      <c r="D208" s="126"/>
      <c r="E208" s="126"/>
      <c r="F208" s="9" t="s">
        <v>713</v>
      </c>
      <c r="G208" s="126" t="s">
        <v>712</v>
      </c>
      <c r="H208" s="9"/>
      <c r="I208" s="9" t="s">
        <v>301</v>
      </c>
      <c r="J208" s="61">
        <v>1</v>
      </c>
      <c r="K208" s="47">
        <v>70</v>
      </c>
    </row>
    <row r="209" spans="1:11" x14ac:dyDescent="0.25">
      <c r="A209" s="126" t="s">
        <v>298</v>
      </c>
      <c r="B209" s="474" t="s">
        <v>714</v>
      </c>
      <c r="C209" s="474"/>
      <c r="D209" s="126"/>
      <c r="E209" s="331"/>
      <c r="F209" s="28" t="s">
        <v>715</v>
      </c>
      <c r="G209" s="28" t="s">
        <v>714</v>
      </c>
      <c r="H209" s="28"/>
      <c r="I209" s="9" t="s">
        <v>301</v>
      </c>
      <c r="J209" s="61">
        <v>1</v>
      </c>
      <c r="K209" s="47">
        <v>70</v>
      </c>
    </row>
    <row r="210" spans="1:11" x14ac:dyDescent="0.25">
      <c r="A210" s="31" t="s">
        <v>314</v>
      </c>
      <c r="B210" s="71" t="s">
        <v>716</v>
      </c>
      <c r="C210" s="71"/>
      <c r="D210" s="71"/>
      <c r="E210" s="71"/>
      <c r="F210" s="32" t="s">
        <v>717</v>
      </c>
      <c r="G210" s="32" t="s">
        <v>718</v>
      </c>
      <c r="H210" s="32" t="s">
        <v>719</v>
      </c>
      <c r="I210" s="32" t="s">
        <v>586</v>
      </c>
      <c r="J210" s="33">
        <v>4</v>
      </c>
      <c r="K210" s="38">
        <v>67.275000000000006</v>
      </c>
    </row>
    <row r="211" spans="1:11" x14ac:dyDescent="0.25">
      <c r="A211" s="32" t="s">
        <v>169</v>
      </c>
      <c r="B211" s="70" t="s">
        <v>720</v>
      </c>
      <c r="C211" s="70"/>
      <c r="D211" s="70"/>
      <c r="E211" s="70"/>
      <c r="F211" s="31" t="s">
        <v>721</v>
      </c>
      <c r="G211" s="32" t="s">
        <v>722</v>
      </c>
      <c r="H211" s="32" t="s">
        <v>358</v>
      </c>
      <c r="I211" s="32" t="s">
        <v>260</v>
      </c>
      <c r="J211" s="33">
        <v>2</v>
      </c>
      <c r="K211" s="34">
        <v>65</v>
      </c>
    </row>
    <row r="212" spans="1:11" x14ac:dyDescent="0.25">
      <c r="A212" s="31" t="s">
        <v>41</v>
      </c>
      <c r="B212" s="71" t="s">
        <v>723</v>
      </c>
      <c r="C212" s="71"/>
      <c r="D212" s="71"/>
      <c r="E212" s="71"/>
      <c r="F212" s="32" t="s">
        <v>724</v>
      </c>
      <c r="G212" s="32"/>
      <c r="H212" s="32"/>
      <c r="I212" s="32"/>
      <c r="J212" s="33">
        <v>4</v>
      </c>
      <c r="K212" s="34">
        <v>60</v>
      </c>
    </row>
    <row r="213" spans="1:11" x14ac:dyDescent="0.25">
      <c r="A213" s="51" t="s">
        <v>286</v>
      </c>
      <c r="B213" s="51" t="s">
        <v>725</v>
      </c>
      <c r="C213" s="51"/>
      <c r="D213" s="51"/>
      <c r="E213" s="51"/>
      <c r="F213" s="52" t="s">
        <v>726</v>
      </c>
      <c r="G213" s="52">
        <v>600488</v>
      </c>
      <c r="H213" s="52" t="s">
        <v>452</v>
      </c>
      <c r="I213" s="52"/>
      <c r="J213" s="54">
        <v>4</v>
      </c>
      <c r="K213" s="38">
        <v>60</v>
      </c>
    </row>
    <row r="214" spans="1:11" x14ac:dyDescent="0.25">
      <c r="A214" s="31" t="s">
        <v>169</v>
      </c>
      <c r="B214" s="31" t="s">
        <v>70</v>
      </c>
      <c r="C214" s="31"/>
      <c r="D214" s="31"/>
      <c r="E214" s="31"/>
      <c r="F214" s="32" t="s">
        <v>727</v>
      </c>
      <c r="G214" s="32" t="s">
        <v>728</v>
      </c>
      <c r="H214" s="32" t="s">
        <v>358</v>
      </c>
      <c r="I214" s="32" t="s">
        <v>260</v>
      </c>
      <c r="J214" s="33">
        <v>2</v>
      </c>
      <c r="K214" s="34">
        <v>60</v>
      </c>
    </row>
    <row r="215" spans="1:11" x14ac:dyDescent="0.25">
      <c r="A215" s="31" t="s">
        <v>41</v>
      </c>
      <c r="B215" s="71" t="s">
        <v>729</v>
      </c>
      <c r="C215" s="71"/>
      <c r="D215" s="71"/>
      <c r="E215" s="71"/>
      <c r="F215" s="32" t="s">
        <v>730</v>
      </c>
      <c r="G215" s="32"/>
      <c r="H215" s="32" t="s">
        <v>731</v>
      </c>
      <c r="I215" s="32" t="s">
        <v>461</v>
      </c>
      <c r="J215" s="33">
        <v>1</v>
      </c>
      <c r="K215" s="34">
        <v>60</v>
      </c>
    </row>
    <row r="216" spans="1:11" x14ac:dyDescent="0.25">
      <c r="A216" s="51" t="s">
        <v>27</v>
      </c>
      <c r="B216" s="51" t="s">
        <v>732</v>
      </c>
      <c r="C216" s="51"/>
      <c r="D216" s="51"/>
      <c r="E216" s="51"/>
      <c r="F216" s="52" t="s">
        <v>733</v>
      </c>
      <c r="G216" s="52" t="s">
        <v>734</v>
      </c>
      <c r="H216" s="52" t="s">
        <v>421</v>
      </c>
      <c r="I216" s="52" t="s">
        <v>421</v>
      </c>
      <c r="J216" s="54">
        <v>3</v>
      </c>
      <c r="K216" s="38">
        <v>55.72</v>
      </c>
    </row>
    <row r="217" spans="1:11" x14ac:dyDescent="0.25">
      <c r="A217" s="51" t="s">
        <v>227</v>
      </c>
      <c r="B217" s="51" t="s">
        <v>735</v>
      </c>
      <c r="C217" s="51"/>
      <c r="D217" s="51"/>
      <c r="E217" s="51"/>
      <c r="F217" s="52" t="s">
        <v>736</v>
      </c>
      <c r="G217" s="52" t="s">
        <v>737</v>
      </c>
      <c r="H217" s="52" t="s">
        <v>738</v>
      </c>
      <c r="I217" s="52"/>
      <c r="J217" s="53">
        <v>1</v>
      </c>
      <c r="K217" s="38">
        <v>55.04</v>
      </c>
    </row>
    <row r="218" spans="1:11" x14ac:dyDescent="0.25">
      <c r="A218" s="31" t="s">
        <v>314</v>
      </c>
      <c r="B218" s="71" t="s">
        <v>739</v>
      </c>
      <c r="C218" s="71"/>
      <c r="D218" s="71"/>
      <c r="E218" s="71"/>
      <c r="F218" s="32" t="s">
        <v>740</v>
      </c>
      <c r="G218" s="32" t="s">
        <v>741</v>
      </c>
      <c r="H218" s="32" t="s">
        <v>742</v>
      </c>
      <c r="I218" s="32" t="s">
        <v>586</v>
      </c>
      <c r="J218" s="33">
        <v>6</v>
      </c>
      <c r="K218" s="34">
        <v>53.82</v>
      </c>
    </row>
    <row r="219" spans="1:11" x14ac:dyDescent="0.25">
      <c r="A219" s="51" t="s">
        <v>27</v>
      </c>
      <c r="B219" s="51" t="s">
        <v>743</v>
      </c>
      <c r="C219" s="51"/>
      <c r="D219" s="51"/>
      <c r="E219" s="51"/>
      <c r="F219" s="52" t="s">
        <v>744</v>
      </c>
      <c r="G219" s="52" t="s">
        <v>745</v>
      </c>
      <c r="H219" s="52" t="s">
        <v>560</v>
      </c>
      <c r="I219" s="52"/>
      <c r="J219" s="54">
        <v>3</v>
      </c>
      <c r="K219" s="38">
        <v>53.5</v>
      </c>
    </row>
    <row r="220" spans="1:11" x14ac:dyDescent="0.25">
      <c r="A220" s="51" t="s">
        <v>474</v>
      </c>
      <c r="B220" s="51" t="s">
        <v>70</v>
      </c>
      <c r="C220" s="51"/>
      <c r="D220" s="51"/>
      <c r="E220" s="51"/>
      <c r="F220" s="32" t="s">
        <v>746</v>
      </c>
      <c r="G220" s="52"/>
      <c r="H220" s="52" t="s">
        <v>480</v>
      </c>
      <c r="I220" s="52"/>
      <c r="J220" s="54">
        <v>1</v>
      </c>
      <c r="K220" s="38">
        <v>50.690000000000005</v>
      </c>
    </row>
    <row r="221" spans="1:11" x14ac:dyDescent="0.25">
      <c r="A221" s="31" t="s">
        <v>169</v>
      </c>
      <c r="B221" s="71" t="s">
        <v>747</v>
      </c>
      <c r="C221" s="71"/>
      <c r="D221" s="71"/>
      <c r="E221" s="71" t="s">
        <v>748</v>
      </c>
      <c r="F221" s="32" t="s">
        <v>749</v>
      </c>
      <c r="G221" s="32">
        <v>7113000</v>
      </c>
      <c r="H221" s="32" t="s">
        <v>200</v>
      </c>
      <c r="I221" s="32"/>
      <c r="J221" s="33">
        <v>8</v>
      </c>
      <c r="K221" s="34">
        <v>50</v>
      </c>
    </row>
    <row r="222" spans="1:11" x14ac:dyDescent="0.25">
      <c r="A222" s="283" t="s">
        <v>169</v>
      </c>
      <c r="B222" s="284" t="s">
        <v>750</v>
      </c>
      <c r="C222" s="284"/>
      <c r="D222" s="284"/>
      <c r="E222" s="284"/>
      <c r="F222" s="285" t="s">
        <v>751</v>
      </c>
      <c r="G222" s="285" t="s">
        <v>752</v>
      </c>
      <c r="H222" s="285" t="s">
        <v>753</v>
      </c>
      <c r="I222" s="285" t="s">
        <v>461</v>
      </c>
      <c r="J222" s="286">
        <v>3</v>
      </c>
      <c r="K222" s="287">
        <v>50</v>
      </c>
    </row>
    <row r="223" spans="1:11" x14ac:dyDescent="0.25">
      <c r="A223" s="283" t="s">
        <v>169</v>
      </c>
      <c r="B223" s="284" t="s">
        <v>754</v>
      </c>
      <c r="C223" s="284"/>
      <c r="D223" s="284"/>
      <c r="E223" s="284"/>
      <c r="F223" s="285" t="s">
        <v>755</v>
      </c>
      <c r="G223" s="285" t="s">
        <v>756</v>
      </c>
      <c r="H223" s="285" t="s">
        <v>753</v>
      </c>
      <c r="I223" s="285" t="s">
        <v>461</v>
      </c>
      <c r="J223" s="286">
        <v>3</v>
      </c>
      <c r="K223" s="287">
        <v>50</v>
      </c>
    </row>
    <row r="224" spans="1:11" x14ac:dyDescent="0.25">
      <c r="A224" s="51" t="s">
        <v>286</v>
      </c>
      <c r="B224" s="51" t="s">
        <v>757</v>
      </c>
      <c r="C224" s="51"/>
      <c r="D224" s="51"/>
      <c r="E224" s="51"/>
      <c r="F224" s="52" t="s">
        <v>758</v>
      </c>
      <c r="G224" s="52" t="s">
        <v>759</v>
      </c>
      <c r="H224" s="52" t="s">
        <v>58</v>
      </c>
      <c r="I224" s="52"/>
      <c r="J224" s="54">
        <v>3</v>
      </c>
      <c r="K224" s="38">
        <v>50</v>
      </c>
    </row>
    <row r="225" spans="1:11" x14ac:dyDescent="0.25">
      <c r="A225" s="51" t="s">
        <v>548</v>
      </c>
      <c r="B225" s="51" t="s">
        <v>760</v>
      </c>
      <c r="C225" s="51"/>
      <c r="D225" s="51"/>
      <c r="E225" s="51"/>
      <c r="F225" s="52" t="s">
        <v>761</v>
      </c>
      <c r="G225" s="52" t="s">
        <v>762</v>
      </c>
      <c r="H225" s="52" t="s">
        <v>731</v>
      </c>
      <c r="I225" s="52" t="s">
        <v>763</v>
      </c>
      <c r="J225" s="54">
        <v>2</v>
      </c>
      <c r="K225" s="38">
        <v>50</v>
      </c>
    </row>
    <row r="226" spans="1:11" x14ac:dyDescent="0.25">
      <c r="A226" s="51" t="s">
        <v>286</v>
      </c>
      <c r="B226" s="51" t="s">
        <v>764</v>
      </c>
      <c r="C226" s="51"/>
      <c r="D226" s="51"/>
      <c r="E226" s="51"/>
      <c r="F226" s="52" t="s">
        <v>765</v>
      </c>
      <c r="G226" s="52" t="s">
        <v>766</v>
      </c>
      <c r="H226" s="52"/>
      <c r="I226" s="52"/>
      <c r="J226" s="54">
        <v>2</v>
      </c>
      <c r="K226" s="38">
        <v>50</v>
      </c>
    </row>
    <row r="227" spans="1:11" x14ac:dyDescent="0.25">
      <c r="A227" s="31" t="s">
        <v>314</v>
      </c>
      <c r="B227" s="71" t="s">
        <v>767</v>
      </c>
      <c r="C227" s="71"/>
      <c r="D227" s="71"/>
      <c r="E227" s="71"/>
      <c r="F227" s="32" t="s">
        <v>768</v>
      </c>
      <c r="G227" s="32" t="s">
        <v>769</v>
      </c>
      <c r="H227" s="32" t="s">
        <v>770</v>
      </c>
      <c r="I227" s="32"/>
      <c r="J227" s="33">
        <v>1</v>
      </c>
      <c r="K227" s="34">
        <v>50</v>
      </c>
    </row>
    <row r="228" spans="1:11" x14ac:dyDescent="0.25">
      <c r="A228" s="283" t="s">
        <v>169</v>
      </c>
      <c r="B228" s="283" t="s">
        <v>70</v>
      </c>
      <c r="C228" s="283"/>
      <c r="D228" s="283"/>
      <c r="E228" s="283"/>
      <c r="F228" s="285" t="s">
        <v>771</v>
      </c>
      <c r="G228" s="285" t="s">
        <v>772</v>
      </c>
      <c r="H228" s="285" t="s">
        <v>753</v>
      </c>
      <c r="I228" s="285" t="s">
        <v>461</v>
      </c>
      <c r="J228" s="286">
        <v>1</v>
      </c>
      <c r="K228" s="287">
        <v>50</v>
      </c>
    </row>
    <row r="229" spans="1:11" x14ac:dyDescent="0.25">
      <c r="A229" s="283" t="s">
        <v>169</v>
      </c>
      <c r="B229" s="284" t="s">
        <v>773</v>
      </c>
      <c r="C229" s="284"/>
      <c r="D229" s="284"/>
      <c r="E229" s="284"/>
      <c r="F229" s="285" t="s">
        <v>774</v>
      </c>
      <c r="G229" s="285" t="s">
        <v>775</v>
      </c>
      <c r="H229" s="285" t="s">
        <v>753</v>
      </c>
      <c r="I229" s="285" t="s">
        <v>461</v>
      </c>
      <c r="J229" s="286">
        <v>1</v>
      </c>
      <c r="K229" s="287">
        <v>50</v>
      </c>
    </row>
    <row r="230" spans="1:11" x14ac:dyDescent="0.25">
      <c r="A230" s="31" t="s">
        <v>41</v>
      </c>
      <c r="B230" s="71" t="s">
        <v>776</v>
      </c>
      <c r="C230" s="71"/>
      <c r="D230" s="71"/>
      <c r="E230" s="71"/>
      <c r="F230" s="32" t="s">
        <v>777</v>
      </c>
      <c r="G230" s="32" t="s">
        <v>778</v>
      </c>
      <c r="H230" s="32"/>
      <c r="I230" s="32"/>
      <c r="J230" s="33">
        <v>1</v>
      </c>
      <c r="K230" s="34">
        <v>50</v>
      </c>
    </row>
    <row r="231" spans="1:11" x14ac:dyDescent="0.25">
      <c r="A231" s="31" t="s">
        <v>314</v>
      </c>
      <c r="B231" s="71" t="s">
        <v>779</v>
      </c>
      <c r="C231" s="71"/>
      <c r="D231" s="71"/>
      <c r="E231" s="71"/>
      <c r="F231" s="32" t="s">
        <v>780</v>
      </c>
      <c r="G231" s="32" t="s">
        <v>781</v>
      </c>
      <c r="H231" s="32" t="s">
        <v>719</v>
      </c>
      <c r="I231" s="32" t="s">
        <v>586</v>
      </c>
      <c r="J231" s="33">
        <v>30</v>
      </c>
      <c r="K231" s="34">
        <v>49.82</v>
      </c>
    </row>
    <row r="232" spans="1:11" x14ac:dyDescent="0.25">
      <c r="A232" s="31" t="s">
        <v>314</v>
      </c>
      <c r="B232" s="71" t="s">
        <v>782</v>
      </c>
      <c r="C232" s="71"/>
      <c r="D232" s="71"/>
      <c r="E232" s="71"/>
      <c r="F232" s="32" t="s">
        <v>783</v>
      </c>
      <c r="G232" s="32" t="s">
        <v>784</v>
      </c>
      <c r="H232" s="32" t="s">
        <v>785</v>
      </c>
      <c r="I232" s="32" t="s">
        <v>586</v>
      </c>
      <c r="J232" s="33">
        <v>11</v>
      </c>
      <c r="K232" s="34">
        <v>46</v>
      </c>
    </row>
    <row r="233" spans="1:11" x14ac:dyDescent="0.25">
      <c r="A233" s="283" t="s">
        <v>314</v>
      </c>
      <c r="B233" s="284" t="s">
        <v>786</v>
      </c>
      <c r="C233" s="284"/>
      <c r="D233" s="284"/>
      <c r="E233" s="284"/>
      <c r="F233" s="285" t="s">
        <v>783</v>
      </c>
      <c r="G233" s="285" t="s">
        <v>787</v>
      </c>
      <c r="H233" s="285" t="s">
        <v>785</v>
      </c>
      <c r="I233" s="285" t="s">
        <v>586</v>
      </c>
      <c r="J233" s="286">
        <v>30</v>
      </c>
      <c r="K233" s="287">
        <v>45</v>
      </c>
    </row>
    <row r="234" spans="1:11" x14ac:dyDescent="0.25">
      <c r="A234" s="31" t="s">
        <v>314</v>
      </c>
      <c r="B234" s="71" t="s">
        <v>788</v>
      </c>
      <c r="C234" s="71"/>
      <c r="D234" s="31"/>
      <c r="E234" s="31"/>
      <c r="F234" s="31" t="s">
        <v>789</v>
      </c>
      <c r="G234" s="31" t="s">
        <v>790</v>
      </c>
      <c r="H234" s="31" t="s">
        <v>791</v>
      </c>
      <c r="I234" s="31"/>
      <c r="J234" s="33">
        <v>30</v>
      </c>
      <c r="K234" s="34">
        <v>45</v>
      </c>
    </row>
    <row r="235" spans="1:11" x14ac:dyDescent="0.25">
      <c r="A235" s="283" t="s">
        <v>314</v>
      </c>
      <c r="B235" s="284" t="s">
        <v>792</v>
      </c>
      <c r="C235" s="284"/>
      <c r="D235" s="284"/>
      <c r="E235" s="284"/>
      <c r="F235" s="285" t="s">
        <v>783</v>
      </c>
      <c r="G235" s="285" t="s">
        <v>793</v>
      </c>
      <c r="H235" s="285" t="s">
        <v>785</v>
      </c>
      <c r="I235" s="285" t="s">
        <v>586</v>
      </c>
      <c r="J235" s="286">
        <v>26</v>
      </c>
      <c r="K235" s="287">
        <v>45</v>
      </c>
    </row>
    <row r="236" spans="1:11" x14ac:dyDescent="0.25">
      <c r="A236" s="31" t="s">
        <v>314</v>
      </c>
      <c r="B236" s="71" t="s">
        <v>794</v>
      </c>
      <c r="C236" s="71"/>
      <c r="D236" s="71"/>
      <c r="E236" s="71"/>
      <c r="F236" s="32" t="s">
        <v>795</v>
      </c>
      <c r="G236" s="32" t="s">
        <v>796</v>
      </c>
      <c r="H236" s="32" t="s">
        <v>785</v>
      </c>
      <c r="I236" s="32" t="s">
        <v>586</v>
      </c>
      <c r="J236" s="33">
        <v>20</v>
      </c>
      <c r="K236" s="34">
        <v>45</v>
      </c>
    </row>
    <row r="237" spans="1:11" x14ac:dyDescent="0.25">
      <c r="A237" s="31" t="s">
        <v>314</v>
      </c>
      <c r="B237" s="71" t="s">
        <v>797</v>
      </c>
      <c r="C237" s="71"/>
      <c r="D237" s="71"/>
      <c r="E237" s="71"/>
      <c r="F237" s="32" t="s">
        <v>795</v>
      </c>
      <c r="G237" s="32" t="s">
        <v>798</v>
      </c>
      <c r="H237" s="32" t="s">
        <v>785</v>
      </c>
      <c r="I237" s="32" t="s">
        <v>586</v>
      </c>
      <c r="J237" s="33">
        <v>20</v>
      </c>
      <c r="K237" s="34">
        <v>45</v>
      </c>
    </row>
    <row r="238" spans="1:11" x14ac:dyDescent="0.25">
      <c r="A238" s="31" t="s">
        <v>314</v>
      </c>
      <c r="B238" s="71" t="s">
        <v>799</v>
      </c>
      <c r="C238" s="71"/>
      <c r="D238" s="71"/>
      <c r="E238" s="71"/>
      <c r="F238" s="32" t="s">
        <v>795</v>
      </c>
      <c r="G238" s="32" t="s">
        <v>800</v>
      </c>
      <c r="H238" s="32" t="s">
        <v>785</v>
      </c>
      <c r="I238" s="32" t="s">
        <v>586</v>
      </c>
      <c r="J238" s="33">
        <v>20</v>
      </c>
      <c r="K238" s="34">
        <v>45</v>
      </c>
    </row>
    <row r="239" spans="1:11" x14ac:dyDescent="0.25">
      <c r="A239" s="31" t="s">
        <v>314</v>
      </c>
      <c r="B239" s="71" t="s">
        <v>801</v>
      </c>
      <c r="C239" s="71"/>
      <c r="D239" s="71"/>
      <c r="E239" s="71"/>
      <c r="F239" s="32" t="s">
        <v>795</v>
      </c>
      <c r="G239" s="32" t="s">
        <v>802</v>
      </c>
      <c r="H239" s="32" t="s">
        <v>785</v>
      </c>
      <c r="I239" s="32" t="s">
        <v>586</v>
      </c>
      <c r="J239" s="33">
        <v>20</v>
      </c>
      <c r="K239" s="34">
        <v>45</v>
      </c>
    </row>
    <row r="240" spans="1:11" x14ac:dyDescent="0.25">
      <c r="A240" s="31" t="s">
        <v>314</v>
      </c>
      <c r="B240" s="71" t="s">
        <v>803</v>
      </c>
      <c r="C240" s="71"/>
      <c r="D240" s="71"/>
      <c r="E240" s="71"/>
      <c r="F240" s="32" t="s">
        <v>783</v>
      </c>
      <c r="G240" s="32" t="s">
        <v>804</v>
      </c>
      <c r="H240" s="32" t="s">
        <v>785</v>
      </c>
      <c r="I240" s="32" t="s">
        <v>586</v>
      </c>
      <c r="J240" s="33">
        <v>17</v>
      </c>
      <c r="K240" s="34">
        <v>45</v>
      </c>
    </row>
    <row r="241" spans="1:11" x14ac:dyDescent="0.25">
      <c r="A241" s="31" t="s">
        <v>314</v>
      </c>
      <c r="B241" s="71" t="s">
        <v>805</v>
      </c>
      <c r="C241" s="71"/>
      <c r="D241" s="71"/>
      <c r="E241" s="71"/>
      <c r="F241" s="32" t="s">
        <v>783</v>
      </c>
      <c r="G241" s="32" t="s">
        <v>806</v>
      </c>
      <c r="H241" s="32" t="s">
        <v>785</v>
      </c>
      <c r="I241" s="32" t="s">
        <v>586</v>
      </c>
      <c r="J241" s="33">
        <v>14</v>
      </c>
      <c r="K241" s="34">
        <v>45</v>
      </c>
    </row>
    <row r="242" spans="1:11" x14ac:dyDescent="0.25">
      <c r="A242" s="31" t="s">
        <v>314</v>
      </c>
      <c r="B242" s="71" t="s">
        <v>807</v>
      </c>
      <c r="C242" s="71"/>
      <c r="D242" s="71"/>
      <c r="E242" s="71"/>
      <c r="F242" s="32" t="s">
        <v>783</v>
      </c>
      <c r="G242" s="32" t="s">
        <v>808</v>
      </c>
      <c r="H242" s="32" t="s">
        <v>785</v>
      </c>
      <c r="I242" s="32" t="s">
        <v>586</v>
      </c>
      <c r="J242" s="33">
        <v>14</v>
      </c>
      <c r="K242" s="34">
        <v>45</v>
      </c>
    </row>
    <row r="243" spans="1:11" x14ac:dyDescent="0.25">
      <c r="A243" s="31" t="s">
        <v>314</v>
      </c>
      <c r="B243" s="71" t="s">
        <v>809</v>
      </c>
      <c r="C243" s="71"/>
      <c r="D243" s="71"/>
      <c r="E243" s="71"/>
      <c r="F243" s="32" t="s">
        <v>783</v>
      </c>
      <c r="G243" s="32" t="s">
        <v>810</v>
      </c>
      <c r="H243" s="32" t="s">
        <v>785</v>
      </c>
      <c r="I243" s="32" t="s">
        <v>586</v>
      </c>
      <c r="J243" s="33">
        <v>14</v>
      </c>
      <c r="K243" s="34">
        <v>45</v>
      </c>
    </row>
    <row r="244" spans="1:11" x14ac:dyDescent="0.25">
      <c r="A244" s="31" t="s">
        <v>314</v>
      </c>
      <c r="B244" s="71" t="s">
        <v>811</v>
      </c>
      <c r="C244" s="71"/>
      <c r="D244" s="31"/>
      <c r="E244" s="31"/>
      <c r="F244" s="31" t="s">
        <v>812</v>
      </c>
      <c r="G244" s="31" t="s">
        <v>813</v>
      </c>
      <c r="H244" s="31" t="s">
        <v>791</v>
      </c>
      <c r="I244" s="31"/>
      <c r="J244" s="33">
        <v>12</v>
      </c>
      <c r="K244" s="34">
        <v>45</v>
      </c>
    </row>
    <row r="245" spans="1:11" x14ac:dyDescent="0.25">
      <c r="A245" s="283" t="s">
        <v>314</v>
      </c>
      <c r="B245" s="284" t="s">
        <v>814</v>
      </c>
      <c r="C245" s="284"/>
      <c r="D245" s="284"/>
      <c r="E245" s="284"/>
      <c r="F245" s="285" t="s">
        <v>795</v>
      </c>
      <c r="G245" s="285" t="s">
        <v>815</v>
      </c>
      <c r="H245" s="285" t="s">
        <v>785</v>
      </c>
      <c r="I245" s="285" t="s">
        <v>586</v>
      </c>
      <c r="J245" s="286">
        <v>10</v>
      </c>
      <c r="K245" s="287">
        <v>45</v>
      </c>
    </row>
    <row r="246" spans="1:11" s="317" customFormat="1" x14ac:dyDescent="0.25">
      <c r="A246" s="31" t="s">
        <v>314</v>
      </c>
      <c r="B246" s="71" t="s">
        <v>816</v>
      </c>
      <c r="C246" s="71"/>
      <c r="D246" s="31"/>
      <c r="E246" s="31"/>
      <c r="F246" s="31" t="s">
        <v>817</v>
      </c>
      <c r="G246" s="31" t="s">
        <v>818</v>
      </c>
      <c r="H246" s="31" t="s">
        <v>791</v>
      </c>
      <c r="I246" s="31"/>
      <c r="J246" s="33">
        <v>9</v>
      </c>
      <c r="K246" s="34">
        <v>45</v>
      </c>
    </row>
    <row r="247" spans="1:11" x14ac:dyDescent="0.25">
      <c r="A247" s="39" t="s">
        <v>314</v>
      </c>
      <c r="B247" s="331" t="s">
        <v>782</v>
      </c>
      <c r="C247" s="331"/>
      <c r="D247" s="331"/>
      <c r="E247" s="331"/>
      <c r="F247" s="32" t="s">
        <v>783</v>
      </c>
      <c r="G247" s="32" t="s">
        <v>784</v>
      </c>
      <c r="H247" s="32" t="s">
        <v>785</v>
      </c>
      <c r="I247" s="32" t="s">
        <v>586</v>
      </c>
      <c r="J247" s="33">
        <v>9</v>
      </c>
      <c r="K247" s="34">
        <v>45</v>
      </c>
    </row>
    <row r="248" spans="1:11" x14ac:dyDescent="0.25">
      <c r="A248" s="283" t="s">
        <v>314</v>
      </c>
      <c r="B248" s="284" t="s">
        <v>819</v>
      </c>
      <c r="C248" s="284"/>
      <c r="D248" s="284"/>
      <c r="E248" s="284"/>
      <c r="F248" s="285" t="s">
        <v>783</v>
      </c>
      <c r="G248" s="285" t="s">
        <v>820</v>
      </c>
      <c r="H248" s="285" t="s">
        <v>785</v>
      </c>
      <c r="I248" s="285" t="s">
        <v>586</v>
      </c>
      <c r="J248" s="286">
        <v>9</v>
      </c>
      <c r="K248" s="287">
        <v>45</v>
      </c>
    </row>
    <row r="249" spans="1:11" x14ac:dyDescent="0.25">
      <c r="A249" s="283" t="s">
        <v>314</v>
      </c>
      <c r="B249" s="284" t="s">
        <v>821</v>
      </c>
      <c r="C249" s="284"/>
      <c r="D249" s="284"/>
      <c r="E249" s="284"/>
      <c r="F249" s="285" t="s">
        <v>783</v>
      </c>
      <c r="G249" s="285" t="s">
        <v>822</v>
      </c>
      <c r="H249" s="285" t="s">
        <v>785</v>
      </c>
      <c r="I249" s="285" t="s">
        <v>586</v>
      </c>
      <c r="J249" s="286">
        <v>9</v>
      </c>
      <c r="K249" s="287">
        <v>45</v>
      </c>
    </row>
    <row r="250" spans="1:11" x14ac:dyDescent="0.25">
      <c r="A250" s="31" t="s">
        <v>314</v>
      </c>
      <c r="B250" s="71" t="s">
        <v>823</v>
      </c>
      <c r="C250" s="71"/>
      <c r="D250" s="31"/>
      <c r="E250" s="31"/>
      <c r="F250" s="31" t="s">
        <v>824</v>
      </c>
      <c r="G250" s="31" t="s">
        <v>825</v>
      </c>
      <c r="H250" s="31" t="s">
        <v>791</v>
      </c>
      <c r="I250" s="31"/>
      <c r="J250" s="33">
        <v>9</v>
      </c>
      <c r="K250" s="34">
        <v>45</v>
      </c>
    </row>
    <row r="251" spans="1:11" x14ac:dyDescent="0.25">
      <c r="A251" s="31" t="s">
        <v>314</v>
      </c>
      <c r="B251" s="71" t="s">
        <v>826</v>
      </c>
      <c r="C251" s="71"/>
      <c r="D251" s="71"/>
      <c r="E251" s="71"/>
      <c r="F251" s="32" t="s">
        <v>783</v>
      </c>
      <c r="G251" s="32" t="s">
        <v>827</v>
      </c>
      <c r="H251" s="32" t="s">
        <v>785</v>
      </c>
      <c r="I251" s="32" t="s">
        <v>586</v>
      </c>
      <c r="J251" s="33">
        <v>7</v>
      </c>
      <c r="K251" s="34">
        <v>45</v>
      </c>
    </row>
    <row r="252" spans="1:11" x14ac:dyDescent="0.25">
      <c r="A252" s="283" t="s">
        <v>314</v>
      </c>
      <c r="B252" s="284" t="s">
        <v>786</v>
      </c>
      <c r="C252" s="284"/>
      <c r="D252" s="284"/>
      <c r="E252" s="284"/>
      <c r="F252" s="285" t="s">
        <v>783</v>
      </c>
      <c r="G252" s="285" t="s">
        <v>787</v>
      </c>
      <c r="H252" s="285" t="s">
        <v>785</v>
      </c>
      <c r="I252" s="285" t="s">
        <v>586</v>
      </c>
      <c r="J252" s="286">
        <v>5</v>
      </c>
      <c r="K252" s="287">
        <v>45</v>
      </c>
    </row>
    <row r="253" spans="1:11" x14ac:dyDescent="0.25">
      <c r="A253" s="31" t="s">
        <v>314</v>
      </c>
      <c r="B253" s="71" t="s">
        <v>828</v>
      </c>
      <c r="C253" s="71"/>
      <c r="D253" s="71"/>
      <c r="E253" s="71"/>
      <c r="F253" s="32" t="s">
        <v>795</v>
      </c>
      <c r="G253" s="32" t="s">
        <v>829</v>
      </c>
      <c r="H253" s="32" t="s">
        <v>785</v>
      </c>
      <c r="I253" s="32" t="s">
        <v>586</v>
      </c>
      <c r="J253" s="33">
        <v>5</v>
      </c>
      <c r="K253" s="34">
        <v>45</v>
      </c>
    </row>
    <row r="254" spans="1:11" x14ac:dyDescent="0.25">
      <c r="A254" s="39" t="s">
        <v>314</v>
      </c>
      <c r="B254" s="331" t="s">
        <v>830</v>
      </c>
      <c r="C254" s="331"/>
      <c r="D254" s="331"/>
      <c r="E254" s="331"/>
      <c r="F254" s="28" t="s">
        <v>783</v>
      </c>
      <c r="G254" s="28" t="s">
        <v>831</v>
      </c>
      <c r="H254" s="28" t="s">
        <v>785</v>
      </c>
      <c r="I254" s="28" t="s">
        <v>586</v>
      </c>
      <c r="J254" s="40">
        <v>4</v>
      </c>
      <c r="K254" s="34">
        <v>45</v>
      </c>
    </row>
    <row r="255" spans="1:11" x14ac:dyDescent="0.25">
      <c r="A255" s="31" t="s">
        <v>314</v>
      </c>
      <c r="B255" s="71" t="s">
        <v>832</v>
      </c>
      <c r="C255" s="71"/>
      <c r="D255" s="71"/>
      <c r="E255" s="71"/>
      <c r="F255" s="32" t="s">
        <v>783</v>
      </c>
      <c r="G255" s="32" t="s">
        <v>833</v>
      </c>
      <c r="H255" s="32" t="s">
        <v>785</v>
      </c>
      <c r="I255" s="32" t="s">
        <v>586</v>
      </c>
      <c r="J255" s="33">
        <v>4</v>
      </c>
      <c r="K255" s="34">
        <v>45</v>
      </c>
    </row>
    <row r="256" spans="1:11" x14ac:dyDescent="0.25">
      <c r="A256" s="308" t="s">
        <v>314</v>
      </c>
      <c r="B256" s="212" t="s">
        <v>834</v>
      </c>
      <c r="C256" s="212"/>
      <c r="D256" s="212"/>
      <c r="E256" s="212"/>
      <c r="F256" s="199" t="s">
        <v>795</v>
      </c>
      <c r="G256" s="199" t="s">
        <v>835</v>
      </c>
      <c r="H256" s="199" t="s">
        <v>785</v>
      </c>
      <c r="I256" s="199" t="s">
        <v>586</v>
      </c>
      <c r="J256" s="200">
        <v>4</v>
      </c>
      <c r="K256" s="34">
        <v>45</v>
      </c>
    </row>
    <row r="257" spans="1:11" x14ac:dyDescent="0.25">
      <c r="A257" s="308" t="s">
        <v>314</v>
      </c>
      <c r="B257" s="212" t="s">
        <v>836</v>
      </c>
      <c r="C257" s="212"/>
      <c r="D257" s="308"/>
      <c r="E257" s="308"/>
      <c r="F257" s="308" t="s">
        <v>837</v>
      </c>
      <c r="G257" s="308" t="s">
        <v>838</v>
      </c>
      <c r="H257" s="308" t="s">
        <v>791</v>
      </c>
      <c r="I257" s="308"/>
      <c r="J257" s="200">
        <v>3</v>
      </c>
      <c r="K257" s="34">
        <v>45</v>
      </c>
    </row>
    <row r="258" spans="1:11" x14ac:dyDescent="0.25">
      <c r="A258" s="39" t="s">
        <v>314</v>
      </c>
      <c r="B258" s="331" t="s">
        <v>840</v>
      </c>
      <c r="C258" s="331"/>
      <c r="D258" s="331"/>
      <c r="E258" s="331"/>
      <c r="F258" s="28" t="s">
        <v>783</v>
      </c>
      <c r="G258" s="28" t="s">
        <v>841</v>
      </c>
      <c r="H258" s="28" t="s">
        <v>785</v>
      </c>
      <c r="I258" s="28" t="s">
        <v>586</v>
      </c>
      <c r="J258" s="40">
        <v>3</v>
      </c>
      <c r="K258" s="30">
        <v>45</v>
      </c>
    </row>
    <row r="259" spans="1:11" x14ac:dyDescent="0.25">
      <c r="A259" s="31" t="s">
        <v>314</v>
      </c>
      <c r="B259" s="71" t="s">
        <v>842</v>
      </c>
      <c r="C259" s="71"/>
      <c r="D259" s="71"/>
      <c r="E259" s="71"/>
      <c r="F259" s="32" t="s">
        <v>783</v>
      </c>
      <c r="G259" s="32" t="s">
        <v>843</v>
      </c>
      <c r="H259" s="32" t="s">
        <v>785</v>
      </c>
      <c r="I259" s="32" t="s">
        <v>586</v>
      </c>
      <c r="J259" s="33">
        <v>3</v>
      </c>
      <c r="K259" s="34">
        <v>45</v>
      </c>
    </row>
    <row r="260" spans="1:11" x14ac:dyDescent="0.25">
      <c r="A260" s="31" t="s">
        <v>314</v>
      </c>
      <c r="B260" s="71" t="s">
        <v>844</v>
      </c>
      <c r="C260" s="71"/>
      <c r="D260" s="71"/>
      <c r="E260" s="71"/>
      <c r="F260" s="32" t="s">
        <v>783</v>
      </c>
      <c r="G260" s="32" t="s">
        <v>845</v>
      </c>
      <c r="H260" s="32" t="s">
        <v>785</v>
      </c>
      <c r="I260" s="32" t="s">
        <v>586</v>
      </c>
      <c r="J260" s="33">
        <v>3</v>
      </c>
      <c r="K260" s="34">
        <v>45</v>
      </c>
    </row>
    <row r="261" spans="1:11" x14ac:dyDescent="0.25">
      <c r="A261" s="31" t="s">
        <v>314</v>
      </c>
      <c r="B261" s="71" t="s">
        <v>846</v>
      </c>
      <c r="C261" s="71"/>
      <c r="D261" s="71"/>
      <c r="E261" s="71"/>
      <c r="F261" s="32" t="s">
        <v>783</v>
      </c>
      <c r="G261" s="32" t="s">
        <v>847</v>
      </c>
      <c r="H261" s="32" t="s">
        <v>785</v>
      </c>
      <c r="I261" s="32" t="s">
        <v>586</v>
      </c>
      <c r="J261" s="33">
        <v>3</v>
      </c>
      <c r="K261" s="34">
        <v>45</v>
      </c>
    </row>
    <row r="262" spans="1:11" x14ac:dyDescent="0.25">
      <c r="A262" s="31" t="s">
        <v>314</v>
      </c>
      <c r="B262" s="71" t="s">
        <v>848</v>
      </c>
      <c r="C262" s="71"/>
      <c r="D262" s="71"/>
      <c r="E262" s="71"/>
      <c r="F262" s="32" t="s">
        <v>783</v>
      </c>
      <c r="G262" s="32" t="s">
        <v>849</v>
      </c>
      <c r="H262" s="32" t="s">
        <v>785</v>
      </c>
      <c r="I262" s="32" t="s">
        <v>586</v>
      </c>
      <c r="J262" s="33">
        <v>3</v>
      </c>
      <c r="K262" s="34">
        <v>45</v>
      </c>
    </row>
    <row r="263" spans="1:11" x14ac:dyDescent="0.25">
      <c r="A263" s="31" t="s">
        <v>314</v>
      </c>
      <c r="B263" s="71" t="s">
        <v>850</v>
      </c>
      <c r="C263" s="71"/>
      <c r="D263" s="71"/>
      <c r="E263" s="71"/>
      <c r="F263" s="32" t="s">
        <v>783</v>
      </c>
      <c r="G263" s="32" t="s">
        <v>851</v>
      </c>
      <c r="H263" s="32" t="s">
        <v>785</v>
      </c>
      <c r="I263" s="32" t="s">
        <v>586</v>
      </c>
      <c r="J263" s="33">
        <v>3</v>
      </c>
      <c r="K263" s="34">
        <v>45</v>
      </c>
    </row>
    <row r="264" spans="1:11" x14ac:dyDescent="0.25">
      <c r="A264" s="31" t="s">
        <v>314</v>
      </c>
      <c r="B264" s="71" t="s">
        <v>852</v>
      </c>
      <c r="C264" s="71"/>
      <c r="D264" s="71"/>
      <c r="E264" s="71"/>
      <c r="F264" s="32" t="s">
        <v>795</v>
      </c>
      <c r="G264" s="32" t="s">
        <v>853</v>
      </c>
      <c r="H264" s="32" t="s">
        <v>785</v>
      </c>
      <c r="I264" s="32" t="s">
        <v>586</v>
      </c>
      <c r="J264" s="33">
        <v>3</v>
      </c>
      <c r="K264" s="34">
        <v>45</v>
      </c>
    </row>
    <row r="265" spans="1:11" x14ac:dyDescent="0.25">
      <c r="A265" s="31" t="s">
        <v>314</v>
      </c>
      <c r="B265" s="71" t="s">
        <v>854</v>
      </c>
      <c r="C265" s="71"/>
      <c r="D265" s="71"/>
      <c r="E265" s="71"/>
      <c r="F265" s="32" t="s">
        <v>795</v>
      </c>
      <c r="G265" s="32" t="s">
        <v>855</v>
      </c>
      <c r="H265" s="32" t="s">
        <v>785</v>
      </c>
      <c r="I265" s="32" t="s">
        <v>586</v>
      </c>
      <c r="J265" s="33">
        <v>3</v>
      </c>
      <c r="K265" s="34">
        <v>45</v>
      </c>
    </row>
    <row r="266" spans="1:11" x14ac:dyDescent="0.25">
      <c r="A266" s="31" t="s">
        <v>314</v>
      </c>
      <c r="B266" s="71" t="s">
        <v>856</v>
      </c>
      <c r="C266" s="71"/>
      <c r="D266" s="71"/>
      <c r="E266" s="71"/>
      <c r="F266" s="32" t="s">
        <v>795</v>
      </c>
      <c r="G266" s="32" t="s">
        <v>857</v>
      </c>
      <c r="H266" s="32" t="s">
        <v>785</v>
      </c>
      <c r="I266" s="32" t="s">
        <v>586</v>
      </c>
      <c r="J266" s="33">
        <v>3</v>
      </c>
      <c r="K266" s="34">
        <v>45</v>
      </c>
    </row>
    <row r="267" spans="1:11" x14ac:dyDescent="0.25">
      <c r="A267" s="31" t="s">
        <v>314</v>
      </c>
      <c r="B267" s="71" t="s">
        <v>858</v>
      </c>
      <c r="C267" s="71"/>
      <c r="D267" s="31"/>
      <c r="E267" s="31"/>
      <c r="F267" s="31" t="s">
        <v>859</v>
      </c>
      <c r="G267" s="31" t="s">
        <v>860</v>
      </c>
      <c r="H267" s="31" t="s">
        <v>791</v>
      </c>
      <c r="I267" s="31"/>
      <c r="J267" s="33">
        <v>3</v>
      </c>
      <c r="K267" s="34">
        <v>45</v>
      </c>
    </row>
    <row r="268" spans="1:11" x14ac:dyDescent="0.25">
      <c r="A268" s="31" t="s">
        <v>314</v>
      </c>
      <c r="B268" s="71" t="s">
        <v>861</v>
      </c>
      <c r="C268" s="71"/>
      <c r="D268" s="31"/>
      <c r="E268" s="31"/>
      <c r="F268" s="31" t="s">
        <v>862</v>
      </c>
      <c r="G268" s="31" t="s">
        <v>863</v>
      </c>
      <c r="H268" s="31" t="s">
        <v>791</v>
      </c>
      <c r="I268" s="31"/>
      <c r="J268" s="33">
        <v>3</v>
      </c>
      <c r="K268" s="34">
        <v>45</v>
      </c>
    </row>
    <row r="269" spans="1:11" x14ac:dyDescent="0.25">
      <c r="A269" s="31" t="s">
        <v>314</v>
      </c>
      <c r="B269" s="71" t="s">
        <v>864</v>
      </c>
      <c r="C269" s="71"/>
      <c r="D269" s="31"/>
      <c r="E269" s="31"/>
      <c r="F269" s="31" t="s">
        <v>865</v>
      </c>
      <c r="G269" s="31" t="s">
        <v>866</v>
      </c>
      <c r="H269" s="31" t="s">
        <v>791</v>
      </c>
      <c r="I269" s="31"/>
      <c r="J269" s="33">
        <v>3</v>
      </c>
      <c r="K269" s="34">
        <v>45</v>
      </c>
    </row>
    <row r="270" spans="1:11" x14ac:dyDescent="0.25">
      <c r="A270" s="31" t="s">
        <v>314</v>
      </c>
      <c r="B270" s="71" t="s">
        <v>816</v>
      </c>
      <c r="C270" s="71"/>
      <c r="D270" s="31"/>
      <c r="E270" s="31"/>
      <c r="F270" s="31" t="s">
        <v>817</v>
      </c>
      <c r="G270" s="31" t="s">
        <v>818</v>
      </c>
      <c r="H270" s="31" t="s">
        <v>791</v>
      </c>
      <c r="I270" s="31"/>
      <c r="J270" s="33">
        <v>2</v>
      </c>
      <c r="K270" s="34">
        <v>45</v>
      </c>
    </row>
    <row r="271" spans="1:11" x14ac:dyDescent="0.25">
      <c r="A271" s="31" t="s">
        <v>314</v>
      </c>
      <c r="B271" s="71" t="s">
        <v>816</v>
      </c>
      <c r="C271" s="71"/>
      <c r="D271" s="31"/>
      <c r="E271" s="31"/>
      <c r="F271" s="31" t="s">
        <v>817</v>
      </c>
      <c r="G271" s="31" t="s">
        <v>818</v>
      </c>
      <c r="H271" s="31" t="s">
        <v>791</v>
      </c>
      <c r="I271" s="31"/>
      <c r="J271" s="33">
        <v>2</v>
      </c>
      <c r="K271" s="34">
        <v>45</v>
      </c>
    </row>
    <row r="272" spans="1:11" x14ac:dyDescent="0.25">
      <c r="A272" s="39" t="s">
        <v>314</v>
      </c>
      <c r="B272" s="331" t="s">
        <v>867</v>
      </c>
      <c r="C272" s="331"/>
      <c r="D272" s="331"/>
      <c r="E272" s="331"/>
      <c r="F272" s="28" t="s">
        <v>783</v>
      </c>
      <c r="G272" s="28" t="s">
        <v>868</v>
      </c>
      <c r="H272" s="28" t="s">
        <v>785</v>
      </c>
      <c r="I272" s="28" t="s">
        <v>586</v>
      </c>
      <c r="J272" s="40">
        <v>2</v>
      </c>
      <c r="K272" s="30">
        <v>45</v>
      </c>
    </row>
    <row r="273" spans="1:11" x14ac:dyDescent="0.25">
      <c r="A273" s="31" t="s">
        <v>314</v>
      </c>
      <c r="B273" s="71" t="s">
        <v>869</v>
      </c>
      <c r="C273" s="71"/>
      <c r="D273" s="71"/>
      <c r="E273" s="71"/>
      <c r="F273" s="32" t="s">
        <v>783</v>
      </c>
      <c r="G273" s="32" t="s">
        <v>870</v>
      </c>
      <c r="H273" s="32" t="s">
        <v>785</v>
      </c>
      <c r="I273" s="32" t="s">
        <v>586</v>
      </c>
      <c r="J273" s="33">
        <v>2</v>
      </c>
      <c r="K273" s="34">
        <v>45</v>
      </c>
    </row>
    <row r="274" spans="1:11" x14ac:dyDescent="0.25">
      <c r="A274" s="325" t="s">
        <v>314</v>
      </c>
      <c r="B274" s="340" t="s">
        <v>871</v>
      </c>
      <c r="C274" s="340"/>
      <c r="D274" s="340"/>
      <c r="E274" s="340"/>
      <c r="F274" s="329" t="s">
        <v>783</v>
      </c>
      <c r="G274" s="329" t="s">
        <v>872</v>
      </c>
      <c r="H274" s="329" t="s">
        <v>785</v>
      </c>
      <c r="I274" s="329" t="s">
        <v>586</v>
      </c>
      <c r="J274" s="379">
        <v>2</v>
      </c>
      <c r="K274" s="384">
        <v>45</v>
      </c>
    </row>
    <row r="275" spans="1:11" x14ac:dyDescent="0.25">
      <c r="A275" s="283" t="s">
        <v>314</v>
      </c>
      <c r="B275" s="284" t="s">
        <v>873</v>
      </c>
      <c r="C275" s="284"/>
      <c r="D275" s="284"/>
      <c r="E275" s="284"/>
      <c r="F275" s="285" t="s">
        <v>783</v>
      </c>
      <c r="G275" s="285" t="s">
        <v>874</v>
      </c>
      <c r="H275" s="285" t="s">
        <v>785</v>
      </c>
      <c r="I275" s="285" t="s">
        <v>586</v>
      </c>
      <c r="J275" s="286">
        <v>2</v>
      </c>
      <c r="K275" s="287">
        <v>45</v>
      </c>
    </row>
    <row r="276" spans="1:11" x14ac:dyDescent="0.25">
      <c r="A276" s="283" t="s">
        <v>314</v>
      </c>
      <c r="B276" s="284" t="s">
        <v>875</v>
      </c>
      <c r="C276" s="284"/>
      <c r="D276" s="284"/>
      <c r="E276" s="284"/>
      <c r="F276" s="285" t="s">
        <v>783</v>
      </c>
      <c r="G276" s="285" t="s">
        <v>876</v>
      </c>
      <c r="H276" s="285" t="s">
        <v>785</v>
      </c>
      <c r="I276" s="285" t="s">
        <v>586</v>
      </c>
      <c r="J276" s="286">
        <v>2</v>
      </c>
      <c r="K276" s="287">
        <v>45</v>
      </c>
    </row>
    <row r="277" spans="1:11" x14ac:dyDescent="0.25">
      <c r="A277" s="283" t="s">
        <v>314</v>
      </c>
      <c r="B277" s="284" t="s">
        <v>877</v>
      </c>
      <c r="C277" s="284"/>
      <c r="D277" s="284"/>
      <c r="E277" s="284"/>
      <c r="F277" s="285" t="s">
        <v>783</v>
      </c>
      <c r="G277" s="285" t="s">
        <v>878</v>
      </c>
      <c r="H277" s="285" t="s">
        <v>785</v>
      </c>
      <c r="I277" s="285" t="s">
        <v>586</v>
      </c>
      <c r="J277" s="286">
        <v>2</v>
      </c>
      <c r="K277" s="287">
        <v>45</v>
      </c>
    </row>
    <row r="278" spans="1:11" x14ac:dyDescent="0.25">
      <c r="A278" s="325" t="s">
        <v>314</v>
      </c>
      <c r="B278" s="340" t="s">
        <v>879</v>
      </c>
      <c r="C278" s="340"/>
      <c r="D278" s="340"/>
      <c r="E278" s="340"/>
      <c r="F278" s="329" t="s">
        <v>783</v>
      </c>
      <c r="G278" s="329" t="s">
        <v>880</v>
      </c>
      <c r="H278" s="329" t="s">
        <v>785</v>
      </c>
      <c r="I278" s="329" t="s">
        <v>586</v>
      </c>
      <c r="J278" s="379">
        <v>2</v>
      </c>
      <c r="K278" s="384">
        <v>45</v>
      </c>
    </row>
    <row r="279" spans="1:11" x14ac:dyDescent="0.25">
      <c r="A279" s="254" t="s">
        <v>314</v>
      </c>
      <c r="B279" s="71" t="s">
        <v>881</v>
      </c>
      <c r="C279" s="274"/>
      <c r="D279" s="274"/>
      <c r="E279" s="71"/>
      <c r="F279" s="32" t="s">
        <v>783</v>
      </c>
      <c r="G279" s="32" t="s">
        <v>882</v>
      </c>
      <c r="H279" s="32" t="s">
        <v>785</v>
      </c>
      <c r="I279" s="32" t="s">
        <v>586</v>
      </c>
      <c r="J279" s="33">
        <v>2</v>
      </c>
      <c r="K279" s="34">
        <v>45</v>
      </c>
    </row>
    <row r="280" spans="1:11" x14ac:dyDescent="0.25">
      <c r="A280" s="254" t="s">
        <v>314</v>
      </c>
      <c r="B280" s="71" t="s">
        <v>883</v>
      </c>
      <c r="C280" s="274"/>
      <c r="D280" s="274"/>
      <c r="E280" s="71"/>
      <c r="F280" s="32" t="s">
        <v>783</v>
      </c>
      <c r="G280" s="32" t="s">
        <v>884</v>
      </c>
      <c r="H280" s="32" t="s">
        <v>785</v>
      </c>
      <c r="I280" s="32" t="s">
        <v>586</v>
      </c>
      <c r="J280" s="33">
        <v>2</v>
      </c>
      <c r="K280" s="34">
        <v>45</v>
      </c>
    </row>
    <row r="281" spans="1:11" x14ac:dyDescent="0.25">
      <c r="A281" s="531" t="s">
        <v>314</v>
      </c>
      <c r="B281" s="284" t="s">
        <v>885</v>
      </c>
      <c r="C281" s="542"/>
      <c r="D281" s="542"/>
      <c r="E281" s="284"/>
      <c r="F281" s="285" t="s">
        <v>783</v>
      </c>
      <c r="G281" s="285" t="s">
        <v>886</v>
      </c>
      <c r="H281" s="285" t="s">
        <v>785</v>
      </c>
      <c r="I281" s="285" t="s">
        <v>586</v>
      </c>
      <c r="J281" s="286">
        <v>2</v>
      </c>
      <c r="K281" s="287">
        <v>45</v>
      </c>
    </row>
    <row r="282" spans="1:11" x14ac:dyDescent="0.25">
      <c r="A282" s="325" t="s">
        <v>314</v>
      </c>
      <c r="B282" s="340" t="s">
        <v>887</v>
      </c>
      <c r="C282" s="340"/>
      <c r="D282" s="340"/>
      <c r="E282" s="340"/>
      <c r="F282" s="329" t="s">
        <v>783</v>
      </c>
      <c r="G282" s="329" t="s">
        <v>888</v>
      </c>
      <c r="H282" s="329" t="s">
        <v>785</v>
      </c>
      <c r="I282" s="329" t="s">
        <v>586</v>
      </c>
      <c r="J282" s="379">
        <v>2</v>
      </c>
      <c r="K282" s="384">
        <v>45</v>
      </c>
    </row>
    <row r="283" spans="1:11" x14ac:dyDescent="0.25">
      <c r="A283" s="254" t="s">
        <v>314</v>
      </c>
      <c r="B283" s="266" t="s">
        <v>889</v>
      </c>
      <c r="C283" s="543"/>
      <c r="D283" s="274"/>
      <c r="E283" s="71"/>
      <c r="F283" s="32" t="s">
        <v>783</v>
      </c>
      <c r="G283" s="32" t="s">
        <v>890</v>
      </c>
      <c r="H283" s="32" t="s">
        <v>785</v>
      </c>
      <c r="I283" s="32" t="s">
        <v>586</v>
      </c>
      <c r="J283" s="33">
        <v>2</v>
      </c>
      <c r="K283" s="34">
        <v>45</v>
      </c>
    </row>
    <row r="284" spans="1:11" x14ac:dyDescent="0.25">
      <c r="A284" s="254" t="s">
        <v>314</v>
      </c>
      <c r="B284" s="71" t="s">
        <v>891</v>
      </c>
      <c r="C284" s="274"/>
      <c r="D284" s="274"/>
      <c r="E284" s="71"/>
      <c r="F284" s="32" t="s">
        <v>783</v>
      </c>
      <c r="G284" s="32" t="s">
        <v>892</v>
      </c>
      <c r="H284" s="32" t="s">
        <v>785</v>
      </c>
      <c r="I284" s="32" t="s">
        <v>586</v>
      </c>
      <c r="J284" s="33">
        <v>2</v>
      </c>
      <c r="K284" s="34">
        <v>45</v>
      </c>
    </row>
    <row r="285" spans="1:11" x14ac:dyDescent="0.25">
      <c r="A285" s="531" t="s">
        <v>314</v>
      </c>
      <c r="B285" s="284" t="s">
        <v>893</v>
      </c>
      <c r="C285" s="542"/>
      <c r="D285" s="542"/>
      <c r="E285" s="284"/>
      <c r="F285" s="285" t="s">
        <v>783</v>
      </c>
      <c r="G285" s="285" t="s">
        <v>894</v>
      </c>
      <c r="H285" s="285" t="s">
        <v>785</v>
      </c>
      <c r="I285" s="285" t="s">
        <v>586</v>
      </c>
      <c r="J285" s="286">
        <v>2</v>
      </c>
      <c r="K285" s="287">
        <v>45</v>
      </c>
    </row>
    <row r="286" spans="1:11" x14ac:dyDescent="0.25">
      <c r="A286" s="325" t="s">
        <v>314</v>
      </c>
      <c r="B286" s="340" t="s">
        <v>895</v>
      </c>
      <c r="C286" s="340"/>
      <c r="D286" s="340"/>
      <c r="E286" s="340"/>
      <c r="F286" s="329" t="s">
        <v>783</v>
      </c>
      <c r="G286" s="329" t="s">
        <v>896</v>
      </c>
      <c r="H286" s="329" t="s">
        <v>785</v>
      </c>
      <c r="I286" s="329" t="s">
        <v>586</v>
      </c>
      <c r="J286" s="379">
        <v>2</v>
      </c>
      <c r="K286" s="384">
        <v>45</v>
      </c>
    </row>
    <row r="287" spans="1:11" x14ac:dyDescent="0.25">
      <c r="A287" s="254" t="s">
        <v>314</v>
      </c>
      <c r="B287" s="71" t="s">
        <v>897</v>
      </c>
      <c r="C287" s="274"/>
      <c r="D287" s="274"/>
      <c r="E287" s="71"/>
      <c r="F287" s="32" t="s">
        <v>783</v>
      </c>
      <c r="G287" s="32" t="s">
        <v>898</v>
      </c>
      <c r="H287" s="32" t="s">
        <v>785</v>
      </c>
      <c r="I287" s="32" t="s">
        <v>586</v>
      </c>
      <c r="J287" s="33">
        <v>2</v>
      </c>
      <c r="K287" s="34">
        <v>45</v>
      </c>
    </row>
    <row r="288" spans="1:11" x14ac:dyDescent="0.25">
      <c r="A288" s="39" t="s">
        <v>314</v>
      </c>
      <c r="B288" s="331" t="s">
        <v>899</v>
      </c>
      <c r="C288" s="331"/>
      <c r="D288" s="331"/>
      <c r="E288" s="331"/>
      <c r="F288" s="28" t="s">
        <v>783</v>
      </c>
      <c r="G288" s="28" t="s">
        <v>900</v>
      </c>
      <c r="H288" s="28" t="s">
        <v>785</v>
      </c>
      <c r="I288" s="28" t="s">
        <v>586</v>
      </c>
      <c r="J288" s="40">
        <v>2</v>
      </c>
      <c r="K288" s="30">
        <v>45</v>
      </c>
    </row>
    <row r="289" spans="1:11" x14ac:dyDescent="0.25">
      <c r="A289" s="39" t="s">
        <v>314</v>
      </c>
      <c r="B289" s="331" t="s">
        <v>901</v>
      </c>
      <c r="C289" s="331"/>
      <c r="D289" s="331"/>
      <c r="E289" s="331"/>
      <c r="F289" s="28" t="s">
        <v>783</v>
      </c>
      <c r="G289" s="28" t="s">
        <v>902</v>
      </c>
      <c r="H289" s="28" t="s">
        <v>785</v>
      </c>
      <c r="I289" s="28" t="s">
        <v>586</v>
      </c>
      <c r="J289" s="40">
        <v>2</v>
      </c>
      <c r="K289" s="30">
        <v>45</v>
      </c>
    </row>
    <row r="290" spans="1:11" x14ac:dyDescent="0.25">
      <c r="A290" s="39" t="s">
        <v>314</v>
      </c>
      <c r="B290" s="331" t="s">
        <v>903</v>
      </c>
      <c r="C290" s="331"/>
      <c r="D290" s="331"/>
      <c r="E290" s="331"/>
      <c r="F290" s="28" t="s">
        <v>783</v>
      </c>
      <c r="G290" s="28" t="s">
        <v>904</v>
      </c>
      <c r="H290" s="28" t="s">
        <v>785</v>
      </c>
      <c r="I290" s="28" t="s">
        <v>586</v>
      </c>
      <c r="J290" s="40">
        <v>2</v>
      </c>
      <c r="K290" s="30">
        <v>45</v>
      </c>
    </row>
    <row r="291" spans="1:11" x14ac:dyDescent="0.25">
      <c r="A291" s="254" t="s">
        <v>314</v>
      </c>
      <c r="B291" s="71" t="s">
        <v>905</v>
      </c>
      <c r="C291" s="274"/>
      <c r="D291" s="274"/>
      <c r="E291" s="71"/>
      <c r="F291" s="32" t="s">
        <v>783</v>
      </c>
      <c r="G291" s="32" t="s">
        <v>906</v>
      </c>
      <c r="H291" s="32" t="s">
        <v>785</v>
      </c>
      <c r="I291" s="32" t="s">
        <v>586</v>
      </c>
      <c r="J291" s="33">
        <v>2</v>
      </c>
      <c r="K291" s="34">
        <v>45</v>
      </c>
    </row>
    <row r="292" spans="1:11" x14ac:dyDescent="0.25">
      <c r="A292" s="39" t="s">
        <v>314</v>
      </c>
      <c r="B292" s="331" t="s">
        <v>907</v>
      </c>
      <c r="C292" s="331"/>
      <c r="D292" s="331"/>
      <c r="E292" s="331"/>
      <c r="F292" s="28" t="s">
        <v>783</v>
      </c>
      <c r="G292" s="28" t="s">
        <v>908</v>
      </c>
      <c r="H292" s="28" t="s">
        <v>785</v>
      </c>
      <c r="I292" s="28" t="s">
        <v>586</v>
      </c>
      <c r="J292" s="40">
        <v>2</v>
      </c>
      <c r="K292" s="30">
        <v>45</v>
      </c>
    </row>
    <row r="293" spans="1:11" s="301" customFormat="1" x14ac:dyDescent="0.25">
      <c r="A293" s="31" t="s">
        <v>314</v>
      </c>
      <c r="B293" s="71" t="s">
        <v>909</v>
      </c>
      <c r="C293" s="71"/>
      <c r="D293" s="71"/>
      <c r="E293" s="71"/>
      <c r="F293" s="32" t="s">
        <v>795</v>
      </c>
      <c r="G293" s="32" t="s">
        <v>910</v>
      </c>
      <c r="H293" s="32" t="s">
        <v>785</v>
      </c>
      <c r="I293" s="32" t="s">
        <v>586</v>
      </c>
      <c r="J293" s="33">
        <v>2</v>
      </c>
      <c r="K293" s="34">
        <v>45</v>
      </c>
    </row>
    <row r="294" spans="1:11" x14ac:dyDescent="0.25">
      <c r="A294" s="31" t="s">
        <v>314</v>
      </c>
      <c r="B294" s="71" t="s">
        <v>911</v>
      </c>
      <c r="C294" s="71"/>
      <c r="D294" s="71"/>
      <c r="E294" s="71"/>
      <c r="F294" s="32" t="s">
        <v>795</v>
      </c>
      <c r="G294" s="32" t="s">
        <v>912</v>
      </c>
      <c r="H294" s="32" t="s">
        <v>785</v>
      </c>
      <c r="I294" s="32" t="s">
        <v>586</v>
      </c>
      <c r="J294" s="33">
        <v>2</v>
      </c>
      <c r="K294" s="34">
        <v>45</v>
      </c>
    </row>
    <row r="295" spans="1:11" x14ac:dyDescent="0.25">
      <c r="A295" s="31" t="s">
        <v>314</v>
      </c>
      <c r="B295" s="71" t="s">
        <v>913</v>
      </c>
      <c r="C295" s="71"/>
      <c r="D295" s="71"/>
      <c r="E295" s="71"/>
      <c r="F295" s="32" t="s">
        <v>795</v>
      </c>
      <c r="G295" s="32" t="s">
        <v>914</v>
      </c>
      <c r="H295" s="32" t="s">
        <v>785</v>
      </c>
      <c r="I295" s="32" t="s">
        <v>586</v>
      </c>
      <c r="J295" s="33">
        <v>2</v>
      </c>
      <c r="K295" s="34">
        <v>45</v>
      </c>
    </row>
    <row r="296" spans="1:11" x14ac:dyDescent="0.25">
      <c r="A296" s="31" t="s">
        <v>314</v>
      </c>
      <c r="B296" s="71" t="s">
        <v>915</v>
      </c>
      <c r="C296" s="71"/>
      <c r="D296" s="71"/>
      <c r="E296" s="71"/>
      <c r="F296" s="32" t="s">
        <v>795</v>
      </c>
      <c r="G296" s="32" t="s">
        <v>916</v>
      </c>
      <c r="H296" s="32" t="s">
        <v>785</v>
      </c>
      <c r="I296" s="32" t="s">
        <v>586</v>
      </c>
      <c r="J296" s="33">
        <v>2</v>
      </c>
      <c r="K296" s="34">
        <v>45</v>
      </c>
    </row>
    <row r="297" spans="1:11" x14ac:dyDescent="0.25">
      <c r="A297" s="31" t="s">
        <v>314</v>
      </c>
      <c r="B297" s="71" t="s">
        <v>917</v>
      </c>
      <c r="C297" s="71"/>
      <c r="D297" s="71"/>
      <c r="E297" s="71"/>
      <c r="F297" s="32" t="s">
        <v>795</v>
      </c>
      <c r="G297" s="32" t="s">
        <v>918</v>
      </c>
      <c r="H297" s="32" t="s">
        <v>785</v>
      </c>
      <c r="I297" s="32" t="s">
        <v>586</v>
      </c>
      <c r="J297" s="33">
        <v>2</v>
      </c>
      <c r="K297" s="34">
        <v>45</v>
      </c>
    </row>
    <row r="298" spans="1:11" x14ac:dyDescent="0.25">
      <c r="A298" s="39" t="s">
        <v>314</v>
      </c>
      <c r="B298" s="331" t="s">
        <v>919</v>
      </c>
      <c r="C298" s="331"/>
      <c r="D298" s="331"/>
      <c r="E298" s="331"/>
      <c r="F298" s="28" t="s">
        <v>795</v>
      </c>
      <c r="G298" s="28" t="s">
        <v>920</v>
      </c>
      <c r="H298" s="28" t="s">
        <v>785</v>
      </c>
      <c r="I298" s="28" t="s">
        <v>586</v>
      </c>
      <c r="J298" s="40">
        <v>2</v>
      </c>
      <c r="K298" s="30">
        <v>45</v>
      </c>
    </row>
    <row r="299" spans="1:11" x14ac:dyDescent="0.25">
      <c r="A299" s="39" t="s">
        <v>314</v>
      </c>
      <c r="B299" s="331" t="s">
        <v>921</v>
      </c>
      <c r="C299" s="331"/>
      <c r="D299" s="331"/>
      <c r="E299" s="331"/>
      <c r="F299" s="28" t="s">
        <v>795</v>
      </c>
      <c r="G299" s="28" t="s">
        <v>922</v>
      </c>
      <c r="H299" s="28" t="s">
        <v>785</v>
      </c>
      <c r="I299" s="28" t="s">
        <v>586</v>
      </c>
      <c r="J299" s="40">
        <v>2</v>
      </c>
      <c r="K299" s="30">
        <v>45</v>
      </c>
    </row>
    <row r="300" spans="1:11" x14ac:dyDescent="0.25">
      <c r="A300" s="39" t="s">
        <v>314</v>
      </c>
      <c r="B300" s="331" t="s">
        <v>923</v>
      </c>
      <c r="C300" s="331"/>
      <c r="D300" s="39"/>
      <c r="E300" s="39"/>
      <c r="F300" s="39" t="s">
        <v>924</v>
      </c>
      <c r="G300" s="39" t="s">
        <v>925</v>
      </c>
      <c r="H300" s="39" t="s">
        <v>791</v>
      </c>
      <c r="I300" s="39"/>
      <c r="J300" s="40">
        <v>2</v>
      </c>
      <c r="K300" s="30">
        <v>45</v>
      </c>
    </row>
    <row r="301" spans="1:11" x14ac:dyDescent="0.25">
      <c r="A301" s="31" t="s">
        <v>314</v>
      </c>
      <c r="B301" s="71" t="s">
        <v>926</v>
      </c>
      <c r="C301" s="71"/>
      <c r="D301" s="71"/>
      <c r="E301" s="71"/>
      <c r="F301" s="32" t="s">
        <v>783</v>
      </c>
      <c r="G301" s="32" t="s">
        <v>927</v>
      </c>
      <c r="H301" s="32" t="s">
        <v>785</v>
      </c>
      <c r="I301" s="32" t="s">
        <v>586</v>
      </c>
      <c r="J301" s="33">
        <v>1</v>
      </c>
      <c r="K301" s="34">
        <v>45</v>
      </c>
    </row>
    <row r="302" spans="1:11" x14ac:dyDescent="0.25">
      <c r="A302" s="31" t="s">
        <v>314</v>
      </c>
      <c r="B302" s="71" t="s">
        <v>928</v>
      </c>
      <c r="C302" s="71"/>
      <c r="D302" s="71"/>
      <c r="E302" s="71"/>
      <c r="F302" s="32" t="s">
        <v>783</v>
      </c>
      <c r="G302" s="32" t="s">
        <v>929</v>
      </c>
      <c r="H302" s="32" t="s">
        <v>785</v>
      </c>
      <c r="I302" s="32" t="s">
        <v>586</v>
      </c>
      <c r="J302" s="33">
        <v>1</v>
      </c>
      <c r="K302" s="34">
        <v>45</v>
      </c>
    </row>
    <row r="303" spans="1:11" x14ac:dyDescent="0.25">
      <c r="A303" s="283" t="s">
        <v>314</v>
      </c>
      <c r="B303" s="284" t="s">
        <v>930</v>
      </c>
      <c r="C303" s="284"/>
      <c r="D303" s="284"/>
      <c r="E303" s="284"/>
      <c r="F303" s="285" t="s">
        <v>783</v>
      </c>
      <c r="G303" s="285" t="s">
        <v>931</v>
      </c>
      <c r="H303" s="285" t="s">
        <v>785</v>
      </c>
      <c r="I303" s="285" t="s">
        <v>586</v>
      </c>
      <c r="J303" s="286">
        <v>1</v>
      </c>
      <c r="K303" s="287">
        <v>45</v>
      </c>
    </row>
    <row r="304" spans="1:11" x14ac:dyDescent="0.25">
      <c r="A304" s="31" t="s">
        <v>314</v>
      </c>
      <c r="B304" s="71" t="s">
        <v>932</v>
      </c>
      <c r="C304" s="71"/>
      <c r="D304" s="71"/>
      <c r="E304" s="71"/>
      <c r="F304" s="32" t="s">
        <v>783</v>
      </c>
      <c r="G304" s="32" t="s">
        <v>933</v>
      </c>
      <c r="H304" s="32" t="s">
        <v>785</v>
      </c>
      <c r="I304" s="32" t="s">
        <v>586</v>
      </c>
      <c r="J304" s="33">
        <v>1</v>
      </c>
      <c r="K304" s="34">
        <v>45</v>
      </c>
    </row>
    <row r="305" spans="1:11" x14ac:dyDescent="0.25">
      <c r="A305" s="31" t="s">
        <v>314</v>
      </c>
      <c r="B305" s="71" t="s">
        <v>934</v>
      </c>
      <c r="C305" s="71"/>
      <c r="D305" s="71"/>
      <c r="E305" s="71"/>
      <c r="F305" s="32" t="s">
        <v>783</v>
      </c>
      <c r="G305" s="32" t="s">
        <v>935</v>
      </c>
      <c r="H305" s="32" t="s">
        <v>785</v>
      </c>
      <c r="I305" s="32" t="s">
        <v>586</v>
      </c>
      <c r="J305" s="33">
        <v>1</v>
      </c>
      <c r="K305" s="34">
        <v>45</v>
      </c>
    </row>
    <row r="306" spans="1:11" x14ac:dyDescent="0.25">
      <c r="A306" s="283" t="s">
        <v>314</v>
      </c>
      <c r="B306" s="284" t="s">
        <v>936</v>
      </c>
      <c r="C306" s="284"/>
      <c r="D306" s="284"/>
      <c r="E306" s="284"/>
      <c r="F306" s="285" t="s">
        <v>783</v>
      </c>
      <c r="G306" s="285" t="s">
        <v>937</v>
      </c>
      <c r="H306" s="285" t="s">
        <v>785</v>
      </c>
      <c r="I306" s="285" t="s">
        <v>586</v>
      </c>
      <c r="J306" s="286">
        <v>1</v>
      </c>
      <c r="K306" s="287">
        <v>45</v>
      </c>
    </row>
    <row r="307" spans="1:11" x14ac:dyDescent="0.25">
      <c r="A307" s="283" t="s">
        <v>314</v>
      </c>
      <c r="B307" s="284" t="s">
        <v>938</v>
      </c>
      <c r="C307" s="284"/>
      <c r="D307" s="284"/>
      <c r="E307" s="284"/>
      <c r="F307" s="285" t="s">
        <v>783</v>
      </c>
      <c r="G307" s="285" t="s">
        <v>939</v>
      </c>
      <c r="H307" s="285" t="s">
        <v>785</v>
      </c>
      <c r="I307" s="285" t="s">
        <v>586</v>
      </c>
      <c r="J307" s="286">
        <v>1</v>
      </c>
      <c r="K307" s="287">
        <v>45</v>
      </c>
    </row>
    <row r="308" spans="1:11" x14ac:dyDescent="0.25">
      <c r="A308" s="31" t="s">
        <v>314</v>
      </c>
      <c r="B308" s="331" t="s">
        <v>940</v>
      </c>
      <c r="C308" s="331"/>
      <c r="D308" s="71"/>
      <c r="E308" s="71"/>
      <c r="F308" s="28" t="s">
        <v>783</v>
      </c>
      <c r="G308" s="32" t="s">
        <v>941</v>
      </c>
      <c r="H308" s="32" t="s">
        <v>785</v>
      </c>
      <c r="I308" s="32" t="s">
        <v>586</v>
      </c>
      <c r="J308" s="33">
        <v>1</v>
      </c>
      <c r="K308" s="34">
        <v>45</v>
      </c>
    </row>
    <row r="309" spans="1:11" x14ac:dyDescent="0.25">
      <c r="A309" s="31" t="s">
        <v>314</v>
      </c>
      <c r="B309" s="71" t="s">
        <v>942</v>
      </c>
      <c r="C309" s="71"/>
      <c r="D309" s="71"/>
      <c r="E309" s="71"/>
      <c r="F309" s="32" t="s">
        <v>783</v>
      </c>
      <c r="G309" s="32" t="s">
        <v>943</v>
      </c>
      <c r="H309" s="32" t="s">
        <v>785</v>
      </c>
      <c r="I309" s="32" t="s">
        <v>586</v>
      </c>
      <c r="J309" s="33">
        <v>1</v>
      </c>
      <c r="K309" s="34">
        <v>45</v>
      </c>
    </row>
    <row r="310" spans="1:11" x14ac:dyDescent="0.25">
      <c r="A310" s="31" t="s">
        <v>314</v>
      </c>
      <c r="B310" s="71" t="s">
        <v>944</v>
      </c>
      <c r="C310" s="71"/>
      <c r="D310" s="71"/>
      <c r="E310" s="71"/>
      <c r="F310" s="32" t="s">
        <v>783</v>
      </c>
      <c r="G310" s="32" t="s">
        <v>945</v>
      </c>
      <c r="H310" s="32" t="s">
        <v>785</v>
      </c>
      <c r="I310" s="32" t="s">
        <v>586</v>
      </c>
      <c r="J310" s="33">
        <v>1</v>
      </c>
      <c r="K310" s="34">
        <v>45</v>
      </c>
    </row>
    <row r="311" spans="1:11" x14ac:dyDescent="0.25">
      <c r="A311" s="31" t="s">
        <v>314</v>
      </c>
      <c r="B311" s="71" t="s">
        <v>946</v>
      </c>
      <c r="C311" s="71"/>
      <c r="D311" s="71"/>
      <c r="E311" s="71"/>
      <c r="F311" s="32" t="s">
        <v>783</v>
      </c>
      <c r="G311" s="32" t="s">
        <v>947</v>
      </c>
      <c r="H311" s="32" t="s">
        <v>785</v>
      </c>
      <c r="I311" s="32" t="s">
        <v>586</v>
      </c>
      <c r="J311" s="33">
        <v>1</v>
      </c>
      <c r="K311" s="34">
        <v>45</v>
      </c>
    </row>
    <row r="312" spans="1:11" x14ac:dyDescent="0.25">
      <c r="A312" s="283" t="s">
        <v>314</v>
      </c>
      <c r="B312" s="284" t="s">
        <v>948</v>
      </c>
      <c r="C312" s="284"/>
      <c r="D312" s="284"/>
      <c r="E312" s="284"/>
      <c r="F312" s="285" t="s">
        <v>783</v>
      </c>
      <c r="G312" s="285" t="s">
        <v>949</v>
      </c>
      <c r="H312" s="285" t="s">
        <v>785</v>
      </c>
      <c r="I312" s="285" t="s">
        <v>586</v>
      </c>
      <c r="J312" s="286">
        <v>1</v>
      </c>
      <c r="K312" s="287">
        <v>45</v>
      </c>
    </row>
    <row r="313" spans="1:11" x14ac:dyDescent="0.25">
      <c r="A313" s="31" t="s">
        <v>314</v>
      </c>
      <c r="B313" s="71" t="s">
        <v>950</v>
      </c>
      <c r="C313" s="71"/>
      <c r="D313" s="71"/>
      <c r="E313" s="71"/>
      <c r="F313" s="32" t="s">
        <v>783</v>
      </c>
      <c r="G313" s="32" t="s">
        <v>951</v>
      </c>
      <c r="H313" s="32" t="s">
        <v>785</v>
      </c>
      <c r="I313" s="32" t="s">
        <v>586</v>
      </c>
      <c r="J313" s="33">
        <v>1</v>
      </c>
      <c r="K313" s="34">
        <v>45</v>
      </c>
    </row>
    <row r="314" spans="1:11" x14ac:dyDescent="0.25">
      <c r="A314" s="31" t="s">
        <v>314</v>
      </c>
      <c r="B314" s="71" t="s">
        <v>952</v>
      </c>
      <c r="C314" s="71"/>
      <c r="D314" s="71"/>
      <c r="E314" s="71"/>
      <c r="F314" s="32" t="s">
        <v>783</v>
      </c>
      <c r="G314" s="32" t="s">
        <v>953</v>
      </c>
      <c r="H314" s="32" t="s">
        <v>785</v>
      </c>
      <c r="I314" s="32" t="s">
        <v>586</v>
      </c>
      <c r="J314" s="33">
        <v>1</v>
      </c>
      <c r="K314" s="34">
        <v>45</v>
      </c>
    </row>
    <row r="315" spans="1:11" x14ac:dyDescent="0.25">
      <c r="A315" s="283" t="s">
        <v>314</v>
      </c>
      <c r="B315" s="284" t="s">
        <v>954</v>
      </c>
      <c r="C315" s="284"/>
      <c r="D315" s="284"/>
      <c r="E315" s="284"/>
      <c r="F315" s="285" t="s">
        <v>783</v>
      </c>
      <c r="G315" s="285" t="s">
        <v>955</v>
      </c>
      <c r="H315" s="285" t="s">
        <v>785</v>
      </c>
      <c r="I315" s="285" t="s">
        <v>586</v>
      </c>
      <c r="J315" s="286">
        <v>1</v>
      </c>
      <c r="K315" s="287">
        <v>45</v>
      </c>
    </row>
    <row r="316" spans="1:11" x14ac:dyDescent="0.25">
      <c r="A316" s="31" t="s">
        <v>314</v>
      </c>
      <c r="B316" s="71" t="s">
        <v>956</v>
      </c>
      <c r="C316" s="71"/>
      <c r="D316" s="71"/>
      <c r="E316" s="71"/>
      <c r="F316" s="32" t="s">
        <v>783</v>
      </c>
      <c r="G316" s="32" t="s">
        <v>957</v>
      </c>
      <c r="H316" s="32" t="s">
        <v>785</v>
      </c>
      <c r="I316" s="32" t="s">
        <v>586</v>
      </c>
      <c r="J316" s="33">
        <v>1</v>
      </c>
      <c r="K316" s="34">
        <v>45</v>
      </c>
    </row>
    <row r="317" spans="1:11" x14ac:dyDescent="0.25">
      <c r="A317" s="31" t="s">
        <v>314</v>
      </c>
      <c r="B317" s="71" t="s">
        <v>958</v>
      </c>
      <c r="C317" s="71"/>
      <c r="D317" s="71"/>
      <c r="E317" s="71"/>
      <c r="F317" s="32" t="s">
        <v>783</v>
      </c>
      <c r="G317" s="32" t="s">
        <v>959</v>
      </c>
      <c r="H317" s="32" t="s">
        <v>785</v>
      </c>
      <c r="I317" s="32" t="s">
        <v>586</v>
      </c>
      <c r="J317" s="33">
        <v>1</v>
      </c>
      <c r="K317" s="34">
        <v>45</v>
      </c>
    </row>
    <row r="318" spans="1:11" x14ac:dyDescent="0.25">
      <c r="A318" s="31" t="s">
        <v>314</v>
      </c>
      <c r="B318" s="71" t="s">
        <v>960</v>
      </c>
      <c r="C318" s="71"/>
      <c r="D318" s="71"/>
      <c r="E318" s="71"/>
      <c r="F318" s="32" t="s">
        <v>783</v>
      </c>
      <c r="G318" s="32" t="s">
        <v>961</v>
      </c>
      <c r="H318" s="32" t="s">
        <v>785</v>
      </c>
      <c r="I318" s="32" t="s">
        <v>586</v>
      </c>
      <c r="J318" s="33">
        <v>1</v>
      </c>
      <c r="K318" s="34">
        <v>45</v>
      </c>
    </row>
    <row r="319" spans="1:11" x14ac:dyDescent="0.25">
      <c r="A319" s="31" t="s">
        <v>314</v>
      </c>
      <c r="B319" s="71" t="s">
        <v>960</v>
      </c>
      <c r="C319" s="71"/>
      <c r="D319" s="71"/>
      <c r="E319" s="71"/>
      <c r="F319" s="32" t="s">
        <v>783</v>
      </c>
      <c r="G319" s="32" t="s">
        <v>961</v>
      </c>
      <c r="H319" s="32" t="s">
        <v>785</v>
      </c>
      <c r="I319" s="32" t="s">
        <v>586</v>
      </c>
      <c r="J319" s="33">
        <v>1</v>
      </c>
      <c r="K319" s="34">
        <v>45</v>
      </c>
    </row>
    <row r="320" spans="1:11" x14ac:dyDescent="0.25">
      <c r="A320" s="31" t="s">
        <v>314</v>
      </c>
      <c r="B320" s="71" t="s">
        <v>962</v>
      </c>
      <c r="C320" s="71"/>
      <c r="D320" s="71"/>
      <c r="E320" s="71"/>
      <c r="F320" s="32" t="s">
        <v>783</v>
      </c>
      <c r="G320" s="32" t="s">
        <v>963</v>
      </c>
      <c r="H320" s="32" t="s">
        <v>785</v>
      </c>
      <c r="I320" s="32" t="s">
        <v>586</v>
      </c>
      <c r="J320" s="33">
        <v>1</v>
      </c>
      <c r="K320" s="34">
        <v>45</v>
      </c>
    </row>
    <row r="321" spans="1:11" x14ac:dyDescent="0.25">
      <c r="A321" s="31" t="s">
        <v>314</v>
      </c>
      <c r="B321" s="71" t="s">
        <v>964</v>
      </c>
      <c r="C321" s="71"/>
      <c r="D321" s="71"/>
      <c r="E321" s="71"/>
      <c r="F321" s="32" t="s">
        <v>783</v>
      </c>
      <c r="G321" s="32" t="s">
        <v>965</v>
      </c>
      <c r="H321" s="32" t="s">
        <v>785</v>
      </c>
      <c r="I321" s="32" t="s">
        <v>586</v>
      </c>
      <c r="J321" s="33">
        <v>1</v>
      </c>
      <c r="K321" s="34">
        <v>45</v>
      </c>
    </row>
    <row r="322" spans="1:11" x14ac:dyDescent="0.25">
      <c r="A322" s="31" t="s">
        <v>314</v>
      </c>
      <c r="B322" s="71" t="s">
        <v>966</v>
      </c>
      <c r="C322" s="71"/>
      <c r="D322" s="71"/>
      <c r="E322" s="71"/>
      <c r="F322" s="32" t="s">
        <v>783</v>
      </c>
      <c r="G322" s="32" t="s">
        <v>967</v>
      </c>
      <c r="H322" s="32" t="s">
        <v>785</v>
      </c>
      <c r="I322" s="32" t="s">
        <v>586</v>
      </c>
      <c r="J322" s="33">
        <v>1</v>
      </c>
      <c r="K322" s="34">
        <v>45</v>
      </c>
    </row>
    <row r="323" spans="1:11" x14ac:dyDescent="0.25">
      <c r="A323" s="283" t="s">
        <v>314</v>
      </c>
      <c r="B323" s="284" t="s">
        <v>968</v>
      </c>
      <c r="C323" s="284"/>
      <c r="D323" s="284"/>
      <c r="E323" s="284"/>
      <c r="F323" s="285" t="s">
        <v>783</v>
      </c>
      <c r="G323" s="285" t="s">
        <v>969</v>
      </c>
      <c r="H323" s="285" t="s">
        <v>785</v>
      </c>
      <c r="I323" s="285" t="s">
        <v>586</v>
      </c>
      <c r="J323" s="286">
        <v>1</v>
      </c>
      <c r="K323" s="287">
        <v>45</v>
      </c>
    </row>
    <row r="324" spans="1:11" x14ac:dyDescent="0.25">
      <c r="A324" s="31" t="s">
        <v>314</v>
      </c>
      <c r="B324" s="71" t="s">
        <v>970</v>
      </c>
      <c r="C324" s="71"/>
      <c r="D324" s="71"/>
      <c r="E324" s="71"/>
      <c r="F324" s="32" t="s">
        <v>783</v>
      </c>
      <c r="G324" s="32" t="s">
        <v>971</v>
      </c>
      <c r="H324" s="32" t="s">
        <v>785</v>
      </c>
      <c r="I324" s="32" t="s">
        <v>586</v>
      </c>
      <c r="J324" s="33">
        <v>1</v>
      </c>
      <c r="K324" s="34">
        <v>45</v>
      </c>
    </row>
    <row r="325" spans="1:11" x14ac:dyDescent="0.25">
      <c r="A325" s="31" t="s">
        <v>314</v>
      </c>
      <c r="B325" s="71" t="s">
        <v>970</v>
      </c>
      <c r="C325" s="71"/>
      <c r="D325" s="71"/>
      <c r="E325" s="71"/>
      <c r="F325" s="32" t="s">
        <v>783</v>
      </c>
      <c r="G325" s="32" t="s">
        <v>971</v>
      </c>
      <c r="H325" s="32" t="s">
        <v>785</v>
      </c>
      <c r="I325" s="32" t="s">
        <v>586</v>
      </c>
      <c r="J325" s="33">
        <v>1</v>
      </c>
      <c r="K325" s="34">
        <v>45</v>
      </c>
    </row>
    <row r="326" spans="1:11" x14ac:dyDescent="0.25">
      <c r="A326" s="31" t="s">
        <v>314</v>
      </c>
      <c r="B326" s="71" t="s">
        <v>972</v>
      </c>
      <c r="C326" s="71"/>
      <c r="D326" s="71"/>
      <c r="E326" s="71"/>
      <c r="F326" s="32" t="s">
        <v>783</v>
      </c>
      <c r="G326" s="32" t="s">
        <v>973</v>
      </c>
      <c r="H326" s="32" t="s">
        <v>785</v>
      </c>
      <c r="I326" s="32" t="s">
        <v>586</v>
      </c>
      <c r="J326" s="33">
        <v>1</v>
      </c>
      <c r="K326" s="34">
        <v>45</v>
      </c>
    </row>
    <row r="327" spans="1:11" x14ac:dyDescent="0.25">
      <c r="A327" s="39" t="s">
        <v>314</v>
      </c>
      <c r="B327" s="331" t="s">
        <v>972</v>
      </c>
      <c r="C327" s="331"/>
      <c r="D327" s="331"/>
      <c r="E327" s="331"/>
      <c r="F327" s="28" t="s">
        <v>783</v>
      </c>
      <c r="G327" s="28" t="s">
        <v>973</v>
      </c>
      <c r="H327" s="28" t="s">
        <v>785</v>
      </c>
      <c r="I327" s="28" t="s">
        <v>586</v>
      </c>
      <c r="J327" s="40">
        <v>1</v>
      </c>
      <c r="K327" s="30">
        <v>45</v>
      </c>
    </row>
    <row r="328" spans="1:11" x14ac:dyDescent="0.25">
      <c r="A328" s="39" t="s">
        <v>314</v>
      </c>
      <c r="B328" s="331" t="s">
        <v>974</v>
      </c>
      <c r="C328" s="331"/>
      <c r="D328" s="331"/>
      <c r="E328" s="331"/>
      <c r="F328" s="28" t="s">
        <v>783</v>
      </c>
      <c r="G328" s="28" t="s">
        <v>975</v>
      </c>
      <c r="H328" s="28" t="s">
        <v>785</v>
      </c>
      <c r="I328" s="28" t="s">
        <v>586</v>
      </c>
      <c r="J328" s="40">
        <v>1</v>
      </c>
      <c r="K328" s="30">
        <v>45</v>
      </c>
    </row>
    <row r="329" spans="1:11" x14ac:dyDescent="0.25">
      <c r="A329" s="31" t="s">
        <v>314</v>
      </c>
      <c r="B329" s="71" t="s">
        <v>976</v>
      </c>
      <c r="C329" s="71"/>
      <c r="D329" s="71"/>
      <c r="E329" s="71"/>
      <c r="F329" s="32" t="s">
        <v>783</v>
      </c>
      <c r="G329" s="32" t="s">
        <v>977</v>
      </c>
      <c r="H329" s="32" t="s">
        <v>785</v>
      </c>
      <c r="I329" s="32" t="s">
        <v>586</v>
      </c>
      <c r="J329" s="33">
        <v>1</v>
      </c>
      <c r="K329" s="34">
        <v>45</v>
      </c>
    </row>
    <row r="330" spans="1:11" x14ac:dyDescent="0.25">
      <c r="A330" s="31" t="s">
        <v>314</v>
      </c>
      <c r="B330" s="71" t="s">
        <v>978</v>
      </c>
      <c r="C330" s="71"/>
      <c r="D330" s="71"/>
      <c r="E330" s="71"/>
      <c r="F330" s="32" t="s">
        <v>783</v>
      </c>
      <c r="G330" s="32" t="s">
        <v>979</v>
      </c>
      <c r="H330" s="32" t="s">
        <v>785</v>
      </c>
      <c r="I330" s="32" t="s">
        <v>586</v>
      </c>
      <c r="J330" s="33">
        <v>1</v>
      </c>
      <c r="K330" s="34">
        <v>45</v>
      </c>
    </row>
    <row r="331" spans="1:11" x14ac:dyDescent="0.25">
      <c r="A331" s="31" t="s">
        <v>314</v>
      </c>
      <c r="B331" s="71" t="s">
        <v>980</v>
      </c>
      <c r="C331" s="71"/>
      <c r="D331" s="71"/>
      <c r="E331" s="71"/>
      <c r="F331" s="32" t="s">
        <v>783</v>
      </c>
      <c r="G331" s="32" t="s">
        <v>981</v>
      </c>
      <c r="H331" s="32" t="s">
        <v>785</v>
      </c>
      <c r="I331" s="32" t="s">
        <v>586</v>
      </c>
      <c r="J331" s="33">
        <v>1</v>
      </c>
      <c r="K331" s="34">
        <v>45</v>
      </c>
    </row>
    <row r="332" spans="1:11" x14ac:dyDescent="0.25">
      <c r="A332" s="31" t="s">
        <v>314</v>
      </c>
      <c r="B332" s="71" t="s">
        <v>982</v>
      </c>
      <c r="C332" s="71"/>
      <c r="D332" s="71"/>
      <c r="E332" s="71"/>
      <c r="F332" s="32" t="s">
        <v>795</v>
      </c>
      <c r="G332" s="32" t="s">
        <v>983</v>
      </c>
      <c r="H332" s="32" t="s">
        <v>785</v>
      </c>
      <c r="I332" s="32" t="s">
        <v>586</v>
      </c>
      <c r="J332" s="33">
        <v>1</v>
      </c>
      <c r="K332" s="34">
        <v>45</v>
      </c>
    </row>
    <row r="333" spans="1:11" x14ac:dyDescent="0.25">
      <c r="A333" s="325" t="s">
        <v>314</v>
      </c>
      <c r="B333" s="340" t="s">
        <v>984</v>
      </c>
      <c r="C333" s="340"/>
      <c r="D333" s="340"/>
      <c r="E333" s="340"/>
      <c r="F333" s="329" t="s">
        <v>795</v>
      </c>
      <c r="G333" s="329" t="s">
        <v>985</v>
      </c>
      <c r="H333" s="329" t="s">
        <v>785</v>
      </c>
      <c r="I333" s="329" t="s">
        <v>586</v>
      </c>
      <c r="J333" s="379">
        <v>1</v>
      </c>
      <c r="K333" s="384">
        <v>45</v>
      </c>
    </row>
    <row r="334" spans="1:11" x14ac:dyDescent="0.25">
      <c r="A334" s="39" t="s">
        <v>314</v>
      </c>
      <c r="B334" s="331" t="s">
        <v>986</v>
      </c>
      <c r="C334" s="331"/>
      <c r="D334" s="331"/>
      <c r="E334" s="331"/>
      <c r="F334" s="28" t="s">
        <v>795</v>
      </c>
      <c r="G334" s="28" t="s">
        <v>987</v>
      </c>
      <c r="H334" s="28" t="s">
        <v>785</v>
      </c>
      <c r="I334" s="28" t="s">
        <v>586</v>
      </c>
      <c r="J334" s="40">
        <v>1</v>
      </c>
      <c r="K334" s="30">
        <v>45</v>
      </c>
    </row>
    <row r="335" spans="1:11" x14ac:dyDescent="0.25">
      <c r="A335" s="39" t="s">
        <v>314</v>
      </c>
      <c r="B335" s="331" t="s">
        <v>988</v>
      </c>
      <c r="C335" s="331"/>
      <c r="D335" s="331"/>
      <c r="E335" s="331"/>
      <c r="F335" s="28" t="s">
        <v>795</v>
      </c>
      <c r="G335" s="28" t="s">
        <v>989</v>
      </c>
      <c r="H335" s="28" t="s">
        <v>785</v>
      </c>
      <c r="I335" s="28" t="s">
        <v>586</v>
      </c>
      <c r="J335" s="40">
        <v>1</v>
      </c>
      <c r="K335" s="30">
        <v>45</v>
      </c>
    </row>
    <row r="336" spans="1:11" x14ac:dyDescent="0.25">
      <c r="A336" s="31" t="s">
        <v>314</v>
      </c>
      <c r="B336" s="71" t="s">
        <v>990</v>
      </c>
      <c r="C336" s="71"/>
      <c r="D336" s="71"/>
      <c r="E336" s="71"/>
      <c r="F336" s="32" t="s">
        <v>795</v>
      </c>
      <c r="G336" s="32" t="s">
        <v>991</v>
      </c>
      <c r="H336" s="32" t="s">
        <v>785</v>
      </c>
      <c r="I336" s="32" t="s">
        <v>586</v>
      </c>
      <c r="J336" s="33">
        <v>1</v>
      </c>
      <c r="K336" s="34">
        <v>45</v>
      </c>
    </row>
    <row r="337" spans="1:11" x14ac:dyDescent="0.25">
      <c r="A337" s="31" t="s">
        <v>314</v>
      </c>
      <c r="B337" s="71" t="s">
        <v>992</v>
      </c>
      <c r="C337" s="71"/>
      <c r="D337" s="71"/>
      <c r="E337" s="71"/>
      <c r="F337" s="32" t="s">
        <v>795</v>
      </c>
      <c r="G337" s="32" t="s">
        <v>993</v>
      </c>
      <c r="H337" s="32" t="s">
        <v>785</v>
      </c>
      <c r="I337" s="32" t="s">
        <v>586</v>
      </c>
      <c r="J337" s="33">
        <v>1</v>
      </c>
      <c r="K337" s="34">
        <v>45</v>
      </c>
    </row>
    <row r="338" spans="1:11" x14ac:dyDescent="0.25">
      <c r="A338" s="31" t="s">
        <v>314</v>
      </c>
      <c r="B338" s="71" t="s">
        <v>994</v>
      </c>
      <c r="C338" s="71"/>
      <c r="D338" s="71"/>
      <c r="E338" s="71"/>
      <c r="F338" s="32" t="s">
        <v>795</v>
      </c>
      <c r="G338" s="32" t="s">
        <v>995</v>
      </c>
      <c r="H338" s="32" t="s">
        <v>785</v>
      </c>
      <c r="I338" s="32" t="s">
        <v>586</v>
      </c>
      <c r="J338" s="33">
        <v>1</v>
      </c>
      <c r="K338" s="34">
        <v>45</v>
      </c>
    </row>
    <row r="339" spans="1:11" x14ac:dyDescent="0.25">
      <c r="A339" s="31" t="s">
        <v>314</v>
      </c>
      <c r="B339" s="71" t="s">
        <v>996</v>
      </c>
      <c r="C339" s="71"/>
      <c r="D339" s="71"/>
      <c r="E339" s="71"/>
      <c r="F339" s="32" t="s">
        <v>795</v>
      </c>
      <c r="G339" s="32" t="s">
        <v>997</v>
      </c>
      <c r="H339" s="32" t="s">
        <v>785</v>
      </c>
      <c r="I339" s="32" t="s">
        <v>586</v>
      </c>
      <c r="J339" s="33">
        <v>1</v>
      </c>
      <c r="K339" s="34">
        <v>45</v>
      </c>
    </row>
    <row r="340" spans="1:11" x14ac:dyDescent="0.25">
      <c r="A340" s="31" t="s">
        <v>314</v>
      </c>
      <c r="B340" s="71" t="s">
        <v>998</v>
      </c>
      <c r="C340" s="71"/>
      <c r="D340" s="71"/>
      <c r="E340" s="71"/>
      <c r="F340" s="32" t="s">
        <v>795</v>
      </c>
      <c r="G340" s="32" t="s">
        <v>999</v>
      </c>
      <c r="H340" s="32" t="s">
        <v>785</v>
      </c>
      <c r="I340" s="32" t="s">
        <v>586</v>
      </c>
      <c r="J340" s="33">
        <v>1</v>
      </c>
      <c r="K340" s="34">
        <v>45</v>
      </c>
    </row>
    <row r="341" spans="1:11" x14ac:dyDescent="0.25">
      <c r="A341" s="71" t="s">
        <v>314</v>
      </c>
      <c r="B341" s="71" t="s">
        <v>1000</v>
      </c>
      <c r="C341" s="71"/>
      <c r="D341" s="71"/>
      <c r="E341" s="71"/>
      <c r="F341" s="32" t="s">
        <v>1001</v>
      </c>
      <c r="G341" s="32" t="s">
        <v>1002</v>
      </c>
      <c r="H341" s="32" t="s">
        <v>785</v>
      </c>
      <c r="I341" s="32" t="s">
        <v>586</v>
      </c>
      <c r="J341" s="33">
        <v>1</v>
      </c>
      <c r="K341" s="34">
        <v>45</v>
      </c>
    </row>
    <row r="342" spans="1:11" x14ac:dyDescent="0.25">
      <c r="A342" s="71" t="s">
        <v>314</v>
      </c>
      <c r="B342" s="71" t="s">
        <v>1003</v>
      </c>
      <c r="C342" s="71"/>
      <c r="D342" s="71"/>
      <c r="E342" s="71"/>
      <c r="F342" s="32" t="s">
        <v>1001</v>
      </c>
      <c r="G342" s="32" t="s">
        <v>1004</v>
      </c>
      <c r="H342" s="32" t="s">
        <v>785</v>
      </c>
      <c r="I342" s="32" t="s">
        <v>586</v>
      </c>
      <c r="J342" s="33">
        <v>1</v>
      </c>
      <c r="K342" s="34">
        <v>45</v>
      </c>
    </row>
    <row r="343" spans="1:11" x14ac:dyDescent="0.25">
      <c r="A343" s="331" t="s">
        <v>314</v>
      </c>
      <c r="B343" s="331" t="s">
        <v>1005</v>
      </c>
      <c r="C343" s="331"/>
      <c r="D343" s="331"/>
      <c r="E343" s="331"/>
      <c r="F343" s="28" t="s">
        <v>1001</v>
      </c>
      <c r="G343" s="28" t="s">
        <v>1006</v>
      </c>
      <c r="H343" s="28" t="s">
        <v>785</v>
      </c>
      <c r="I343" s="28" t="s">
        <v>586</v>
      </c>
      <c r="J343" s="40">
        <v>1</v>
      </c>
      <c r="K343" s="30">
        <v>45</v>
      </c>
    </row>
    <row r="344" spans="1:11" x14ac:dyDescent="0.25">
      <c r="A344" s="126" t="s">
        <v>286</v>
      </c>
      <c r="B344" s="126" t="s">
        <v>1007</v>
      </c>
      <c r="C344" s="126"/>
      <c r="D344" s="126"/>
      <c r="E344" s="126"/>
      <c r="F344" s="9" t="s">
        <v>1008</v>
      </c>
      <c r="G344" s="9" t="s">
        <v>1009</v>
      </c>
      <c r="H344" s="9"/>
      <c r="I344" s="9"/>
      <c r="J344" s="61">
        <v>1</v>
      </c>
      <c r="K344" s="47">
        <v>45</v>
      </c>
    </row>
    <row r="345" spans="1:11" x14ac:dyDescent="0.25">
      <c r="A345" s="31" t="s">
        <v>314</v>
      </c>
      <c r="B345" s="71" t="s">
        <v>1010</v>
      </c>
      <c r="C345" s="71"/>
      <c r="D345" s="31"/>
      <c r="E345" s="31"/>
      <c r="F345" s="31" t="s">
        <v>1011</v>
      </c>
      <c r="G345" s="31" t="s">
        <v>1012</v>
      </c>
      <c r="H345" s="31" t="s">
        <v>791</v>
      </c>
      <c r="I345" s="31"/>
      <c r="J345" s="33">
        <v>1</v>
      </c>
      <c r="K345" s="34">
        <v>45</v>
      </c>
    </row>
    <row r="346" spans="1:11" x14ac:dyDescent="0.25">
      <c r="A346" s="39" t="s">
        <v>314</v>
      </c>
      <c r="B346" s="331" t="s">
        <v>1013</v>
      </c>
      <c r="C346" s="331"/>
      <c r="D346" s="39"/>
      <c r="E346" s="39"/>
      <c r="F346" s="39" t="s">
        <v>1014</v>
      </c>
      <c r="G346" s="39" t="s">
        <v>1015</v>
      </c>
      <c r="H346" s="39" t="s">
        <v>791</v>
      </c>
      <c r="I346" s="39"/>
      <c r="J346" s="40">
        <v>1</v>
      </c>
      <c r="K346" s="30">
        <v>45</v>
      </c>
    </row>
    <row r="347" spans="1:11" x14ac:dyDescent="0.25">
      <c r="A347" s="39" t="s">
        <v>314</v>
      </c>
      <c r="B347" s="331" t="s">
        <v>1013</v>
      </c>
      <c r="C347" s="331"/>
      <c r="D347" s="39"/>
      <c r="E347" s="39"/>
      <c r="F347" s="39" t="s">
        <v>1014</v>
      </c>
      <c r="G347" s="39" t="s">
        <v>1015</v>
      </c>
      <c r="H347" s="39" t="s">
        <v>791</v>
      </c>
      <c r="I347" s="39"/>
      <c r="J347" s="40">
        <v>1</v>
      </c>
      <c r="K347" s="30">
        <v>45</v>
      </c>
    </row>
    <row r="348" spans="1:11" x14ac:dyDescent="0.25">
      <c r="A348" s="31" t="s">
        <v>169</v>
      </c>
      <c r="B348" s="71" t="s">
        <v>1016</v>
      </c>
      <c r="C348" s="71"/>
      <c r="D348" s="71"/>
      <c r="E348" s="71"/>
      <c r="F348" s="32" t="s">
        <v>1017</v>
      </c>
      <c r="G348" s="71" t="s">
        <v>1018</v>
      </c>
      <c r="H348" s="32" t="s">
        <v>621</v>
      </c>
      <c r="I348" s="32"/>
      <c r="J348" s="33">
        <v>2</v>
      </c>
      <c r="K348" s="34">
        <v>41.75</v>
      </c>
    </row>
    <row r="349" spans="1:11" x14ac:dyDescent="0.25">
      <c r="A349" s="39" t="s">
        <v>227</v>
      </c>
      <c r="B349" s="331" t="s">
        <v>1019</v>
      </c>
      <c r="C349" s="331"/>
      <c r="D349" s="331"/>
      <c r="E349" s="331"/>
      <c r="F349" s="9" t="s">
        <v>1020</v>
      </c>
      <c r="G349" s="9" t="s">
        <v>1021</v>
      </c>
      <c r="H349" s="9" t="s">
        <v>600</v>
      </c>
      <c r="I349" s="9" t="s">
        <v>601</v>
      </c>
      <c r="J349" s="60">
        <v>2</v>
      </c>
      <c r="K349" s="47">
        <v>41.34</v>
      </c>
    </row>
    <row r="350" spans="1:11" x14ac:dyDescent="0.25">
      <c r="A350" s="39" t="s">
        <v>314</v>
      </c>
      <c r="B350" s="331" t="s">
        <v>1022</v>
      </c>
      <c r="C350" s="331"/>
      <c r="D350" s="331"/>
      <c r="E350" s="331"/>
      <c r="F350" s="28" t="s">
        <v>1023</v>
      </c>
      <c r="G350" s="28"/>
      <c r="H350" s="28"/>
      <c r="I350" s="28"/>
      <c r="J350" s="40">
        <v>36</v>
      </c>
      <c r="K350" s="30">
        <v>40.42</v>
      </c>
    </row>
    <row r="351" spans="1:11" x14ac:dyDescent="0.25">
      <c r="A351" s="39" t="s">
        <v>314</v>
      </c>
      <c r="B351" s="331" t="s">
        <v>1024</v>
      </c>
      <c r="C351" s="331"/>
      <c r="D351" s="331"/>
      <c r="E351" s="331"/>
      <c r="F351" s="28" t="s">
        <v>1025</v>
      </c>
      <c r="G351" s="28" t="s">
        <v>1026</v>
      </c>
      <c r="H351" s="28" t="s">
        <v>770</v>
      </c>
      <c r="I351" s="28"/>
      <c r="J351" s="40">
        <v>6</v>
      </c>
      <c r="K351" s="30">
        <v>40</v>
      </c>
    </row>
    <row r="352" spans="1:11" x14ac:dyDescent="0.25">
      <c r="A352" s="126" t="s">
        <v>286</v>
      </c>
      <c r="B352" s="126" t="s">
        <v>1027</v>
      </c>
      <c r="C352" s="126"/>
      <c r="D352" s="126"/>
      <c r="E352" s="126"/>
      <c r="F352" s="9" t="s">
        <v>1028</v>
      </c>
      <c r="G352" s="9">
        <v>600585</v>
      </c>
      <c r="H352" s="9" t="s">
        <v>452</v>
      </c>
      <c r="I352" s="9"/>
      <c r="J352" s="61">
        <v>2</v>
      </c>
      <c r="K352" s="47">
        <v>40</v>
      </c>
    </row>
    <row r="353" spans="1:11" x14ac:dyDescent="0.25">
      <c r="A353" s="51" t="s">
        <v>286</v>
      </c>
      <c r="B353" s="51" t="s">
        <v>1029</v>
      </c>
      <c r="C353" s="196"/>
      <c r="D353" s="51"/>
      <c r="E353" s="51"/>
      <c r="F353" s="52" t="s">
        <v>1030</v>
      </c>
      <c r="G353" s="52">
        <v>600356</v>
      </c>
      <c r="H353" s="52" t="s">
        <v>452</v>
      </c>
      <c r="I353" s="52"/>
      <c r="J353" s="54">
        <v>2</v>
      </c>
      <c r="K353" s="38">
        <v>40</v>
      </c>
    </row>
    <row r="354" spans="1:11" x14ac:dyDescent="0.25">
      <c r="A354" s="31" t="s">
        <v>227</v>
      </c>
      <c r="B354" s="71" t="s">
        <v>1031</v>
      </c>
      <c r="C354" s="353"/>
      <c r="D354" s="71"/>
      <c r="E354" s="71"/>
      <c r="F354" s="52" t="s">
        <v>1032</v>
      </c>
      <c r="G354" s="52" t="s">
        <v>1033</v>
      </c>
      <c r="H354" s="52" t="s">
        <v>1034</v>
      </c>
      <c r="I354" s="32"/>
      <c r="J354" s="33">
        <v>1</v>
      </c>
      <c r="K354" s="34">
        <v>40</v>
      </c>
    </row>
    <row r="355" spans="1:11" x14ac:dyDescent="0.25">
      <c r="A355" s="51" t="s">
        <v>474</v>
      </c>
      <c r="B355" s="51" t="s">
        <v>70</v>
      </c>
      <c r="C355" s="51"/>
      <c r="D355" s="51"/>
      <c r="E355" s="51"/>
      <c r="F355" s="32" t="s">
        <v>1035</v>
      </c>
      <c r="G355" s="52"/>
      <c r="H355" s="52" t="s">
        <v>480</v>
      </c>
      <c r="I355" s="52"/>
      <c r="J355" s="54">
        <v>1</v>
      </c>
      <c r="K355" s="38">
        <v>39.909999999999997</v>
      </c>
    </row>
    <row r="356" spans="1:11" x14ac:dyDescent="0.25">
      <c r="A356" s="283" t="s">
        <v>314</v>
      </c>
      <c r="B356" s="340" t="s">
        <v>1036</v>
      </c>
      <c r="C356" s="284"/>
      <c r="D356" s="284"/>
      <c r="E356" s="284"/>
      <c r="F356" s="285" t="s">
        <v>1037</v>
      </c>
      <c r="G356" s="285" t="s">
        <v>1038</v>
      </c>
      <c r="H356" s="285" t="s">
        <v>1039</v>
      </c>
      <c r="I356" s="285" t="s">
        <v>1040</v>
      </c>
      <c r="J356" s="286">
        <v>1</v>
      </c>
      <c r="K356" s="287">
        <v>37.5</v>
      </c>
    </row>
    <row r="357" spans="1:11" x14ac:dyDescent="0.25">
      <c r="A357" s="31" t="s">
        <v>41</v>
      </c>
      <c r="B357" s="331" t="s">
        <v>1041</v>
      </c>
      <c r="C357" s="71"/>
      <c r="D357" s="71" t="s">
        <v>1042</v>
      </c>
      <c r="E357" s="71"/>
      <c r="F357" s="32" t="s">
        <v>1043</v>
      </c>
      <c r="G357" s="32" t="s">
        <v>1044</v>
      </c>
      <c r="H357" s="32" t="s">
        <v>678</v>
      </c>
      <c r="I357" s="32" t="s">
        <v>679</v>
      </c>
      <c r="J357" s="33">
        <v>1</v>
      </c>
      <c r="K357" s="34">
        <v>35.729999999999997</v>
      </c>
    </row>
    <row r="358" spans="1:11" x14ac:dyDescent="0.25">
      <c r="A358" s="51" t="s">
        <v>474</v>
      </c>
      <c r="B358" s="51" t="s">
        <v>70</v>
      </c>
      <c r="C358" s="51"/>
      <c r="D358" s="51"/>
      <c r="E358" s="51"/>
      <c r="F358" s="32" t="s">
        <v>1045</v>
      </c>
      <c r="G358" s="52"/>
      <c r="H358" s="52" t="s">
        <v>480</v>
      </c>
      <c r="I358" s="52"/>
      <c r="J358" s="54">
        <v>1</v>
      </c>
      <c r="K358" s="38">
        <v>35.08</v>
      </c>
    </row>
    <row r="359" spans="1:11" x14ac:dyDescent="0.25">
      <c r="A359" s="214" t="s">
        <v>366</v>
      </c>
      <c r="B359" s="275" t="s">
        <v>1046</v>
      </c>
      <c r="C359" s="275"/>
      <c r="D359" s="275"/>
      <c r="E359" s="275"/>
      <c r="F359" s="203" t="s">
        <v>1047</v>
      </c>
      <c r="G359" s="203" t="s">
        <v>1048</v>
      </c>
      <c r="H359" s="203" t="s">
        <v>1049</v>
      </c>
      <c r="I359" s="214"/>
      <c r="J359" s="215">
        <v>2</v>
      </c>
      <c r="K359" s="34">
        <v>33.42</v>
      </c>
    </row>
    <row r="360" spans="1:11" x14ac:dyDescent="0.25">
      <c r="A360" s="51" t="s">
        <v>27</v>
      </c>
      <c r="B360" s="51" t="s">
        <v>1051</v>
      </c>
      <c r="C360" s="51"/>
      <c r="D360" s="51"/>
      <c r="E360" s="51"/>
      <c r="F360" s="52" t="s">
        <v>1052</v>
      </c>
      <c r="G360" s="52" t="s">
        <v>1053</v>
      </c>
      <c r="H360" s="52" t="s">
        <v>1054</v>
      </c>
      <c r="I360" s="52" t="s">
        <v>1054</v>
      </c>
      <c r="J360" s="54">
        <v>2</v>
      </c>
      <c r="K360" s="38">
        <v>33.25</v>
      </c>
    </row>
    <row r="361" spans="1:11" x14ac:dyDescent="0.25">
      <c r="A361" s="31" t="s">
        <v>227</v>
      </c>
      <c r="B361" s="71" t="s">
        <v>1055</v>
      </c>
      <c r="C361" s="71"/>
      <c r="D361" s="71"/>
      <c r="E361" s="71"/>
      <c r="F361" s="52" t="s">
        <v>1056</v>
      </c>
      <c r="G361" s="52" t="s">
        <v>1057</v>
      </c>
      <c r="H361" s="52" t="s">
        <v>1058</v>
      </c>
      <c r="I361" s="52" t="s">
        <v>1059</v>
      </c>
      <c r="J361" s="33">
        <v>1</v>
      </c>
      <c r="K361" s="38">
        <v>31.41</v>
      </c>
    </row>
    <row r="362" spans="1:11" x14ac:dyDescent="0.25">
      <c r="A362" s="71" t="s">
        <v>314</v>
      </c>
      <c r="B362" s="71" t="s">
        <v>1060</v>
      </c>
      <c r="C362" s="71"/>
      <c r="D362" s="71"/>
      <c r="E362" s="71"/>
      <c r="F362" s="32" t="s">
        <v>1061</v>
      </c>
      <c r="G362" s="32" t="s">
        <v>1062</v>
      </c>
      <c r="H362" s="32" t="s">
        <v>1063</v>
      </c>
      <c r="I362" s="32"/>
      <c r="J362" s="33">
        <v>10</v>
      </c>
      <c r="K362" s="34">
        <v>31.25</v>
      </c>
    </row>
    <row r="363" spans="1:11" x14ac:dyDescent="0.25">
      <c r="A363" s="71" t="s">
        <v>314</v>
      </c>
      <c r="B363" s="71" t="s">
        <v>1064</v>
      </c>
      <c r="C363" s="71"/>
      <c r="D363" s="71"/>
      <c r="E363" s="71"/>
      <c r="F363" s="32" t="s">
        <v>1065</v>
      </c>
      <c r="G363" s="32" t="s">
        <v>1066</v>
      </c>
      <c r="H363" s="32" t="s">
        <v>1063</v>
      </c>
      <c r="I363" s="32"/>
      <c r="J363" s="33">
        <v>5</v>
      </c>
      <c r="K363" s="34">
        <v>31.25</v>
      </c>
    </row>
    <row r="364" spans="1:11" x14ac:dyDescent="0.25">
      <c r="A364" s="284" t="s">
        <v>314</v>
      </c>
      <c r="B364" s="284" t="s">
        <v>1067</v>
      </c>
      <c r="C364" s="284"/>
      <c r="D364" s="284"/>
      <c r="E364" s="284"/>
      <c r="F364" s="285" t="s">
        <v>1068</v>
      </c>
      <c r="G364" s="285" t="s">
        <v>1069</v>
      </c>
      <c r="H364" s="285" t="s">
        <v>1070</v>
      </c>
      <c r="I364" s="285" t="s">
        <v>1071</v>
      </c>
      <c r="J364" s="286">
        <v>2</v>
      </c>
      <c r="K364" s="287">
        <v>31.25</v>
      </c>
    </row>
    <row r="365" spans="1:11" x14ac:dyDescent="0.25">
      <c r="A365" s="32" t="s">
        <v>169</v>
      </c>
      <c r="B365" s="71" t="s">
        <v>1072</v>
      </c>
      <c r="C365" s="71"/>
      <c r="D365" s="70"/>
      <c r="E365" s="70"/>
      <c r="F365" s="31" t="s">
        <v>1073</v>
      </c>
      <c r="G365" s="32" t="s">
        <v>1074</v>
      </c>
      <c r="H365" s="32" t="s">
        <v>200</v>
      </c>
      <c r="I365" s="32"/>
      <c r="J365" s="33">
        <v>1</v>
      </c>
      <c r="K365" s="34">
        <v>30.3</v>
      </c>
    </row>
    <row r="366" spans="1:11" x14ac:dyDescent="0.25">
      <c r="A366" s="32" t="s">
        <v>169</v>
      </c>
      <c r="B366" s="70" t="s">
        <v>1075</v>
      </c>
      <c r="C366" s="70"/>
      <c r="D366" s="70"/>
      <c r="E366" s="70"/>
      <c r="F366" s="31" t="s">
        <v>1076</v>
      </c>
      <c r="G366" s="32" t="s">
        <v>1077</v>
      </c>
      <c r="H366" s="32"/>
      <c r="I366" s="32"/>
      <c r="J366" s="33">
        <v>200</v>
      </c>
      <c r="K366" s="34">
        <v>30</v>
      </c>
    </row>
    <row r="367" spans="1:11" x14ac:dyDescent="0.25">
      <c r="A367" s="31" t="s">
        <v>41</v>
      </c>
      <c r="B367" s="71" t="s">
        <v>1078</v>
      </c>
      <c r="C367" s="71"/>
      <c r="D367" s="71"/>
      <c r="E367" s="71"/>
      <c r="F367" s="32" t="s">
        <v>1079</v>
      </c>
      <c r="G367" s="32" t="s">
        <v>1080</v>
      </c>
      <c r="H367" s="32"/>
      <c r="I367" s="32"/>
      <c r="J367" s="33">
        <v>10</v>
      </c>
      <c r="K367" s="34">
        <v>30</v>
      </c>
    </row>
    <row r="368" spans="1:11" x14ac:dyDescent="0.25">
      <c r="A368" s="31" t="s">
        <v>41</v>
      </c>
      <c r="B368" s="71" t="s">
        <v>1081</v>
      </c>
      <c r="C368" s="71"/>
      <c r="D368" s="71"/>
      <c r="E368" s="71"/>
      <c r="F368" s="32" t="s">
        <v>1082</v>
      </c>
      <c r="G368" s="32" t="s">
        <v>1083</v>
      </c>
      <c r="H368" s="32"/>
      <c r="I368" s="32" t="s">
        <v>1084</v>
      </c>
      <c r="J368" s="33">
        <v>10</v>
      </c>
      <c r="K368" s="34">
        <v>30</v>
      </c>
    </row>
    <row r="369" spans="1:11" x14ac:dyDescent="0.25">
      <c r="A369" s="51" t="s">
        <v>548</v>
      </c>
      <c r="B369" s="51" t="s">
        <v>1085</v>
      </c>
      <c r="C369" s="51"/>
      <c r="D369" s="51"/>
      <c r="E369" s="51"/>
      <c r="F369" s="52" t="s">
        <v>1086</v>
      </c>
      <c r="G369" s="52" t="s">
        <v>1087</v>
      </c>
      <c r="H369" s="52" t="s">
        <v>731</v>
      </c>
      <c r="I369" s="52" t="s">
        <v>763</v>
      </c>
      <c r="J369" s="54">
        <v>6</v>
      </c>
      <c r="K369" s="38">
        <v>30</v>
      </c>
    </row>
    <row r="370" spans="1:11" x14ac:dyDescent="0.25">
      <c r="A370" s="32" t="s">
        <v>217</v>
      </c>
      <c r="B370" s="70" t="s">
        <v>1088</v>
      </c>
      <c r="C370" s="70"/>
      <c r="D370" s="70"/>
      <c r="E370" s="70"/>
      <c r="F370" s="31" t="s">
        <v>1089</v>
      </c>
      <c r="G370" s="32" t="s">
        <v>1090</v>
      </c>
      <c r="H370" s="32"/>
      <c r="I370" s="32" t="s">
        <v>461</v>
      </c>
      <c r="J370" s="33">
        <v>6</v>
      </c>
      <c r="K370" s="34">
        <v>30</v>
      </c>
    </row>
    <row r="371" spans="1:11" x14ac:dyDescent="0.25">
      <c r="A371" s="31" t="s">
        <v>108</v>
      </c>
      <c r="B371" s="71" t="s">
        <v>1091</v>
      </c>
      <c r="C371" s="71"/>
      <c r="D371" s="71"/>
      <c r="E371" s="71"/>
      <c r="F371" s="32" t="s">
        <v>1092</v>
      </c>
      <c r="G371" s="32" t="s">
        <v>1093</v>
      </c>
      <c r="H371" s="32" t="s">
        <v>1094</v>
      </c>
      <c r="I371" s="32"/>
      <c r="J371" s="33">
        <v>4</v>
      </c>
      <c r="K371" s="34">
        <v>30</v>
      </c>
    </row>
    <row r="372" spans="1:11" x14ac:dyDescent="0.25">
      <c r="A372" s="31" t="s">
        <v>41</v>
      </c>
      <c r="B372" s="71" t="s">
        <v>1095</v>
      </c>
      <c r="C372" s="71"/>
      <c r="D372" s="71"/>
      <c r="E372" s="71"/>
      <c r="F372" s="32" t="s">
        <v>1079</v>
      </c>
      <c r="G372" s="32" t="s">
        <v>1096</v>
      </c>
      <c r="H372" s="32"/>
      <c r="I372" s="32"/>
      <c r="J372" s="33">
        <v>2</v>
      </c>
      <c r="K372" s="34">
        <v>30</v>
      </c>
    </row>
    <row r="373" spans="1:11" x14ac:dyDescent="0.25">
      <c r="A373" s="51" t="s">
        <v>548</v>
      </c>
      <c r="B373" s="51" t="s">
        <v>1097</v>
      </c>
      <c r="C373" s="51"/>
      <c r="D373" s="51"/>
      <c r="E373" s="51"/>
      <c r="F373" s="52" t="s">
        <v>1098</v>
      </c>
      <c r="G373" s="52" t="s">
        <v>1099</v>
      </c>
      <c r="H373" s="52" t="s">
        <v>731</v>
      </c>
      <c r="I373" s="52" t="s">
        <v>763</v>
      </c>
      <c r="J373" s="54">
        <v>2</v>
      </c>
      <c r="K373" s="38">
        <v>30</v>
      </c>
    </row>
    <row r="374" spans="1:11" x14ac:dyDescent="0.25">
      <c r="A374" s="51" t="s">
        <v>548</v>
      </c>
      <c r="B374" s="51" t="s">
        <v>1100</v>
      </c>
      <c r="C374" s="51"/>
      <c r="D374" s="51"/>
      <c r="E374" s="51"/>
      <c r="F374" s="52" t="s">
        <v>1101</v>
      </c>
      <c r="G374" s="52" t="s">
        <v>1102</v>
      </c>
      <c r="H374" s="52" t="s">
        <v>731</v>
      </c>
      <c r="I374" s="52" t="s">
        <v>763</v>
      </c>
      <c r="J374" s="54">
        <v>1</v>
      </c>
      <c r="K374" s="38">
        <v>30</v>
      </c>
    </row>
    <row r="375" spans="1:11" x14ac:dyDescent="0.25">
      <c r="A375" s="32" t="s">
        <v>217</v>
      </c>
      <c r="B375" s="70" t="s">
        <v>1103</v>
      </c>
      <c r="C375" s="70"/>
      <c r="D375" s="70"/>
      <c r="E375" s="70"/>
      <c r="F375" s="32" t="s">
        <v>1104</v>
      </c>
      <c r="G375" s="32" t="s">
        <v>1105</v>
      </c>
      <c r="H375" s="32"/>
      <c r="I375" s="32" t="s">
        <v>461</v>
      </c>
      <c r="J375" s="33">
        <v>1</v>
      </c>
      <c r="K375" s="34">
        <v>30</v>
      </c>
    </row>
    <row r="376" spans="1:11" x14ac:dyDescent="0.25">
      <c r="A376" s="31" t="s">
        <v>108</v>
      </c>
      <c r="B376" s="71" t="s">
        <v>1106</v>
      </c>
      <c r="C376" s="71"/>
      <c r="D376" s="71"/>
      <c r="E376" s="71"/>
      <c r="F376" s="32" t="s">
        <v>1107</v>
      </c>
      <c r="G376" s="32" t="s">
        <v>1108</v>
      </c>
      <c r="H376" s="32" t="s">
        <v>1109</v>
      </c>
      <c r="I376" s="32"/>
      <c r="J376" s="33">
        <v>1</v>
      </c>
      <c r="K376" s="34">
        <v>30</v>
      </c>
    </row>
    <row r="377" spans="1:11" x14ac:dyDescent="0.25">
      <c r="A377" s="31" t="s">
        <v>108</v>
      </c>
      <c r="B377" s="71" t="s">
        <v>1110</v>
      </c>
      <c r="C377" s="71"/>
      <c r="D377" s="71"/>
      <c r="E377" s="71"/>
      <c r="F377" s="32" t="s">
        <v>1111</v>
      </c>
      <c r="G377" s="32" t="s">
        <v>1112</v>
      </c>
      <c r="H377" s="32" t="s">
        <v>1094</v>
      </c>
      <c r="I377" s="32"/>
      <c r="J377" s="33">
        <v>1</v>
      </c>
      <c r="K377" s="34">
        <v>30</v>
      </c>
    </row>
    <row r="378" spans="1:11" x14ac:dyDescent="0.25">
      <c r="A378" s="51" t="s">
        <v>286</v>
      </c>
      <c r="B378" s="51" t="s">
        <v>1113</v>
      </c>
      <c r="C378" s="51"/>
      <c r="D378" s="51"/>
      <c r="E378" s="51"/>
      <c r="F378" s="52" t="s">
        <v>1114</v>
      </c>
      <c r="G378" s="52" t="s">
        <v>1115</v>
      </c>
      <c r="H378" s="52" t="s">
        <v>58</v>
      </c>
      <c r="I378" s="52"/>
      <c r="J378" s="54">
        <v>1</v>
      </c>
      <c r="K378" s="38">
        <v>30</v>
      </c>
    </row>
    <row r="379" spans="1:11" x14ac:dyDescent="0.25">
      <c r="A379" s="126" t="s">
        <v>286</v>
      </c>
      <c r="B379" s="126" t="s">
        <v>1116</v>
      </c>
      <c r="C379" s="126"/>
      <c r="D379" s="126"/>
      <c r="E379" s="126"/>
      <c r="F379" s="9" t="s">
        <v>1117</v>
      </c>
      <c r="G379" s="9" t="s">
        <v>1118</v>
      </c>
      <c r="H379" s="9" t="s">
        <v>58</v>
      </c>
      <c r="I379" s="9"/>
      <c r="J379" s="61">
        <v>1</v>
      </c>
      <c r="K379" s="47">
        <v>30</v>
      </c>
    </row>
    <row r="380" spans="1:11" x14ac:dyDescent="0.25">
      <c r="A380" s="39" t="s">
        <v>108</v>
      </c>
      <c r="B380" s="331" t="s">
        <v>1119</v>
      </c>
      <c r="C380" s="331"/>
      <c r="D380" s="331"/>
      <c r="E380" s="331"/>
      <c r="F380" s="28" t="s">
        <v>1120</v>
      </c>
      <c r="G380" s="28" t="s">
        <v>1121</v>
      </c>
      <c r="H380" s="28" t="s">
        <v>1122</v>
      </c>
      <c r="I380" s="28"/>
      <c r="J380" s="40">
        <v>1</v>
      </c>
      <c r="K380" s="30">
        <v>30</v>
      </c>
    </row>
    <row r="381" spans="1:11" x14ac:dyDescent="0.25">
      <c r="A381" s="39" t="s">
        <v>314</v>
      </c>
      <c r="B381" s="331" t="s">
        <v>1123</v>
      </c>
      <c r="C381" s="331"/>
      <c r="D381" s="331"/>
      <c r="E381" s="331"/>
      <c r="F381" s="28" t="s">
        <v>1124</v>
      </c>
      <c r="G381" s="28" t="s">
        <v>1125</v>
      </c>
      <c r="H381" s="28" t="s">
        <v>742</v>
      </c>
      <c r="I381" s="28" t="s">
        <v>586</v>
      </c>
      <c r="J381" s="40">
        <v>5</v>
      </c>
      <c r="K381" s="30">
        <v>29.8</v>
      </c>
    </row>
    <row r="382" spans="1:11" x14ac:dyDescent="0.25">
      <c r="A382" s="51" t="s">
        <v>27</v>
      </c>
      <c r="B382" s="51" t="s">
        <v>1126</v>
      </c>
      <c r="C382" s="51"/>
      <c r="D382" s="51"/>
      <c r="E382" s="51"/>
      <c r="F382" s="52" t="s">
        <v>1127</v>
      </c>
      <c r="G382" s="52" t="s">
        <v>1128</v>
      </c>
      <c r="H382" s="52" t="s">
        <v>1129</v>
      </c>
      <c r="I382" s="52" t="s">
        <v>461</v>
      </c>
      <c r="J382" s="54">
        <v>1</v>
      </c>
      <c r="K382" s="38">
        <v>29.25</v>
      </c>
    </row>
    <row r="383" spans="1:11" x14ac:dyDescent="0.25">
      <c r="A383" s="31" t="s">
        <v>314</v>
      </c>
      <c r="B383" s="71" t="s">
        <v>1130</v>
      </c>
      <c r="C383" s="71"/>
      <c r="D383" s="71"/>
      <c r="E383" s="71"/>
      <c r="F383" s="32" t="s">
        <v>1131</v>
      </c>
      <c r="G383" s="52" t="s">
        <v>1132</v>
      </c>
      <c r="H383" s="32"/>
      <c r="I383" s="52" t="s">
        <v>1133</v>
      </c>
      <c r="J383" s="33">
        <v>12</v>
      </c>
      <c r="K383" s="38">
        <v>28.22</v>
      </c>
    </row>
    <row r="384" spans="1:11" x14ac:dyDescent="0.25">
      <c r="A384" s="51" t="s">
        <v>27</v>
      </c>
      <c r="B384" s="51" t="s">
        <v>1134</v>
      </c>
      <c r="C384" s="51"/>
      <c r="D384" s="51"/>
      <c r="E384" s="51"/>
      <c r="F384" s="52" t="s">
        <v>1135</v>
      </c>
      <c r="G384" s="52" t="s">
        <v>1134</v>
      </c>
      <c r="H384" s="52" t="s">
        <v>1136</v>
      </c>
      <c r="I384" s="52" t="s">
        <v>1136</v>
      </c>
      <c r="J384" s="54">
        <v>3</v>
      </c>
      <c r="K384" s="38">
        <v>28.18</v>
      </c>
    </row>
    <row r="385" spans="1:11" x14ac:dyDescent="0.25">
      <c r="A385" s="51" t="s">
        <v>27</v>
      </c>
      <c r="B385" s="51" t="s">
        <v>1137</v>
      </c>
      <c r="C385" s="51"/>
      <c r="D385" s="51"/>
      <c r="E385" s="51"/>
      <c r="F385" s="52" t="s">
        <v>1138</v>
      </c>
      <c r="G385" s="52" t="s">
        <v>1137</v>
      </c>
      <c r="H385" s="52" t="s">
        <v>1136</v>
      </c>
      <c r="I385" s="52" t="s">
        <v>1136</v>
      </c>
      <c r="J385" s="54">
        <v>3</v>
      </c>
      <c r="K385" s="38">
        <v>28.12</v>
      </c>
    </row>
    <row r="386" spans="1:11" x14ac:dyDescent="0.25">
      <c r="A386" s="71" t="s">
        <v>314</v>
      </c>
      <c r="B386" s="71" t="s">
        <v>1139</v>
      </c>
      <c r="C386" s="353"/>
      <c r="D386" s="71"/>
      <c r="E386" s="71"/>
      <c r="F386" s="32" t="s">
        <v>1140</v>
      </c>
      <c r="G386" s="32" t="s">
        <v>1141</v>
      </c>
      <c r="H386" s="32" t="s">
        <v>1070</v>
      </c>
      <c r="I386" s="32" t="s">
        <v>1071</v>
      </c>
      <c r="J386" s="33">
        <v>2</v>
      </c>
      <c r="K386" s="34">
        <v>26.6</v>
      </c>
    </row>
    <row r="387" spans="1:11" x14ac:dyDescent="0.25">
      <c r="A387" s="31" t="s">
        <v>314</v>
      </c>
      <c r="B387" s="71" t="s">
        <v>1142</v>
      </c>
      <c r="C387" s="71"/>
      <c r="D387" s="71"/>
      <c r="E387" s="71"/>
      <c r="F387" s="32" t="s">
        <v>1143</v>
      </c>
      <c r="G387" s="32" t="s">
        <v>1144</v>
      </c>
      <c r="H387" s="32" t="s">
        <v>742</v>
      </c>
      <c r="I387" s="32" t="s">
        <v>586</v>
      </c>
      <c r="J387" s="33">
        <v>20</v>
      </c>
      <c r="K387" s="34">
        <v>25.69</v>
      </c>
    </row>
    <row r="388" spans="1:11" x14ac:dyDescent="0.25">
      <c r="A388" s="31" t="s">
        <v>314</v>
      </c>
      <c r="B388" s="71" t="s">
        <v>1145</v>
      </c>
      <c r="C388" s="71"/>
      <c r="D388" s="71"/>
      <c r="E388" s="71"/>
      <c r="F388" s="32" t="s">
        <v>1146</v>
      </c>
      <c r="G388" s="32" t="s">
        <v>1147</v>
      </c>
      <c r="H388" s="32"/>
      <c r="I388" s="32"/>
      <c r="J388" s="33">
        <v>20</v>
      </c>
      <c r="K388" s="34">
        <v>25.69</v>
      </c>
    </row>
    <row r="389" spans="1:11" x14ac:dyDescent="0.25">
      <c r="A389" s="31" t="s">
        <v>37</v>
      </c>
      <c r="B389" s="71" t="s">
        <v>1148</v>
      </c>
      <c r="C389" s="71"/>
      <c r="D389" s="71"/>
      <c r="E389" s="71"/>
      <c r="F389" s="32" t="s">
        <v>1149</v>
      </c>
      <c r="G389" s="32" t="s">
        <v>1150</v>
      </c>
      <c r="H389" s="32" t="s">
        <v>1151</v>
      </c>
      <c r="I389" s="32" t="s">
        <v>1152</v>
      </c>
      <c r="J389" s="33">
        <v>1</v>
      </c>
      <c r="K389" s="34">
        <v>25.5</v>
      </c>
    </row>
    <row r="390" spans="1:11" x14ac:dyDescent="0.25">
      <c r="A390" s="31" t="s">
        <v>37</v>
      </c>
      <c r="B390" s="71" t="s">
        <v>1153</v>
      </c>
      <c r="C390" s="71"/>
      <c r="D390" s="71"/>
      <c r="E390" s="71"/>
      <c r="F390" s="32" t="s">
        <v>1154</v>
      </c>
      <c r="G390" s="32" t="s">
        <v>1155</v>
      </c>
      <c r="H390" s="32" t="s">
        <v>1151</v>
      </c>
      <c r="I390" s="32" t="s">
        <v>1152</v>
      </c>
      <c r="J390" s="33">
        <v>27</v>
      </c>
      <c r="K390" s="34">
        <v>25.5</v>
      </c>
    </row>
    <row r="391" spans="1:11" x14ac:dyDescent="0.25">
      <c r="A391" s="31" t="s">
        <v>37</v>
      </c>
      <c r="B391" s="71" t="s">
        <v>1156</v>
      </c>
      <c r="C391" s="71"/>
      <c r="D391" s="71"/>
      <c r="E391" s="71"/>
      <c r="F391" s="32" t="s">
        <v>1157</v>
      </c>
      <c r="G391" s="32" t="s">
        <v>1158</v>
      </c>
      <c r="H391" s="32" t="s">
        <v>1151</v>
      </c>
      <c r="I391" s="32" t="s">
        <v>1152</v>
      </c>
      <c r="J391" s="33">
        <v>24</v>
      </c>
      <c r="K391" s="34">
        <v>25.5</v>
      </c>
    </row>
    <row r="392" spans="1:11" x14ac:dyDescent="0.25">
      <c r="A392" s="31" t="s">
        <v>37</v>
      </c>
      <c r="B392" s="71" t="s">
        <v>1159</v>
      </c>
      <c r="C392" s="71"/>
      <c r="D392" s="71"/>
      <c r="E392" s="71"/>
      <c r="F392" s="32" t="s">
        <v>1160</v>
      </c>
      <c r="G392" s="32" t="s">
        <v>1161</v>
      </c>
      <c r="H392" s="32" t="s">
        <v>1151</v>
      </c>
      <c r="I392" s="32" t="s">
        <v>1152</v>
      </c>
      <c r="J392" s="33">
        <v>2</v>
      </c>
      <c r="K392" s="34">
        <v>25.5</v>
      </c>
    </row>
    <row r="393" spans="1:11" x14ac:dyDescent="0.25">
      <c r="A393" s="31" t="s">
        <v>37</v>
      </c>
      <c r="B393" s="71" t="s">
        <v>1162</v>
      </c>
      <c r="C393" s="71"/>
      <c r="D393" s="71"/>
      <c r="E393" s="71"/>
      <c r="F393" s="32" t="s">
        <v>1163</v>
      </c>
      <c r="G393" s="32" t="s">
        <v>1164</v>
      </c>
      <c r="H393" s="32" t="s">
        <v>1151</v>
      </c>
      <c r="I393" s="32" t="s">
        <v>1152</v>
      </c>
      <c r="J393" s="33">
        <v>113</v>
      </c>
      <c r="K393" s="34">
        <v>25.5</v>
      </c>
    </row>
    <row r="394" spans="1:11" x14ac:dyDescent="0.25">
      <c r="A394" s="31" t="s">
        <v>37</v>
      </c>
      <c r="B394" s="71" t="s">
        <v>1165</v>
      </c>
      <c r="C394" s="71"/>
      <c r="D394" s="71"/>
      <c r="E394" s="71"/>
      <c r="F394" s="32" t="s">
        <v>1166</v>
      </c>
      <c r="G394" s="32" t="s">
        <v>1167</v>
      </c>
      <c r="H394" s="32" t="s">
        <v>1151</v>
      </c>
      <c r="I394" s="32" t="s">
        <v>1152</v>
      </c>
      <c r="J394" s="33">
        <v>2</v>
      </c>
      <c r="K394" s="34">
        <v>25.5</v>
      </c>
    </row>
    <row r="395" spans="1:11" x14ac:dyDescent="0.25">
      <c r="A395" s="31" t="s">
        <v>37</v>
      </c>
      <c r="B395" s="71" t="s">
        <v>1168</v>
      </c>
      <c r="C395" s="71"/>
      <c r="D395" s="71"/>
      <c r="E395" s="71"/>
      <c r="F395" s="32" t="s">
        <v>1169</v>
      </c>
      <c r="G395" s="32" t="s">
        <v>1170</v>
      </c>
      <c r="H395" s="32" t="s">
        <v>1151</v>
      </c>
      <c r="I395" s="32" t="s">
        <v>1152</v>
      </c>
      <c r="J395" s="33">
        <v>4</v>
      </c>
      <c r="K395" s="34">
        <v>25.5</v>
      </c>
    </row>
    <row r="396" spans="1:11" x14ac:dyDescent="0.25">
      <c r="A396" s="31" t="s">
        <v>37</v>
      </c>
      <c r="B396" s="71" t="s">
        <v>1171</v>
      </c>
      <c r="C396" s="71"/>
      <c r="D396" s="71"/>
      <c r="E396" s="71"/>
      <c r="F396" s="32" t="s">
        <v>1172</v>
      </c>
      <c r="G396" s="32" t="s">
        <v>1173</v>
      </c>
      <c r="H396" s="32" t="s">
        <v>1151</v>
      </c>
      <c r="I396" s="32" t="s">
        <v>1152</v>
      </c>
      <c r="J396" s="33">
        <v>290</v>
      </c>
      <c r="K396" s="34">
        <v>25.5</v>
      </c>
    </row>
    <row r="397" spans="1:11" x14ac:dyDescent="0.25">
      <c r="A397" s="31" t="s">
        <v>37</v>
      </c>
      <c r="B397" s="71" t="s">
        <v>1174</v>
      </c>
      <c r="C397" s="353"/>
      <c r="D397" s="71"/>
      <c r="E397" s="71"/>
      <c r="F397" s="32" t="s">
        <v>1175</v>
      </c>
      <c r="G397" s="32" t="s">
        <v>1176</v>
      </c>
      <c r="H397" s="32" t="s">
        <v>1151</v>
      </c>
      <c r="I397" s="32" t="s">
        <v>1152</v>
      </c>
      <c r="J397" s="33">
        <v>6</v>
      </c>
      <c r="K397" s="34">
        <v>25.5</v>
      </c>
    </row>
    <row r="398" spans="1:11" x14ac:dyDescent="0.25">
      <c r="A398" s="31" t="s">
        <v>37</v>
      </c>
      <c r="B398" s="71" t="s">
        <v>1177</v>
      </c>
      <c r="C398" s="71"/>
      <c r="D398" s="71"/>
      <c r="E398" s="71"/>
      <c r="F398" s="32" t="s">
        <v>1178</v>
      </c>
      <c r="G398" s="32" t="s">
        <v>1179</v>
      </c>
      <c r="H398" s="32" t="s">
        <v>1151</v>
      </c>
      <c r="I398" s="32" t="s">
        <v>1152</v>
      </c>
      <c r="J398" s="33">
        <v>4</v>
      </c>
      <c r="K398" s="34">
        <v>25.5</v>
      </c>
    </row>
    <row r="399" spans="1:11" x14ac:dyDescent="0.25">
      <c r="A399" s="51" t="s">
        <v>27</v>
      </c>
      <c r="B399" s="51" t="s">
        <v>1180</v>
      </c>
      <c r="C399" s="51"/>
      <c r="D399" s="51"/>
      <c r="E399" s="51"/>
      <c r="F399" s="52" t="s">
        <v>1181</v>
      </c>
      <c r="G399" s="52" t="s">
        <v>1182</v>
      </c>
      <c r="H399" s="52" t="s">
        <v>488</v>
      </c>
      <c r="I399" s="52" t="s">
        <v>461</v>
      </c>
      <c r="J399" s="54">
        <v>1</v>
      </c>
      <c r="K399" s="38">
        <v>23.69</v>
      </c>
    </row>
    <row r="400" spans="1:11" x14ac:dyDescent="0.25">
      <c r="A400" s="31" t="s">
        <v>314</v>
      </c>
      <c r="B400" s="71" t="s">
        <v>1183</v>
      </c>
      <c r="C400" s="71"/>
      <c r="D400" s="71"/>
      <c r="E400" s="71"/>
      <c r="F400" s="32" t="s">
        <v>1184</v>
      </c>
      <c r="G400" s="32"/>
      <c r="H400" s="32"/>
      <c r="I400" s="32"/>
      <c r="J400" s="33">
        <v>3</v>
      </c>
      <c r="K400" s="34">
        <v>23.23</v>
      </c>
    </row>
    <row r="401" spans="1:11" x14ac:dyDescent="0.25">
      <c r="A401" s="51" t="s">
        <v>27</v>
      </c>
      <c r="B401" s="51" t="s">
        <v>1185</v>
      </c>
      <c r="C401" s="196"/>
      <c r="D401" s="51"/>
      <c r="E401" s="51"/>
      <c r="F401" s="52" t="s">
        <v>1186</v>
      </c>
      <c r="G401" s="52" t="s">
        <v>1187</v>
      </c>
      <c r="H401" s="52" t="s">
        <v>1188</v>
      </c>
      <c r="I401" s="52" t="s">
        <v>461</v>
      </c>
      <c r="J401" s="54">
        <v>20</v>
      </c>
      <c r="K401" s="38">
        <v>22.84</v>
      </c>
    </row>
    <row r="402" spans="1:11" x14ac:dyDescent="0.25">
      <c r="A402" s="51" t="s">
        <v>27</v>
      </c>
      <c r="B402" s="51" t="s">
        <v>1189</v>
      </c>
      <c r="C402" s="51"/>
      <c r="D402" s="51"/>
      <c r="E402" s="51"/>
      <c r="F402" s="52" t="s">
        <v>1190</v>
      </c>
      <c r="G402" s="52" t="s">
        <v>1191</v>
      </c>
      <c r="H402" s="52" t="s">
        <v>1054</v>
      </c>
      <c r="I402" s="52" t="s">
        <v>1054</v>
      </c>
      <c r="J402" s="54">
        <v>1</v>
      </c>
      <c r="K402" s="38">
        <v>21.25</v>
      </c>
    </row>
    <row r="403" spans="1:11" x14ac:dyDescent="0.25">
      <c r="A403" s="179" t="s">
        <v>314</v>
      </c>
      <c r="B403" s="180" t="s">
        <v>1192</v>
      </c>
      <c r="C403" s="180"/>
      <c r="D403" s="180"/>
      <c r="E403" s="180"/>
      <c r="F403" s="32" t="s">
        <v>1193</v>
      </c>
      <c r="G403" s="181" t="s">
        <v>1194</v>
      </c>
      <c r="H403" s="181" t="s">
        <v>1195</v>
      </c>
      <c r="I403" s="181" t="s">
        <v>586</v>
      </c>
      <c r="J403" s="182">
        <v>15</v>
      </c>
      <c r="K403" s="183">
        <v>20</v>
      </c>
    </row>
    <row r="404" spans="1:11" x14ac:dyDescent="0.25">
      <c r="A404" s="31" t="s">
        <v>41</v>
      </c>
      <c r="B404" s="71" t="s">
        <v>1196</v>
      </c>
      <c r="C404" s="71"/>
      <c r="D404" s="71"/>
      <c r="E404" s="71"/>
      <c r="F404" s="32" t="s">
        <v>1197</v>
      </c>
      <c r="G404" s="32" t="s">
        <v>1198</v>
      </c>
      <c r="H404" s="32"/>
      <c r="I404" s="32"/>
      <c r="J404" s="33">
        <v>10</v>
      </c>
      <c r="K404" s="34">
        <v>20</v>
      </c>
    </row>
    <row r="405" spans="1:11" x14ac:dyDescent="0.25">
      <c r="A405" s="31" t="s">
        <v>41</v>
      </c>
      <c r="B405" s="71" t="s">
        <v>1199</v>
      </c>
      <c r="C405" s="71"/>
      <c r="D405" s="71"/>
      <c r="E405" s="71"/>
      <c r="F405" s="32" t="s">
        <v>1197</v>
      </c>
      <c r="G405" s="32" t="s">
        <v>1200</v>
      </c>
      <c r="H405" s="32"/>
      <c r="I405" s="32"/>
      <c r="J405" s="33">
        <v>2</v>
      </c>
      <c r="K405" s="34">
        <v>20</v>
      </c>
    </row>
    <row r="406" spans="1:11" x14ac:dyDescent="0.25">
      <c r="A406" s="179" t="s">
        <v>314</v>
      </c>
      <c r="B406" s="180" t="s">
        <v>1201</v>
      </c>
      <c r="C406" s="180"/>
      <c r="D406" s="180"/>
      <c r="E406" s="309" t="s">
        <v>1202</v>
      </c>
      <c r="F406" s="32" t="s">
        <v>1203</v>
      </c>
      <c r="G406" s="181" t="s">
        <v>1204</v>
      </c>
      <c r="H406" s="181"/>
      <c r="I406" s="181"/>
      <c r="J406" s="182">
        <v>2</v>
      </c>
      <c r="K406" s="183">
        <v>20</v>
      </c>
    </row>
    <row r="407" spans="1:11" x14ac:dyDescent="0.25">
      <c r="A407" s="31" t="s">
        <v>314</v>
      </c>
      <c r="B407" s="71" t="s">
        <v>1205</v>
      </c>
      <c r="C407" s="71"/>
      <c r="D407" s="71"/>
      <c r="E407" s="71"/>
      <c r="F407" s="32" t="s">
        <v>1206</v>
      </c>
      <c r="G407" s="32" t="s">
        <v>1207</v>
      </c>
      <c r="H407" s="32" t="s">
        <v>719</v>
      </c>
      <c r="I407" s="32" t="s">
        <v>586</v>
      </c>
      <c r="J407" s="33">
        <v>4</v>
      </c>
      <c r="K407" s="38">
        <v>19.899999999999999</v>
      </c>
    </row>
    <row r="408" spans="1:11" x14ac:dyDescent="0.25">
      <c r="A408" s="51" t="s">
        <v>27</v>
      </c>
      <c r="B408" s="51" t="s">
        <v>1208</v>
      </c>
      <c r="C408" s="51"/>
      <c r="D408" s="51"/>
      <c r="E408" s="51"/>
      <c r="F408" s="52" t="s">
        <v>1209</v>
      </c>
      <c r="G408" s="52" t="s">
        <v>1210</v>
      </c>
      <c r="H408" s="52" t="s">
        <v>1054</v>
      </c>
      <c r="I408" s="52" t="s">
        <v>1054</v>
      </c>
      <c r="J408" s="54">
        <v>2</v>
      </c>
      <c r="K408" s="38">
        <v>19.82</v>
      </c>
    </row>
    <row r="409" spans="1:11" x14ac:dyDescent="0.25">
      <c r="A409" s="51" t="s">
        <v>27</v>
      </c>
      <c r="B409" s="51" t="s">
        <v>1211</v>
      </c>
      <c r="C409" s="51"/>
      <c r="D409" s="51"/>
      <c r="E409" s="51"/>
      <c r="F409" s="52" t="s">
        <v>1212</v>
      </c>
      <c r="G409" s="52" t="s">
        <v>1213</v>
      </c>
      <c r="H409" s="52" t="s">
        <v>1214</v>
      </c>
      <c r="I409" s="52" t="s">
        <v>461</v>
      </c>
      <c r="J409" s="54">
        <v>5</v>
      </c>
      <c r="K409" s="38">
        <v>19.22</v>
      </c>
    </row>
    <row r="410" spans="1:11" x14ac:dyDescent="0.25">
      <c r="A410" s="126" t="s">
        <v>27</v>
      </c>
      <c r="B410" s="126" t="s">
        <v>1215</v>
      </c>
      <c r="C410" s="126"/>
      <c r="D410" s="126"/>
      <c r="E410" s="126"/>
      <c r="F410" s="9" t="s">
        <v>1216</v>
      </c>
      <c r="G410" s="9">
        <v>87100045010</v>
      </c>
      <c r="H410" s="9" t="s">
        <v>1217</v>
      </c>
      <c r="I410" s="9"/>
      <c r="J410" s="61">
        <v>10</v>
      </c>
      <c r="K410" s="47">
        <v>18.899999999999999</v>
      </c>
    </row>
    <row r="411" spans="1:11" x14ac:dyDescent="0.25">
      <c r="A411" s="126" t="s">
        <v>27</v>
      </c>
      <c r="B411" s="126" t="s">
        <v>1218</v>
      </c>
      <c r="C411" s="126"/>
      <c r="D411" s="126"/>
      <c r="E411" s="126"/>
      <c r="F411" s="9" t="s">
        <v>1219</v>
      </c>
      <c r="G411" s="9" t="s">
        <v>1220</v>
      </c>
      <c r="H411" s="9" t="s">
        <v>1122</v>
      </c>
      <c r="I411" s="9" t="s">
        <v>461</v>
      </c>
      <c r="J411" s="61">
        <v>1</v>
      </c>
      <c r="K411" s="47">
        <v>18.260000000000002</v>
      </c>
    </row>
    <row r="412" spans="1:11" x14ac:dyDescent="0.25">
      <c r="A412" s="51" t="s">
        <v>27</v>
      </c>
      <c r="B412" s="167" t="s">
        <v>1221</v>
      </c>
      <c r="C412" s="167"/>
      <c r="D412" s="167"/>
      <c r="E412" s="167"/>
      <c r="F412" s="168" t="s">
        <v>1222</v>
      </c>
      <c r="G412" s="168" t="s">
        <v>1223</v>
      </c>
      <c r="H412" s="52" t="s">
        <v>1224</v>
      </c>
      <c r="I412" s="52"/>
      <c r="J412" s="169">
        <v>1</v>
      </c>
      <c r="K412" s="170">
        <v>17.88</v>
      </c>
    </row>
    <row r="413" spans="1:11" x14ac:dyDescent="0.25">
      <c r="A413" s="31" t="s">
        <v>314</v>
      </c>
      <c r="B413" s="71" t="s">
        <v>1225</v>
      </c>
      <c r="C413" s="71"/>
      <c r="D413" s="71"/>
      <c r="E413" s="71"/>
      <c r="F413" s="32" t="s">
        <v>1226</v>
      </c>
      <c r="G413" s="32" t="s">
        <v>1227</v>
      </c>
      <c r="H413" s="32" t="s">
        <v>1228</v>
      </c>
      <c r="I413" s="32" t="s">
        <v>586</v>
      </c>
      <c r="J413" s="33">
        <v>3</v>
      </c>
      <c r="K413" s="34">
        <v>17.399999999999999</v>
      </c>
    </row>
    <row r="414" spans="1:11" x14ac:dyDescent="0.25">
      <c r="A414" s="31" t="s">
        <v>314</v>
      </c>
      <c r="B414" s="31" t="s">
        <v>70</v>
      </c>
      <c r="C414" s="31"/>
      <c r="D414" s="31"/>
      <c r="E414" s="31"/>
      <c r="F414" s="32" t="s">
        <v>1229</v>
      </c>
      <c r="G414" s="32" t="s">
        <v>1230</v>
      </c>
      <c r="H414" s="32" t="s">
        <v>461</v>
      </c>
      <c r="I414" s="32"/>
      <c r="J414" s="33">
        <v>2</v>
      </c>
      <c r="K414" s="34">
        <v>17</v>
      </c>
    </row>
    <row r="415" spans="1:11" x14ac:dyDescent="0.25">
      <c r="A415" s="31" t="s">
        <v>314</v>
      </c>
      <c r="B415" s="31" t="s">
        <v>70</v>
      </c>
      <c r="C415" s="31"/>
      <c r="D415" s="31"/>
      <c r="E415" s="31"/>
      <c r="F415" s="32" t="s">
        <v>1232</v>
      </c>
      <c r="G415" s="32" t="s">
        <v>1233</v>
      </c>
      <c r="H415" s="32" t="s">
        <v>461</v>
      </c>
      <c r="I415" s="32"/>
      <c r="J415" s="33">
        <v>2</v>
      </c>
      <c r="K415" s="34">
        <v>17</v>
      </c>
    </row>
    <row r="416" spans="1:11" x14ac:dyDescent="0.25">
      <c r="A416" s="31" t="s">
        <v>314</v>
      </c>
      <c r="B416" s="31" t="s">
        <v>70</v>
      </c>
      <c r="C416" s="31"/>
      <c r="D416" s="31"/>
      <c r="E416" s="31"/>
      <c r="F416" s="32" t="s">
        <v>1232</v>
      </c>
      <c r="G416" s="32" t="s">
        <v>1234</v>
      </c>
      <c r="H416" s="32" t="s">
        <v>461</v>
      </c>
      <c r="I416" s="32"/>
      <c r="J416" s="33">
        <v>2</v>
      </c>
      <c r="K416" s="34">
        <v>17</v>
      </c>
    </row>
    <row r="417" spans="1:11" x14ac:dyDescent="0.25">
      <c r="A417" s="31" t="s">
        <v>314</v>
      </c>
      <c r="B417" s="31" t="s">
        <v>70</v>
      </c>
      <c r="C417" s="31"/>
      <c r="D417" s="31"/>
      <c r="E417" s="31"/>
      <c r="F417" s="32" t="s">
        <v>1235</v>
      </c>
      <c r="G417" s="32" t="s">
        <v>1236</v>
      </c>
      <c r="H417" s="32" t="s">
        <v>461</v>
      </c>
      <c r="I417" s="32"/>
      <c r="J417" s="33">
        <v>2</v>
      </c>
      <c r="K417" s="34">
        <v>17</v>
      </c>
    </row>
    <row r="418" spans="1:11" x14ac:dyDescent="0.25">
      <c r="A418" s="31" t="s">
        <v>314</v>
      </c>
      <c r="B418" s="31" t="s">
        <v>70</v>
      </c>
      <c r="C418" s="31"/>
      <c r="D418" s="31"/>
      <c r="E418" s="31"/>
      <c r="F418" s="32" t="s">
        <v>1237</v>
      </c>
      <c r="G418" s="32" t="s">
        <v>1238</v>
      </c>
      <c r="H418" s="32" t="s">
        <v>461</v>
      </c>
      <c r="I418" s="32"/>
      <c r="J418" s="33">
        <v>2</v>
      </c>
      <c r="K418" s="34">
        <v>17</v>
      </c>
    </row>
    <row r="419" spans="1:11" x14ac:dyDescent="0.25">
      <c r="A419" s="31" t="s">
        <v>314</v>
      </c>
      <c r="B419" s="31" t="s">
        <v>70</v>
      </c>
      <c r="C419" s="31"/>
      <c r="D419" s="31"/>
      <c r="E419" s="31"/>
      <c r="F419" s="32" t="s">
        <v>1239</v>
      </c>
      <c r="G419" s="32" t="s">
        <v>1240</v>
      </c>
      <c r="H419" s="32" t="s">
        <v>461</v>
      </c>
      <c r="I419" s="32"/>
      <c r="J419" s="33">
        <v>2</v>
      </c>
      <c r="K419" s="34">
        <v>17</v>
      </c>
    </row>
    <row r="420" spans="1:11" x14ac:dyDescent="0.25">
      <c r="A420" s="31" t="s">
        <v>314</v>
      </c>
      <c r="B420" s="31" t="s">
        <v>70</v>
      </c>
      <c r="C420" s="31"/>
      <c r="D420" s="31"/>
      <c r="E420" s="31"/>
      <c r="F420" s="32" t="s">
        <v>1241</v>
      </c>
      <c r="G420" s="32" t="s">
        <v>1242</v>
      </c>
      <c r="H420" s="32" t="s">
        <v>461</v>
      </c>
      <c r="I420" s="32"/>
      <c r="J420" s="33">
        <v>2</v>
      </c>
      <c r="K420" s="34">
        <v>17</v>
      </c>
    </row>
    <row r="421" spans="1:11" x14ac:dyDescent="0.25">
      <c r="A421" s="31" t="s">
        <v>108</v>
      </c>
      <c r="B421" s="71" t="s">
        <v>1243</v>
      </c>
      <c r="C421" s="71"/>
      <c r="D421" s="71"/>
      <c r="E421" s="71"/>
      <c r="F421" s="32" t="s">
        <v>1244</v>
      </c>
      <c r="G421" s="32" t="s">
        <v>1245</v>
      </c>
      <c r="H421" s="32"/>
      <c r="I421" s="32"/>
      <c r="J421" s="33">
        <v>200</v>
      </c>
      <c r="K421" s="34">
        <v>16</v>
      </c>
    </row>
    <row r="422" spans="1:11" x14ac:dyDescent="0.25">
      <c r="A422" s="31" t="s">
        <v>314</v>
      </c>
      <c r="B422" s="71" t="s">
        <v>1247</v>
      </c>
      <c r="C422" s="71"/>
      <c r="D422" s="71"/>
      <c r="E422" s="71"/>
      <c r="F422" s="32" t="s">
        <v>1248</v>
      </c>
      <c r="G422" s="52" t="s">
        <v>1249</v>
      </c>
      <c r="H422" s="52"/>
      <c r="I422" s="52" t="s">
        <v>1133</v>
      </c>
      <c r="J422" s="54">
        <v>12</v>
      </c>
      <c r="K422" s="38">
        <v>15.88</v>
      </c>
    </row>
    <row r="423" spans="1:11" x14ac:dyDescent="0.25">
      <c r="A423" s="51" t="s">
        <v>27</v>
      </c>
      <c r="B423" s="51" t="s">
        <v>1250</v>
      </c>
      <c r="C423" s="51"/>
      <c r="D423" s="51"/>
      <c r="E423" s="51"/>
      <c r="F423" s="52" t="s">
        <v>1251</v>
      </c>
      <c r="G423" s="52" t="s">
        <v>1252</v>
      </c>
      <c r="H423" s="52" t="s">
        <v>1054</v>
      </c>
      <c r="I423" s="52" t="s">
        <v>1054</v>
      </c>
      <c r="J423" s="54">
        <v>1</v>
      </c>
      <c r="K423" s="38">
        <v>15.41</v>
      </c>
    </row>
    <row r="424" spans="1:11" x14ac:dyDescent="0.25">
      <c r="A424" s="31" t="s">
        <v>314</v>
      </c>
      <c r="B424" s="71" t="s">
        <v>1253</v>
      </c>
      <c r="C424" s="71"/>
      <c r="D424" s="71"/>
      <c r="E424" s="71"/>
      <c r="F424" s="32" t="s">
        <v>1254</v>
      </c>
      <c r="G424" s="32"/>
      <c r="H424" s="32"/>
      <c r="I424" s="32"/>
      <c r="J424" s="33">
        <v>1</v>
      </c>
      <c r="K424" s="34">
        <v>15.26</v>
      </c>
    </row>
    <row r="425" spans="1:11" x14ac:dyDescent="0.25">
      <c r="A425" s="31" t="s">
        <v>108</v>
      </c>
      <c r="B425" s="71" t="s">
        <v>1255</v>
      </c>
      <c r="C425" s="71"/>
      <c r="D425" s="71"/>
      <c r="E425" s="71"/>
      <c r="F425" s="32" t="s">
        <v>1256</v>
      </c>
      <c r="G425" s="32" t="s">
        <v>1257</v>
      </c>
      <c r="H425" s="32"/>
      <c r="I425" s="32"/>
      <c r="J425" s="33">
        <v>100</v>
      </c>
      <c r="K425" s="34">
        <v>15</v>
      </c>
    </row>
    <row r="426" spans="1:11" x14ac:dyDescent="0.25">
      <c r="A426" s="31" t="s">
        <v>41</v>
      </c>
      <c r="B426" s="71" t="s">
        <v>1258</v>
      </c>
      <c r="C426" s="71"/>
      <c r="D426" s="71"/>
      <c r="E426" s="71"/>
      <c r="F426" s="32" t="s">
        <v>1259</v>
      </c>
      <c r="G426" s="32" t="s">
        <v>1260</v>
      </c>
      <c r="H426" s="32"/>
      <c r="I426" s="32" t="s">
        <v>1084</v>
      </c>
      <c r="J426" s="33">
        <v>30</v>
      </c>
      <c r="K426" s="34">
        <v>15</v>
      </c>
    </row>
    <row r="427" spans="1:11" x14ac:dyDescent="0.25">
      <c r="A427" s="51" t="s">
        <v>286</v>
      </c>
      <c r="B427" s="51" t="s">
        <v>1261</v>
      </c>
      <c r="C427" s="51"/>
      <c r="D427" s="51"/>
      <c r="E427" s="51"/>
      <c r="F427" s="52" t="s">
        <v>1262</v>
      </c>
      <c r="G427" s="52" t="s">
        <v>1263</v>
      </c>
      <c r="H427" s="52"/>
      <c r="I427" s="52"/>
      <c r="J427" s="54">
        <v>12</v>
      </c>
      <c r="K427" s="38">
        <v>15</v>
      </c>
    </row>
    <row r="428" spans="1:11" x14ac:dyDescent="0.25">
      <c r="A428" s="31" t="s">
        <v>108</v>
      </c>
      <c r="B428" s="71" t="s">
        <v>1264</v>
      </c>
      <c r="C428" s="71"/>
      <c r="D428" s="71"/>
      <c r="E428" s="71"/>
      <c r="F428" s="32" t="s">
        <v>1265</v>
      </c>
      <c r="G428" s="32" t="s">
        <v>1266</v>
      </c>
      <c r="H428" s="32"/>
      <c r="I428" s="32"/>
      <c r="J428" s="33">
        <v>4</v>
      </c>
      <c r="K428" s="38">
        <v>15</v>
      </c>
    </row>
    <row r="429" spans="1:11" x14ac:dyDescent="0.25">
      <c r="A429" s="31" t="s">
        <v>108</v>
      </c>
      <c r="B429" s="71" t="s">
        <v>1267</v>
      </c>
      <c r="C429" s="71"/>
      <c r="D429" s="71"/>
      <c r="E429" s="71"/>
      <c r="F429" s="32" t="s">
        <v>1268</v>
      </c>
      <c r="G429" s="32">
        <v>3976</v>
      </c>
      <c r="H429" s="32"/>
      <c r="I429" s="32"/>
      <c r="J429" s="33">
        <v>4</v>
      </c>
      <c r="K429" s="38">
        <v>15</v>
      </c>
    </row>
    <row r="430" spans="1:11" x14ac:dyDescent="0.25">
      <c r="A430" s="51" t="s">
        <v>286</v>
      </c>
      <c r="B430" s="51" t="s">
        <v>1270</v>
      </c>
      <c r="C430" s="51"/>
      <c r="D430" s="51"/>
      <c r="E430" s="51"/>
      <c r="F430" s="52" t="s">
        <v>1271</v>
      </c>
      <c r="G430" s="52" t="s">
        <v>1272</v>
      </c>
      <c r="H430" s="52" t="s">
        <v>58</v>
      </c>
      <c r="I430" s="52"/>
      <c r="J430" s="54">
        <v>2</v>
      </c>
      <c r="K430" s="38">
        <v>15</v>
      </c>
    </row>
    <row r="431" spans="1:11" x14ac:dyDescent="0.25">
      <c r="A431" s="51" t="s">
        <v>27</v>
      </c>
      <c r="B431" s="51" t="s">
        <v>1273</v>
      </c>
      <c r="C431" s="51"/>
      <c r="D431" s="51"/>
      <c r="E431" s="51"/>
      <c r="F431" s="52" t="s">
        <v>1274</v>
      </c>
      <c r="G431" s="52" t="s">
        <v>1275</v>
      </c>
      <c r="H431" s="52" t="s">
        <v>1276</v>
      </c>
      <c r="I431" s="52"/>
      <c r="J431" s="54">
        <v>1</v>
      </c>
      <c r="K431" s="38">
        <v>14.95</v>
      </c>
    </row>
    <row r="432" spans="1:11" x14ac:dyDescent="0.25">
      <c r="A432" s="51" t="s">
        <v>27</v>
      </c>
      <c r="B432" s="51" t="s">
        <v>1277</v>
      </c>
      <c r="C432" s="51"/>
      <c r="D432" s="51"/>
      <c r="E432" s="51"/>
      <c r="F432" s="52" t="s">
        <v>1278</v>
      </c>
      <c r="G432" s="52" t="s">
        <v>1279</v>
      </c>
      <c r="H432" s="52" t="s">
        <v>1054</v>
      </c>
      <c r="I432" s="52" t="s">
        <v>1054</v>
      </c>
      <c r="J432" s="54">
        <v>3</v>
      </c>
      <c r="K432" s="38">
        <v>14.33</v>
      </c>
    </row>
    <row r="433" spans="1:11" x14ac:dyDescent="0.25">
      <c r="A433" s="31" t="s">
        <v>314</v>
      </c>
      <c r="B433" s="71" t="s">
        <v>1280</v>
      </c>
      <c r="C433" s="71"/>
      <c r="D433" s="71"/>
      <c r="E433" s="71"/>
      <c r="F433" s="32" t="s">
        <v>1281</v>
      </c>
      <c r="G433" s="32">
        <v>134764</v>
      </c>
      <c r="H433" s="32"/>
      <c r="I433" s="32"/>
      <c r="J433" s="33">
        <v>200</v>
      </c>
      <c r="K433" s="34">
        <v>13.12</v>
      </c>
    </row>
    <row r="434" spans="1:11" x14ac:dyDescent="0.25">
      <c r="A434" s="51" t="s">
        <v>27</v>
      </c>
      <c r="B434" s="51" t="s">
        <v>1282</v>
      </c>
      <c r="C434" s="51"/>
      <c r="D434" s="51"/>
      <c r="E434" s="51"/>
      <c r="F434" s="52" t="s">
        <v>1283</v>
      </c>
      <c r="G434" s="52" t="s">
        <v>1284</v>
      </c>
      <c r="H434" s="52" t="s">
        <v>1285</v>
      </c>
      <c r="I434" s="52" t="s">
        <v>461</v>
      </c>
      <c r="J434" s="54">
        <v>5</v>
      </c>
      <c r="K434" s="38">
        <v>13.07</v>
      </c>
    </row>
    <row r="435" spans="1:11" x14ac:dyDescent="0.25">
      <c r="A435" s="31" t="s">
        <v>108</v>
      </c>
      <c r="B435" s="71" t="s">
        <v>1286</v>
      </c>
      <c r="C435" s="71"/>
      <c r="D435" s="71"/>
      <c r="E435" s="71"/>
      <c r="F435" s="32" t="s">
        <v>1287</v>
      </c>
      <c r="G435" s="32" t="s">
        <v>1288</v>
      </c>
      <c r="H435" s="32"/>
      <c r="I435" s="32"/>
      <c r="J435" s="33">
        <v>200</v>
      </c>
      <c r="K435" s="34">
        <v>13</v>
      </c>
    </row>
    <row r="436" spans="1:11" x14ac:dyDescent="0.25">
      <c r="A436" s="31" t="s">
        <v>314</v>
      </c>
      <c r="B436" s="71" t="s">
        <v>1289</v>
      </c>
      <c r="C436" s="71"/>
      <c r="D436" s="71"/>
      <c r="E436" s="71"/>
      <c r="F436" s="32" t="s">
        <v>1290</v>
      </c>
      <c r="G436" s="32" t="s">
        <v>1291</v>
      </c>
      <c r="H436" s="32" t="s">
        <v>719</v>
      </c>
      <c r="I436" s="32" t="s">
        <v>586</v>
      </c>
      <c r="J436" s="33">
        <v>30</v>
      </c>
      <c r="K436" s="34">
        <v>12.72</v>
      </c>
    </row>
    <row r="437" spans="1:11" x14ac:dyDescent="0.25">
      <c r="A437" s="31" t="s">
        <v>314</v>
      </c>
      <c r="B437" s="71" t="s">
        <v>1292</v>
      </c>
      <c r="C437" s="71"/>
      <c r="D437" s="71"/>
      <c r="E437" s="71"/>
      <c r="F437" s="32" t="s">
        <v>1293</v>
      </c>
      <c r="G437" s="32" t="s">
        <v>1294</v>
      </c>
      <c r="H437" s="32" t="s">
        <v>1295</v>
      </c>
      <c r="I437" s="32" t="s">
        <v>1296</v>
      </c>
      <c r="J437" s="33">
        <v>50</v>
      </c>
      <c r="K437" s="34">
        <v>12.67</v>
      </c>
    </row>
    <row r="438" spans="1:11" x14ac:dyDescent="0.25">
      <c r="A438" s="31" t="s">
        <v>108</v>
      </c>
      <c r="B438" s="71" t="s">
        <v>1297</v>
      </c>
      <c r="C438" s="71"/>
      <c r="D438" s="71"/>
      <c r="E438" s="71"/>
      <c r="F438" s="32" t="s">
        <v>1298</v>
      </c>
      <c r="G438" s="32"/>
      <c r="H438" s="32"/>
      <c r="I438" s="32"/>
      <c r="J438" s="33">
        <v>200</v>
      </c>
      <c r="K438" s="34">
        <v>12</v>
      </c>
    </row>
    <row r="439" spans="1:11" x14ac:dyDescent="0.25">
      <c r="A439" s="31" t="s">
        <v>108</v>
      </c>
      <c r="B439" s="71" t="s">
        <v>1299</v>
      </c>
      <c r="C439" s="71"/>
      <c r="D439" s="71"/>
      <c r="E439" s="71"/>
      <c r="F439" s="32" t="s">
        <v>1300</v>
      </c>
      <c r="G439" s="32"/>
      <c r="H439" s="32"/>
      <c r="I439" s="32"/>
      <c r="J439" s="33">
        <v>100</v>
      </c>
      <c r="K439" s="34">
        <v>12</v>
      </c>
    </row>
    <row r="440" spans="1:11" s="228" customFormat="1" ht="39" x14ac:dyDescent="0.25">
      <c r="A440" s="31" t="s">
        <v>108</v>
      </c>
      <c r="B440" s="71" t="s">
        <v>1301</v>
      </c>
      <c r="C440" s="71"/>
      <c r="D440" s="71"/>
      <c r="E440" s="71"/>
      <c r="F440" s="32" t="s">
        <v>1302</v>
      </c>
      <c r="G440" s="103" t="s">
        <v>1303</v>
      </c>
      <c r="H440" s="32"/>
      <c r="I440" s="32"/>
      <c r="J440" s="33">
        <v>100</v>
      </c>
      <c r="K440" s="34">
        <v>12</v>
      </c>
    </row>
    <row r="441" spans="1:11" x14ac:dyDescent="0.25">
      <c r="A441" s="31" t="s">
        <v>108</v>
      </c>
      <c r="B441" s="71" t="s">
        <v>1304</v>
      </c>
      <c r="C441" s="71"/>
      <c r="D441" s="71"/>
      <c r="E441" s="71"/>
      <c r="F441" s="32" t="s">
        <v>1305</v>
      </c>
      <c r="G441" s="32" t="s">
        <v>1306</v>
      </c>
      <c r="H441" s="32"/>
      <c r="I441" s="32"/>
      <c r="J441" s="33">
        <v>100</v>
      </c>
      <c r="K441" s="34">
        <v>12</v>
      </c>
    </row>
    <row r="442" spans="1:11" x14ac:dyDescent="0.25">
      <c r="A442" s="31" t="s">
        <v>314</v>
      </c>
      <c r="B442" s="71" t="s">
        <v>1307</v>
      </c>
      <c r="C442" s="71"/>
      <c r="D442" s="71"/>
      <c r="E442" s="71"/>
      <c r="F442" s="32" t="s">
        <v>1308</v>
      </c>
      <c r="G442" s="32"/>
      <c r="H442" s="32"/>
      <c r="I442" s="32"/>
      <c r="J442" s="33">
        <v>6</v>
      </c>
      <c r="K442" s="34">
        <v>11.77</v>
      </c>
    </row>
    <row r="443" spans="1:11" x14ac:dyDescent="0.25">
      <c r="A443" s="51" t="s">
        <v>27</v>
      </c>
      <c r="B443" s="51" t="s">
        <v>1309</v>
      </c>
      <c r="C443" s="51"/>
      <c r="D443" s="51"/>
      <c r="E443" s="51"/>
      <c r="F443" s="52" t="s">
        <v>1310</v>
      </c>
      <c r="G443" s="52" t="s">
        <v>1311</v>
      </c>
      <c r="H443" s="52" t="s">
        <v>571</v>
      </c>
      <c r="I443" s="52" t="s">
        <v>461</v>
      </c>
      <c r="J443" s="54">
        <v>1</v>
      </c>
      <c r="K443" s="38">
        <v>11.41</v>
      </c>
    </row>
    <row r="444" spans="1:11" x14ac:dyDescent="0.25">
      <c r="A444" s="51" t="s">
        <v>27</v>
      </c>
      <c r="B444" s="51" t="s">
        <v>1312</v>
      </c>
      <c r="C444" s="51"/>
      <c r="D444" s="51"/>
      <c r="E444" s="51"/>
      <c r="F444" s="52" t="s">
        <v>1313</v>
      </c>
      <c r="G444" s="52" t="s">
        <v>1314</v>
      </c>
      <c r="H444" s="52" t="s">
        <v>1315</v>
      </c>
      <c r="I444" s="52"/>
      <c r="J444" s="54">
        <v>2</v>
      </c>
      <c r="K444" s="38">
        <v>11.05</v>
      </c>
    </row>
    <row r="445" spans="1:11" x14ac:dyDescent="0.25">
      <c r="A445" s="51" t="s">
        <v>27</v>
      </c>
      <c r="B445" s="51" t="s">
        <v>1316</v>
      </c>
      <c r="C445" s="51"/>
      <c r="D445" s="51"/>
      <c r="E445" s="51"/>
      <c r="F445" s="52" t="s">
        <v>1317</v>
      </c>
      <c r="G445" s="52" t="s">
        <v>1318</v>
      </c>
      <c r="H445" s="52" t="s">
        <v>1319</v>
      </c>
      <c r="I445" s="52"/>
      <c r="J445" s="54">
        <v>1</v>
      </c>
      <c r="K445" s="38">
        <v>10.29</v>
      </c>
    </row>
    <row r="446" spans="1:11" x14ac:dyDescent="0.25">
      <c r="A446" s="31" t="s">
        <v>108</v>
      </c>
      <c r="B446" s="71" t="s">
        <v>1320</v>
      </c>
      <c r="C446" s="71"/>
      <c r="D446" s="71"/>
      <c r="E446" s="71"/>
      <c r="F446" s="32" t="s">
        <v>1321</v>
      </c>
      <c r="G446" s="32" t="s">
        <v>1322</v>
      </c>
      <c r="H446" s="32"/>
      <c r="I446" s="32"/>
      <c r="J446" s="33">
        <v>300</v>
      </c>
      <c r="K446" s="34">
        <v>10</v>
      </c>
    </row>
    <row r="447" spans="1:11" x14ac:dyDescent="0.25">
      <c r="A447" s="32" t="s">
        <v>41</v>
      </c>
      <c r="B447" s="70" t="s">
        <v>1323</v>
      </c>
      <c r="C447" s="70"/>
      <c r="D447" s="70"/>
      <c r="E447" s="70"/>
      <c r="F447" s="31" t="s">
        <v>1324</v>
      </c>
      <c r="G447" s="32" t="s">
        <v>1325</v>
      </c>
      <c r="H447" s="32"/>
      <c r="I447" s="32" t="s">
        <v>731</v>
      </c>
      <c r="J447" s="33">
        <v>4</v>
      </c>
      <c r="K447" s="34">
        <v>10</v>
      </c>
    </row>
    <row r="448" spans="1:11" x14ac:dyDescent="0.25">
      <c r="A448" s="31" t="s">
        <v>108</v>
      </c>
      <c r="B448" s="71" t="s">
        <v>1326</v>
      </c>
      <c r="C448" s="71"/>
      <c r="D448" s="71"/>
      <c r="E448" s="71"/>
      <c r="F448" s="32" t="s">
        <v>1327</v>
      </c>
      <c r="G448" s="32">
        <v>550</v>
      </c>
      <c r="H448" s="32"/>
      <c r="I448" s="32"/>
      <c r="J448" s="33">
        <v>4</v>
      </c>
      <c r="K448" s="34">
        <v>10</v>
      </c>
    </row>
    <row r="449" spans="1:11" x14ac:dyDescent="0.25">
      <c r="A449" s="32" t="s">
        <v>41</v>
      </c>
      <c r="B449" s="70" t="s">
        <v>1329</v>
      </c>
      <c r="C449" s="70"/>
      <c r="D449" s="70"/>
      <c r="E449" s="70"/>
      <c r="F449" s="31" t="s">
        <v>1330</v>
      </c>
      <c r="G449" s="32" t="s">
        <v>1331</v>
      </c>
      <c r="H449" s="32"/>
      <c r="I449" s="32" t="s">
        <v>461</v>
      </c>
      <c r="J449" s="33">
        <v>3</v>
      </c>
      <c r="K449" s="34">
        <v>10</v>
      </c>
    </row>
    <row r="450" spans="1:11" x14ac:dyDescent="0.25">
      <c r="A450" s="32" t="s">
        <v>41</v>
      </c>
      <c r="B450" s="70" t="s">
        <v>1332</v>
      </c>
      <c r="C450" s="70"/>
      <c r="D450" s="70"/>
      <c r="E450" s="70"/>
      <c r="F450" s="31" t="s">
        <v>1333</v>
      </c>
      <c r="G450" s="32" t="s">
        <v>1334</v>
      </c>
      <c r="H450" s="32"/>
      <c r="I450" s="32" t="s">
        <v>461</v>
      </c>
      <c r="J450" s="33">
        <v>3</v>
      </c>
      <c r="K450" s="34">
        <v>10</v>
      </c>
    </row>
    <row r="451" spans="1:11" x14ac:dyDescent="0.25">
      <c r="A451" s="32" t="s">
        <v>41</v>
      </c>
      <c r="B451" s="70" t="s">
        <v>1335</v>
      </c>
      <c r="C451" s="70"/>
      <c r="D451" s="70"/>
      <c r="E451" s="70"/>
      <c r="F451" s="31" t="s">
        <v>1336</v>
      </c>
      <c r="G451" s="32" t="s">
        <v>1337</v>
      </c>
      <c r="H451" s="32"/>
      <c r="I451" s="32" t="s">
        <v>461</v>
      </c>
      <c r="J451" s="33">
        <v>3</v>
      </c>
      <c r="K451" s="34">
        <v>10</v>
      </c>
    </row>
    <row r="452" spans="1:11" x14ac:dyDescent="0.25">
      <c r="A452" s="51" t="s">
        <v>286</v>
      </c>
      <c r="B452" s="51" t="s">
        <v>1338</v>
      </c>
      <c r="C452" s="51"/>
      <c r="D452" s="51"/>
      <c r="E452" s="51"/>
      <c r="F452" s="52" t="s">
        <v>1339</v>
      </c>
      <c r="G452" s="52" t="s">
        <v>1340</v>
      </c>
      <c r="H452" s="52" t="s">
        <v>452</v>
      </c>
      <c r="I452" s="52"/>
      <c r="J452" s="54">
        <v>3</v>
      </c>
      <c r="K452" s="38">
        <v>10</v>
      </c>
    </row>
    <row r="453" spans="1:11" x14ac:dyDescent="0.25">
      <c r="A453" s="31" t="s">
        <v>108</v>
      </c>
      <c r="B453" s="71" t="s">
        <v>1341</v>
      </c>
      <c r="C453" s="71"/>
      <c r="D453" s="71"/>
      <c r="E453" s="71"/>
      <c r="F453" s="32" t="s">
        <v>1342</v>
      </c>
      <c r="G453" s="28">
        <v>34</v>
      </c>
      <c r="H453" s="28"/>
      <c r="I453" s="28"/>
      <c r="J453" s="40">
        <v>1</v>
      </c>
      <c r="K453" s="34">
        <v>10</v>
      </c>
    </row>
    <row r="454" spans="1:11" x14ac:dyDescent="0.25">
      <c r="A454" s="51" t="s">
        <v>27</v>
      </c>
      <c r="B454" s="51" t="s">
        <v>1343</v>
      </c>
      <c r="C454" s="51"/>
      <c r="D454" s="51"/>
      <c r="E454" s="51"/>
      <c r="F454" s="52" t="s">
        <v>1344</v>
      </c>
      <c r="G454" s="51" t="s">
        <v>1343</v>
      </c>
      <c r="H454" s="52" t="s">
        <v>1345</v>
      </c>
      <c r="I454" s="52" t="s">
        <v>1345</v>
      </c>
      <c r="J454" s="54">
        <v>4</v>
      </c>
      <c r="K454" s="38">
        <v>9.76</v>
      </c>
    </row>
    <row r="455" spans="1:11" x14ac:dyDescent="0.25">
      <c r="A455" s="31" t="s">
        <v>314</v>
      </c>
      <c r="B455" s="71" t="s">
        <v>1346</v>
      </c>
      <c r="C455" s="71"/>
      <c r="D455" s="71"/>
      <c r="E455" s="71"/>
      <c r="F455" s="32" t="s">
        <v>1347</v>
      </c>
      <c r="G455" s="32" t="s">
        <v>1348</v>
      </c>
      <c r="H455" s="32" t="s">
        <v>1349</v>
      </c>
      <c r="I455" s="32" t="s">
        <v>586</v>
      </c>
      <c r="J455" s="33">
        <v>60</v>
      </c>
      <c r="K455" s="34">
        <v>9.5299999999999994</v>
      </c>
    </row>
    <row r="456" spans="1:11" x14ac:dyDescent="0.25">
      <c r="A456" s="51" t="s">
        <v>27</v>
      </c>
      <c r="B456" s="51" t="s">
        <v>1350</v>
      </c>
      <c r="C456" s="51"/>
      <c r="D456" s="51"/>
      <c r="E456" s="51"/>
      <c r="F456" s="52" t="s">
        <v>1351</v>
      </c>
      <c r="G456" s="52" t="s">
        <v>1352</v>
      </c>
      <c r="H456" s="52" t="s">
        <v>1122</v>
      </c>
      <c r="I456" s="52" t="s">
        <v>461</v>
      </c>
      <c r="J456" s="54">
        <v>1</v>
      </c>
      <c r="K456" s="38">
        <v>9.43</v>
      </c>
    </row>
    <row r="457" spans="1:11" x14ac:dyDescent="0.25">
      <c r="A457" s="51" t="s">
        <v>27</v>
      </c>
      <c r="B457" s="51" t="s">
        <v>1353</v>
      </c>
      <c r="C457" s="51"/>
      <c r="D457" s="51"/>
      <c r="E457" s="51"/>
      <c r="F457" s="52" t="s">
        <v>1354</v>
      </c>
      <c r="G457" s="52" t="s">
        <v>1355</v>
      </c>
      <c r="H457" s="52" t="s">
        <v>1356</v>
      </c>
      <c r="I457" s="52"/>
      <c r="J457" s="54">
        <v>4</v>
      </c>
      <c r="K457" s="38">
        <v>9.35</v>
      </c>
    </row>
    <row r="458" spans="1:11" x14ac:dyDescent="0.25">
      <c r="A458" s="51" t="s">
        <v>27</v>
      </c>
      <c r="B458" s="51" t="s">
        <v>1357</v>
      </c>
      <c r="C458" s="51"/>
      <c r="D458" s="51"/>
      <c r="E458" s="51"/>
      <c r="F458" s="52" t="s">
        <v>1358</v>
      </c>
      <c r="G458" s="52">
        <v>2903359</v>
      </c>
      <c r="H458" s="52" t="s">
        <v>442</v>
      </c>
      <c r="I458" s="52" t="s">
        <v>461</v>
      </c>
      <c r="J458" s="54">
        <v>2</v>
      </c>
      <c r="K458" s="38">
        <v>9.25</v>
      </c>
    </row>
    <row r="459" spans="1:11" x14ac:dyDescent="0.25">
      <c r="A459" s="31" t="s">
        <v>227</v>
      </c>
      <c r="B459" s="71" t="s">
        <v>1359</v>
      </c>
      <c r="C459" s="71"/>
      <c r="D459" s="71"/>
      <c r="E459" s="71"/>
      <c r="F459" s="52" t="s">
        <v>1360</v>
      </c>
      <c r="G459" s="52" t="s">
        <v>1361</v>
      </c>
      <c r="H459" s="52" t="s">
        <v>1058</v>
      </c>
      <c r="I459" s="52" t="s">
        <v>1059</v>
      </c>
      <c r="J459" s="33">
        <v>1</v>
      </c>
      <c r="K459" s="38">
        <v>9.09</v>
      </c>
    </row>
    <row r="460" spans="1:11" x14ac:dyDescent="0.25">
      <c r="A460" s="31" t="s">
        <v>108</v>
      </c>
      <c r="B460" s="71" t="s">
        <v>1362</v>
      </c>
      <c r="C460" s="71"/>
      <c r="D460" s="71"/>
      <c r="E460" s="71"/>
      <c r="F460" s="32" t="s">
        <v>1363</v>
      </c>
      <c r="G460" s="32" t="s">
        <v>1364</v>
      </c>
      <c r="H460" s="32"/>
      <c r="I460" s="32"/>
      <c r="J460" s="33">
        <v>100</v>
      </c>
      <c r="K460" s="34">
        <v>9</v>
      </c>
    </row>
    <row r="461" spans="1:11" x14ac:dyDescent="0.25">
      <c r="A461" s="51" t="s">
        <v>474</v>
      </c>
      <c r="B461" s="51" t="s">
        <v>70</v>
      </c>
      <c r="C461" s="51"/>
      <c r="D461" s="51"/>
      <c r="E461" s="51"/>
      <c r="F461" s="32" t="s">
        <v>1365</v>
      </c>
      <c r="G461" s="52"/>
      <c r="H461" s="52" t="s">
        <v>480</v>
      </c>
      <c r="I461" s="52"/>
      <c r="J461" s="54">
        <v>1</v>
      </c>
      <c r="K461" s="38">
        <v>9</v>
      </c>
    </row>
    <row r="462" spans="1:11" x14ac:dyDescent="0.25">
      <c r="A462" s="31" t="s">
        <v>108</v>
      </c>
      <c r="B462" s="71" t="s">
        <v>1366</v>
      </c>
      <c r="C462" s="71"/>
      <c r="D462" s="71"/>
      <c r="E462" s="71"/>
      <c r="F462" s="32" t="s">
        <v>1367</v>
      </c>
      <c r="G462" s="32" t="s">
        <v>1368</v>
      </c>
      <c r="H462" s="32" t="s">
        <v>1039</v>
      </c>
      <c r="I462" s="32" t="s">
        <v>1040</v>
      </c>
      <c r="J462" s="33">
        <v>10</v>
      </c>
      <c r="K462" s="34">
        <v>8.8699999999999992</v>
      </c>
    </row>
    <row r="463" spans="1:11" x14ac:dyDescent="0.25">
      <c r="A463" s="31" t="s">
        <v>314</v>
      </c>
      <c r="B463" s="71" t="s">
        <v>1369</v>
      </c>
      <c r="C463" s="71"/>
      <c r="D463" s="71"/>
      <c r="E463" s="71"/>
      <c r="F463" s="32" t="s">
        <v>1370</v>
      </c>
      <c r="G463" s="32" t="s">
        <v>1371</v>
      </c>
      <c r="H463" s="32" t="s">
        <v>1349</v>
      </c>
      <c r="I463" s="32" t="s">
        <v>586</v>
      </c>
      <c r="J463" s="33">
        <v>90</v>
      </c>
      <c r="K463" s="34">
        <v>8.17</v>
      </c>
    </row>
    <row r="464" spans="1:11" x14ac:dyDescent="0.25">
      <c r="A464" s="31" t="s">
        <v>314</v>
      </c>
      <c r="B464" s="71" t="s">
        <v>1372</v>
      </c>
      <c r="C464" s="71"/>
      <c r="D464" s="71"/>
      <c r="E464" s="71"/>
      <c r="F464" s="32" t="s">
        <v>1373</v>
      </c>
      <c r="G464" s="32" t="s">
        <v>1374</v>
      </c>
      <c r="H464" s="32" t="s">
        <v>719</v>
      </c>
      <c r="I464" s="32" t="s">
        <v>586</v>
      </c>
      <c r="J464" s="33">
        <v>4</v>
      </c>
      <c r="K464" s="38">
        <v>8.0749999999999993</v>
      </c>
    </row>
    <row r="465" spans="1:11" x14ac:dyDescent="0.25">
      <c r="A465" s="31" t="s">
        <v>314</v>
      </c>
      <c r="B465" s="71" t="s">
        <v>1375</v>
      </c>
      <c r="C465" s="71"/>
      <c r="D465" s="71"/>
      <c r="E465" s="71"/>
      <c r="F465" s="32" t="s">
        <v>1376</v>
      </c>
      <c r="G465" s="32" t="s">
        <v>1377</v>
      </c>
      <c r="H465" s="32" t="s">
        <v>719</v>
      </c>
      <c r="I465" s="32" t="s">
        <v>586</v>
      </c>
      <c r="J465" s="33">
        <v>4</v>
      </c>
      <c r="K465" s="38">
        <v>8.0749999999999993</v>
      </c>
    </row>
    <row r="466" spans="1:11" x14ac:dyDescent="0.25">
      <c r="A466" s="31" t="s">
        <v>108</v>
      </c>
      <c r="B466" s="71" t="s">
        <v>1378</v>
      </c>
      <c r="C466" s="71"/>
      <c r="D466" s="71"/>
      <c r="E466" s="71"/>
      <c r="F466" s="32" t="s">
        <v>1379</v>
      </c>
      <c r="G466" s="32" t="s">
        <v>1380</v>
      </c>
      <c r="H466" s="32"/>
      <c r="I466" s="32"/>
      <c r="J466" s="33">
        <v>600</v>
      </c>
      <c r="K466" s="34">
        <v>8</v>
      </c>
    </row>
    <row r="467" spans="1:11" x14ac:dyDescent="0.25">
      <c r="A467" s="31" t="s">
        <v>108</v>
      </c>
      <c r="B467" s="71" t="s">
        <v>1381</v>
      </c>
      <c r="C467" s="71"/>
      <c r="D467" s="71"/>
      <c r="E467" s="71"/>
      <c r="F467" s="32" t="s">
        <v>1382</v>
      </c>
      <c r="G467" s="32" t="s">
        <v>1383</v>
      </c>
      <c r="H467" s="32"/>
      <c r="I467" s="32"/>
      <c r="J467" s="33">
        <v>100</v>
      </c>
      <c r="K467" s="34">
        <v>8</v>
      </c>
    </row>
    <row r="468" spans="1:11" x14ac:dyDescent="0.25">
      <c r="A468" s="31" t="s">
        <v>314</v>
      </c>
      <c r="B468" s="71" t="s">
        <v>1384</v>
      </c>
      <c r="C468" s="71"/>
      <c r="D468" s="31"/>
      <c r="E468" s="31"/>
      <c r="F468" s="31" t="s">
        <v>1385</v>
      </c>
      <c r="G468" s="31" t="s">
        <v>1386</v>
      </c>
      <c r="H468" s="31" t="s">
        <v>1195</v>
      </c>
      <c r="I468" s="31"/>
      <c r="J468" s="33">
        <v>25</v>
      </c>
      <c r="K468" s="34">
        <v>8</v>
      </c>
    </row>
    <row r="469" spans="1:11" x14ac:dyDescent="0.25">
      <c r="A469" s="31" t="s">
        <v>314</v>
      </c>
      <c r="B469" s="71" t="s">
        <v>1388</v>
      </c>
      <c r="C469" s="71"/>
      <c r="D469" s="71"/>
      <c r="E469" s="71"/>
      <c r="F469" s="32" t="s">
        <v>1389</v>
      </c>
      <c r="G469" s="32">
        <v>322402</v>
      </c>
      <c r="H469" s="32" t="s">
        <v>1390</v>
      </c>
      <c r="I469" s="32"/>
      <c r="J469" s="33">
        <v>300</v>
      </c>
      <c r="K469" s="34">
        <v>7.87</v>
      </c>
    </row>
    <row r="470" spans="1:11" x14ac:dyDescent="0.25">
      <c r="A470" s="31" t="s">
        <v>108</v>
      </c>
      <c r="B470" s="71" t="s">
        <v>1391</v>
      </c>
      <c r="C470" s="71"/>
      <c r="D470" s="71"/>
      <c r="E470" s="71"/>
      <c r="F470" s="32" t="s">
        <v>1392</v>
      </c>
      <c r="G470" s="32" t="s">
        <v>1393</v>
      </c>
      <c r="H470" s="32" t="s">
        <v>1394</v>
      </c>
      <c r="I470" s="32" t="s">
        <v>1395</v>
      </c>
      <c r="J470" s="33">
        <v>10</v>
      </c>
      <c r="K470" s="34">
        <v>7.74</v>
      </c>
    </row>
    <row r="471" spans="1:11" x14ac:dyDescent="0.25">
      <c r="A471" s="31" t="s">
        <v>108</v>
      </c>
      <c r="B471" s="71" t="s">
        <v>1396</v>
      </c>
      <c r="C471" s="71"/>
      <c r="D471" s="71"/>
      <c r="E471" s="71"/>
      <c r="F471" s="32" t="s">
        <v>1397</v>
      </c>
      <c r="G471" s="32" t="s">
        <v>1398</v>
      </c>
      <c r="H471" s="32" t="s">
        <v>1399</v>
      </c>
      <c r="I471" s="32"/>
      <c r="J471" s="33">
        <v>8</v>
      </c>
      <c r="K471" s="34">
        <v>7.41</v>
      </c>
    </row>
    <row r="472" spans="1:11" x14ac:dyDescent="0.25">
      <c r="A472" s="31" t="s">
        <v>108</v>
      </c>
      <c r="B472" s="71" t="s">
        <v>1400</v>
      </c>
      <c r="C472" s="71"/>
      <c r="D472" s="71"/>
      <c r="E472" s="71"/>
      <c r="F472" s="32" t="s">
        <v>1401</v>
      </c>
      <c r="G472" s="32" t="s">
        <v>1402</v>
      </c>
      <c r="H472" s="32" t="s">
        <v>1399</v>
      </c>
      <c r="I472" s="32"/>
      <c r="J472" s="33">
        <v>2</v>
      </c>
      <c r="K472" s="34">
        <v>7.41</v>
      </c>
    </row>
    <row r="473" spans="1:11" x14ac:dyDescent="0.25">
      <c r="A473" s="51" t="s">
        <v>27</v>
      </c>
      <c r="B473" s="126" t="s">
        <v>1403</v>
      </c>
      <c r="C473" s="51"/>
      <c r="D473" s="51"/>
      <c r="E473" s="51"/>
      <c r="F473" s="9" t="s">
        <v>1404</v>
      </c>
      <c r="G473" s="9" t="s">
        <v>1405</v>
      </c>
      <c r="H473" s="52" t="s">
        <v>488</v>
      </c>
      <c r="I473" s="52" t="s">
        <v>461</v>
      </c>
      <c r="J473" s="54">
        <v>1</v>
      </c>
      <c r="K473" s="38">
        <v>7.39</v>
      </c>
    </row>
    <row r="474" spans="1:11" x14ac:dyDescent="0.25">
      <c r="A474" s="31" t="s">
        <v>314</v>
      </c>
      <c r="B474" s="71" t="s">
        <v>1406</v>
      </c>
      <c r="C474" s="71"/>
      <c r="D474" s="71"/>
      <c r="E474" s="71"/>
      <c r="F474" s="32" t="s">
        <v>1407</v>
      </c>
      <c r="G474" s="32" t="s">
        <v>1408</v>
      </c>
      <c r="H474" s="32" t="s">
        <v>719</v>
      </c>
      <c r="I474" s="32" t="s">
        <v>586</v>
      </c>
      <c r="J474" s="33">
        <v>10</v>
      </c>
      <c r="K474" s="34">
        <v>7.01</v>
      </c>
    </row>
    <row r="475" spans="1:11" x14ac:dyDescent="0.25">
      <c r="A475" s="31" t="s">
        <v>108</v>
      </c>
      <c r="B475" s="71" t="s">
        <v>1409</v>
      </c>
      <c r="C475" s="71"/>
      <c r="D475" s="71"/>
      <c r="E475" s="71"/>
      <c r="F475" s="32" t="s">
        <v>1410</v>
      </c>
      <c r="G475" s="32" t="s">
        <v>1411</v>
      </c>
      <c r="H475" s="32"/>
      <c r="I475" s="32"/>
      <c r="J475" s="33">
        <v>30</v>
      </c>
      <c r="K475" s="34">
        <v>7</v>
      </c>
    </row>
    <row r="476" spans="1:11" x14ac:dyDescent="0.25">
      <c r="A476" s="31" t="s">
        <v>108</v>
      </c>
      <c r="B476" s="71" t="s">
        <v>1412</v>
      </c>
      <c r="C476" s="71"/>
      <c r="D476" s="71"/>
      <c r="E476" s="71"/>
      <c r="F476" s="32" t="s">
        <v>1413</v>
      </c>
      <c r="G476" s="32" t="s">
        <v>1414</v>
      </c>
      <c r="H476" s="32"/>
      <c r="I476" s="32"/>
      <c r="J476" s="33">
        <v>12</v>
      </c>
      <c r="K476" s="34">
        <v>7</v>
      </c>
    </row>
    <row r="477" spans="1:11" x14ac:dyDescent="0.25">
      <c r="A477" s="31" t="s">
        <v>108</v>
      </c>
      <c r="B477" s="71" t="s">
        <v>1415</v>
      </c>
      <c r="C477" s="71"/>
      <c r="D477" s="31"/>
      <c r="E477" s="31"/>
      <c r="F477" s="32" t="s">
        <v>1416</v>
      </c>
      <c r="G477" s="32" t="s">
        <v>1417</v>
      </c>
      <c r="H477" s="32"/>
      <c r="I477" s="32"/>
      <c r="J477" s="33">
        <v>2</v>
      </c>
      <c r="K477" s="34">
        <v>7</v>
      </c>
    </row>
    <row r="478" spans="1:11" x14ac:dyDescent="0.25">
      <c r="A478" s="31" t="s">
        <v>314</v>
      </c>
      <c r="B478" s="71" t="s">
        <v>1418</v>
      </c>
      <c r="C478" s="71"/>
      <c r="D478" s="31"/>
      <c r="E478" s="31"/>
      <c r="F478" s="32" t="s">
        <v>1419</v>
      </c>
      <c r="G478" s="32" t="s">
        <v>1420</v>
      </c>
      <c r="H478" s="32" t="s">
        <v>719</v>
      </c>
      <c r="I478" s="32" t="s">
        <v>586</v>
      </c>
      <c r="J478" s="33">
        <v>10</v>
      </c>
      <c r="K478" s="34">
        <v>6.94</v>
      </c>
    </row>
    <row r="479" spans="1:11" x14ac:dyDescent="0.25">
      <c r="A479" s="31" t="s">
        <v>314</v>
      </c>
      <c r="B479" s="71" t="s">
        <v>1421</v>
      </c>
      <c r="C479" s="71"/>
      <c r="D479" s="71"/>
      <c r="E479" s="71"/>
      <c r="F479" s="32" t="s">
        <v>1422</v>
      </c>
      <c r="G479" s="32"/>
      <c r="H479" s="32"/>
      <c r="I479" s="32"/>
      <c r="J479" s="33">
        <v>6</v>
      </c>
      <c r="K479" s="34">
        <v>6.62</v>
      </c>
    </row>
    <row r="480" spans="1:11" x14ac:dyDescent="0.25">
      <c r="A480" s="31" t="s">
        <v>37</v>
      </c>
      <c r="B480" s="71" t="s">
        <v>189</v>
      </c>
      <c r="C480" s="31"/>
      <c r="D480" s="32" t="s">
        <v>190</v>
      </c>
      <c r="E480" s="32" t="s">
        <v>70</v>
      </c>
      <c r="F480" s="32" t="s">
        <v>190</v>
      </c>
      <c r="G480" s="32" t="s">
        <v>70</v>
      </c>
      <c r="H480" s="78" t="s">
        <v>191</v>
      </c>
      <c r="I480" s="78" t="s">
        <v>48</v>
      </c>
      <c r="J480" s="78" t="e">
        <f>IF(#REF!&gt;K480,"falta","ok")</f>
        <v>#REF!</v>
      </c>
      <c r="K480" s="78">
        <v>6</v>
      </c>
    </row>
    <row r="481" spans="1:11" x14ac:dyDescent="0.25">
      <c r="A481" s="51" t="s">
        <v>474</v>
      </c>
      <c r="B481" s="51" t="s">
        <v>70</v>
      </c>
      <c r="C481" s="51"/>
      <c r="D481" s="51"/>
      <c r="E481" s="51"/>
      <c r="F481" s="32" t="s">
        <v>1423</v>
      </c>
      <c r="G481" s="52"/>
      <c r="H481" s="52" t="s">
        <v>480</v>
      </c>
      <c r="I481" s="52"/>
      <c r="J481" s="54">
        <v>1</v>
      </c>
      <c r="K481" s="38">
        <v>5.83</v>
      </c>
    </row>
    <row r="482" spans="1:11" x14ac:dyDescent="0.25">
      <c r="A482" s="31" t="s">
        <v>314</v>
      </c>
      <c r="B482" s="71" t="s">
        <v>1424</v>
      </c>
      <c r="C482" s="71"/>
      <c r="D482" s="71"/>
      <c r="E482" s="71"/>
      <c r="F482" s="32" t="s">
        <v>1425</v>
      </c>
      <c r="G482" s="32" t="s">
        <v>1426</v>
      </c>
      <c r="H482" s="32" t="s">
        <v>719</v>
      </c>
      <c r="I482" s="32" t="s">
        <v>586</v>
      </c>
      <c r="J482" s="33">
        <v>40</v>
      </c>
      <c r="K482" s="34">
        <v>5.63</v>
      </c>
    </row>
    <row r="483" spans="1:11" x14ac:dyDescent="0.25">
      <c r="A483" s="31" t="s">
        <v>314</v>
      </c>
      <c r="B483" s="71" t="s">
        <v>1427</v>
      </c>
      <c r="C483" s="71"/>
      <c r="D483" s="71"/>
      <c r="E483" s="71"/>
      <c r="F483" s="32" t="s">
        <v>1428</v>
      </c>
      <c r="G483" s="32" t="s">
        <v>1429</v>
      </c>
      <c r="H483" s="32" t="s">
        <v>1070</v>
      </c>
      <c r="I483" s="32" t="s">
        <v>1071</v>
      </c>
      <c r="J483" s="33">
        <v>40</v>
      </c>
      <c r="K483" s="34">
        <v>5.63</v>
      </c>
    </row>
    <row r="484" spans="1:11" x14ac:dyDescent="0.25">
      <c r="A484" s="31" t="s">
        <v>314</v>
      </c>
      <c r="B484" s="71" t="s">
        <v>1430</v>
      </c>
      <c r="C484" s="351" t="s">
        <v>499</v>
      </c>
      <c r="D484" s="71"/>
      <c r="E484" s="71"/>
      <c r="F484" s="32" t="s">
        <v>1431</v>
      </c>
      <c r="G484" s="32" t="s">
        <v>1432</v>
      </c>
      <c r="H484" s="32" t="s">
        <v>1433</v>
      </c>
      <c r="I484" s="32" t="s">
        <v>586</v>
      </c>
      <c r="J484" s="33">
        <v>95</v>
      </c>
      <c r="K484" s="34">
        <v>5.07</v>
      </c>
    </row>
    <row r="485" spans="1:11" x14ac:dyDescent="0.25">
      <c r="A485" s="283" t="s">
        <v>314</v>
      </c>
      <c r="B485" s="284" t="s">
        <v>1434</v>
      </c>
      <c r="C485" s="284"/>
      <c r="D485" s="284"/>
      <c r="E485" s="284"/>
      <c r="F485" s="285" t="s">
        <v>1193</v>
      </c>
      <c r="G485" s="285" t="s">
        <v>1435</v>
      </c>
      <c r="H485" s="285" t="s">
        <v>1433</v>
      </c>
      <c r="I485" s="285" t="s">
        <v>586</v>
      </c>
      <c r="J485" s="286">
        <v>5</v>
      </c>
      <c r="K485" s="287">
        <v>5.07</v>
      </c>
    </row>
    <row r="486" spans="1:11" x14ac:dyDescent="0.25">
      <c r="A486" s="31" t="s">
        <v>108</v>
      </c>
      <c r="B486" s="71" t="s">
        <v>1436</v>
      </c>
      <c r="C486" s="71"/>
      <c r="D486" s="71"/>
      <c r="E486" s="71"/>
      <c r="F486" s="32" t="s">
        <v>1437</v>
      </c>
      <c r="G486" s="32" t="s">
        <v>1438</v>
      </c>
      <c r="H486" s="32"/>
      <c r="I486" s="32"/>
      <c r="J486" s="33">
        <v>300</v>
      </c>
      <c r="K486" s="34">
        <v>5</v>
      </c>
    </row>
    <row r="487" spans="1:11" x14ac:dyDescent="0.25">
      <c r="A487" s="31" t="s">
        <v>108</v>
      </c>
      <c r="B487" s="71" t="s">
        <v>1439</v>
      </c>
      <c r="C487" s="71"/>
      <c r="D487" s="71"/>
      <c r="E487" s="71"/>
      <c r="F487" s="32" t="s">
        <v>1440</v>
      </c>
      <c r="G487" s="32" t="s">
        <v>1441</v>
      </c>
      <c r="H487" s="32" t="s">
        <v>515</v>
      </c>
      <c r="I487" s="32" t="s">
        <v>516</v>
      </c>
      <c r="J487" s="33">
        <v>20</v>
      </c>
      <c r="K487" s="34">
        <v>5</v>
      </c>
    </row>
    <row r="488" spans="1:11" x14ac:dyDescent="0.25">
      <c r="A488" s="31" t="s">
        <v>108</v>
      </c>
      <c r="B488" s="71" t="s">
        <v>1442</v>
      </c>
      <c r="C488" s="71"/>
      <c r="D488" s="71"/>
      <c r="E488" s="71"/>
      <c r="F488" s="32" t="s">
        <v>1443</v>
      </c>
      <c r="G488" s="32" t="s">
        <v>1444</v>
      </c>
      <c r="H488" s="32" t="s">
        <v>515</v>
      </c>
      <c r="I488" s="32" t="s">
        <v>516</v>
      </c>
      <c r="J488" s="33">
        <v>20</v>
      </c>
      <c r="K488" s="34">
        <v>5</v>
      </c>
    </row>
    <row r="489" spans="1:11" x14ac:dyDescent="0.25">
      <c r="A489" s="31" t="s">
        <v>169</v>
      </c>
      <c r="B489" s="71" t="s">
        <v>1445</v>
      </c>
      <c r="C489" s="71"/>
      <c r="D489" s="71"/>
      <c r="E489" s="71"/>
      <c r="F489" s="32" t="s">
        <v>1446</v>
      </c>
      <c r="G489" s="32" t="s">
        <v>1447</v>
      </c>
      <c r="H489" s="70" t="s">
        <v>1448</v>
      </c>
      <c r="I489" s="32"/>
      <c r="J489" s="33">
        <v>15</v>
      </c>
      <c r="K489" s="34">
        <v>5</v>
      </c>
    </row>
    <row r="490" spans="1:11" x14ac:dyDescent="0.25">
      <c r="A490" s="31" t="s">
        <v>217</v>
      </c>
      <c r="B490" s="71" t="s">
        <v>1449</v>
      </c>
      <c r="C490" s="71"/>
      <c r="D490" s="71"/>
      <c r="E490" s="71"/>
      <c r="F490" s="32" t="s">
        <v>1450</v>
      </c>
      <c r="G490" s="70" t="s">
        <v>1451</v>
      </c>
      <c r="H490" s="32" t="s">
        <v>461</v>
      </c>
      <c r="I490" s="32" t="s">
        <v>461</v>
      </c>
      <c r="J490" s="33">
        <v>6</v>
      </c>
      <c r="K490" s="34">
        <v>5</v>
      </c>
    </row>
    <row r="491" spans="1:11" x14ac:dyDescent="0.25">
      <c r="A491" s="31" t="s">
        <v>108</v>
      </c>
      <c r="B491" s="71" t="s">
        <v>1452</v>
      </c>
      <c r="C491" s="71"/>
      <c r="D491" s="71"/>
      <c r="E491" s="71"/>
      <c r="F491" s="32" t="s">
        <v>1453</v>
      </c>
      <c r="G491" s="32" t="s">
        <v>1454</v>
      </c>
      <c r="H491" s="32"/>
      <c r="I491" s="32"/>
      <c r="J491" s="33">
        <v>3</v>
      </c>
      <c r="K491" s="34">
        <v>5</v>
      </c>
    </row>
    <row r="492" spans="1:11" x14ac:dyDescent="0.25">
      <c r="A492" s="51" t="s">
        <v>286</v>
      </c>
      <c r="B492" s="51" t="s">
        <v>1455</v>
      </c>
      <c r="C492" s="51"/>
      <c r="D492" s="51"/>
      <c r="E492" s="51"/>
      <c r="F492" s="52" t="s">
        <v>1456</v>
      </c>
      <c r="G492" s="52" t="s">
        <v>1457</v>
      </c>
      <c r="H492" s="52" t="s">
        <v>58</v>
      </c>
      <c r="I492" s="52"/>
      <c r="J492" s="54">
        <v>3</v>
      </c>
      <c r="K492" s="38">
        <v>5</v>
      </c>
    </row>
    <row r="493" spans="1:11" x14ac:dyDescent="0.25">
      <c r="A493" s="51" t="s">
        <v>27</v>
      </c>
      <c r="B493" s="51" t="s">
        <v>1458</v>
      </c>
      <c r="C493" s="51"/>
      <c r="D493" s="51"/>
      <c r="E493" s="51"/>
      <c r="F493" s="52" t="s">
        <v>1459</v>
      </c>
      <c r="G493" s="52">
        <v>1207640</v>
      </c>
      <c r="H493" s="52" t="s">
        <v>442</v>
      </c>
      <c r="I493" s="52"/>
      <c r="J493" s="54">
        <v>1</v>
      </c>
      <c r="K493" s="38">
        <v>4.9400000000000004</v>
      </c>
    </row>
    <row r="494" spans="1:11" x14ac:dyDescent="0.25">
      <c r="A494" s="31" t="s">
        <v>314</v>
      </c>
      <c r="B494" s="71" t="s">
        <v>1460</v>
      </c>
      <c r="C494" s="71"/>
      <c r="D494" s="31"/>
      <c r="E494" s="31"/>
      <c r="F494" s="32" t="s">
        <v>1461</v>
      </c>
      <c r="G494" s="32" t="s">
        <v>1462</v>
      </c>
      <c r="H494" s="32"/>
      <c r="I494" s="32"/>
      <c r="J494" s="33">
        <v>18</v>
      </c>
      <c r="K494" s="34">
        <v>4.93</v>
      </c>
    </row>
    <row r="495" spans="1:11" x14ac:dyDescent="0.25">
      <c r="A495" s="31" t="s">
        <v>314</v>
      </c>
      <c r="B495" s="71" t="s">
        <v>1463</v>
      </c>
      <c r="C495" s="71"/>
      <c r="D495" s="31"/>
      <c r="E495" s="31"/>
      <c r="F495" s="32" t="s">
        <v>1464</v>
      </c>
      <c r="G495" s="32"/>
      <c r="H495" s="32"/>
      <c r="I495" s="32"/>
      <c r="J495" s="33">
        <v>18</v>
      </c>
      <c r="K495" s="34">
        <v>4.93</v>
      </c>
    </row>
    <row r="496" spans="1:11" x14ac:dyDescent="0.25">
      <c r="A496" s="31" t="s">
        <v>108</v>
      </c>
      <c r="B496" s="71" t="s">
        <v>1465</v>
      </c>
      <c r="C496" s="71"/>
      <c r="D496" s="71"/>
      <c r="E496" s="71"/>
      <c r="F496" s="32" t="s">
        <v>1466</v>
      </c>
      <c r="G496" s="32" t="s">
        <v>1467</v>
      </c>
      <c r="H496" s="32" t="s">
        <v>1394</v>
      </c>
      <c r="I496" s="32" t="s">
        <v>1395</v>
      </c>
      <c r="J496" s="33">
        <v>10</v>
      </c>
      <c r="K496" s="34">
        <v>4.93</v>
      </c>
    </row>
    <row r="497" spans="1:11" x14ac:dyDescent="0.25">
      <c r="A497" s="31" t="s">
        <v>314</v>
      </c>
      <c r="B497" s="71" t="s">
        <v>1468</v>
      </c>
      <c r="C497" s="71"/>
      <c r="D497" s="71"/>
      <c r="E497" s="71"/>
      <c r="F497" s="32" t="s">
        <v>1469</v>
      </c>
      <c r="G497" s="32" t="s">
        <v>1470</v>
      </c>
      <c r="H497" s="32" t="s">
        <v>519</v>
      </c>
      <c r="I497" s="32" t="s">
        <v>586</v>
      </c>
      <c r="J497" s="33">
        <v>1</v>
      </c>
      <c r="K497" s="34">
        <v>4.71</v>
      </c>
    </row>
    <row r="498" spans="1:11" x14ac:dyDescent="0.25">
      <c r="A498" s="31" t="s">
        <v>37</v>
      </c>
      <c r="B498" s="71" t="s">
        <v>1471</v>
      </c>
      <c r="C498" s="71"/>
      <c r="D498" s="71"/>
      <c r="E498" s="71"/>
      <c r="F498" s="32" t="s">
        <v>1472</v>
      </c>
      <c r="G498" s="32" t="s">
        <v>1473</v>
      </c>
      <c r="H498" s="32" t="s">
        <v>1151</v>
      </c>
      <c r="I498" s="32" t="s">
        <v>1152</v>
      </c>
      <c r="J498" s="33">
        <v>25</v>
      </c>
      <c r="K498" s="34">
        <v>4.58</v>
      </c>
    </row>
    <row r="499" spans="1:11" x14ac:dyDescent="0.25">
      <c r="A499" s="31" t="s">
        <v>314</v>
      </c>
      <c r="B499" s="71" t="s">
        <v>1474</v>
      </c>
      <c r="C499" s="71"/>
      <c r="D499" s="71"/>
      <c r="E499" s="71"/>
      <c r="F499" s="32" t="s">
        <v>1475</v>
      </c>
      <c r="G499" s="32"/>
      <c r="H499" s="32"/>
      <c r="I499" s="32"/>
      <c r="J499" s="33">
        <v>1</v>
      </c>
      <c r="K499" s="34">
        <v>4.16</v>
      </c>
    </row>
    <row r="500" spans="1:11" x14ac:dyDescent="0.25">
      <c r="A500" s="31" t="s">
        <v>108</v>
      </c>
      <c r="B500" s="71" t="s">
        <v>1476</v>
      </c>
      <c r="C500" s="71"/>
      <c r="D500" s="71"/>
      <c r="E500" s="71"/>
      <c r="F500" s="32" t="s">
        <v>1477</v>
      </c>
      <c r="G500" s="32" t="s">
        <v>1478</v>
      </c>
      <c r="H500" s="32"/>
      <c r="I500" s="32"/>
      <c r="J500" s="33">
        <v>50</v>
      </c>
      <c r="K500" s="34">
        <v>4</v>
      </c>
    </row>
    <row r="501" spans="1:11" x14ac:dyDescent="0.25">
      <c r="A501" s="31" t="s">
        <v>108</v>
      </c>
      <c r="B501" s="71" t="s">
        <v>1479</v>
      </c>
      <c r="C501" s="71"/>
      <c r="D501" s="71"/>
      <c r="E501" s="71"/>
      <c r="F501" s="32" t="s">
        <v>1480</v>
      </c>
      <c r="G501" s="32" t="s">
        <v>1481</v>
      </c>
      <c r="H501" s="32"/>
      <c r="I501" s="32"/>
      <c r="J501" s="33">
        <v>50</v>
      </c>
      <c r="K501" s="34">
        <v>4</v>
      </c>
    </row>
    <row r="502" spans="1:11" x14ac:dyDescent="0.25">
      <c r="A502" s="31" t="s">
        <v>108</v>
      </c>
      <c r="B502" s="71" t="s">
        <v>1482</v>
      </c>
      <c r="C502" s="71"/>
      <c r="D502" s="71"/>
      <c r="E502" s="71"/>
      <c r="F502" s="32" t="s">
        <v>1483</v>
      </c>
      <c r="G502" s="32" t="s">
        <v>1484</v>
      </c>
      <c r="H502" s="32"/>
      <c r="I502" s="32"/>
      <c r="J502" s="33">
        <v>50</v>
      </c>
      <c r="K502" s="34">
        <v>4</v>
      </c>
    </row>
    <row r="503" spans="1:11" x14ac:dyDescent="0.25">
      <c r="A503" s="31" t="s">
        <v>108</v>
      </c>
      <c r="B503" s="71" t="s">
        <v>1485</v>
      </c>
      <c r="C503" s="71"/>
      <c r="D503" s="71"/>
      <c r="E503" s="71"/>
      <c r="F503" s="32" t="s">
        <v>1486</v>
      </c>
      <c r="G503" s="32">
        <v>130094</v>
      </c>
      <c r="H503" s="32"/>
      <c r="I503" s="32"/>
      <c r="J503" s="33">
        <v>50</v>
      </c>
      <c r="K503" s="34">
        <v>4</v>
      </c>
    </row>
    <row r="504" spans="1:11" x14ac:dyDescent="0.25">
      <c r="A504" s="31" t="s">
        <v>108</v>
      </c>
      <c r="B504" s="71" t="s">
        <v>1487</v>
      </c>
      <c r="C504" s="71"/>
      <c r="D504" s="71"/>
      <c r="E504" s="71"/>
      <c r="F504" s="32" t="s">
        <v>1488</v>
      </c>
      <c r="G504" s="32"/>
      <c r="H504" s="32"/>
      <c r="I504" s="32"/>
      <c r="J504" s="33">
        <v>50</v>
      </c>
      <c r="K504" s="34">
        <v>4</v>
      </c>
    </row>
    <row r="505" spans="1:11" x14ac:dyDescent="0.25">
      <c r="A505" s="283" t="s">
        <v>314</v>
      </c>
      <c r="B505" s="284" t="s">
        <v>1489</v>
      </c>
      <c r="C505" s="284"/>
      <c r="D505" s="284"/>
      <c r="E505" s="284"/>
      <c r="F505" s="285" t="s">
        <v>1490</v>
      </c>
      <c r="G505" s="285" t="s">
        <v>1491</v>
      </c>
      <c r="H505" s="285"/>
      <c r="I505" s="285"/>
      <c r="J505" s="286">
        <v>30</v>
      </c>
      <c r="K505" s="287">
        <v>4</v>
      </c>
    </row>
    <row r="506" spans="1:11" x14ac:dyDescent="0.25">
      <c r="A506" s="283" t="s">
        <v>314</v>
      </c>
      <c r="B506" s="284" t="s">
        <v>1492</v>
      </c>
      <c r="C506" s="284"/>
      <c r="D506" s="284"/>
      <c r="E506" s="284"/>
      <c r="F506" s="285" t="s">
        <v>1493</v>
      </c>
      <c r="G506" s="285" t="s">
        <v>1494</v>
      </c>
      <c r="H506" s="285"/>
      <c r="I506" s="285"/>
      <c r="J506" s="286">
        <v>30</v>
      </c>
      <c r="K506" s="287">
        <v>4</v>
      </c>
    </row>
    <row r="507" spans="1:11" x14ac:dyDescent="0.25">
      <c r="A507" s="31" t="s">
        <v>108</v>
      </c>
      <c r="B507" s="71" t="s">
        <v>1495</v>
      </c>
      <c r="C507" s="71"/>
      <c r="D507" s="71"/>
      <c r="E507" s="71"/>
      <c r="F507" s="32" t="s">
        <v>1496</v>
      </c>
      <c r="G507" s="32" t="s">
        <v>1497</v>
      </c>
      <c r="H507" s="32"/>
      <c r="I507" s="32"/>
      <c r="J507" s="33">
        <v>30</v>
      </c>
      <c r="K507" s="34">
        <v>4</v>
      </c>
    </row>
    <row r="508" spans="1:11" x14ac:dyDescent="0.25">
      <c r="A508" s="31" t="s">
        <v>108</v>
      </c>
      <c r="B508" s="31" t="s">
        <v>70</v>
      </c>
      <c r="C508" s="31"/>
      <c r="D508" s="31"/>
      <c r="E508" s="31"/>
      <c r="F508" s="32" t="s">
        <v>1498</v>
      </c>
      <c r="G508" s="32" t="s">
        <v>1499</v>
      </c>
      <c r="H508" s="32"/>
      <c r="I508" s="32"/>
      <c r="J508" s="33">
        <v>30</v>
      </c>
      <c r="K508" s="34">
        <v>4</v>
      </c>
    </row>
    <row r="509" spans="1:11" ht="26.25" x14ac:dyDescent="0.25">
      <c r="A509" s="283" t="s">
        <v>314</v>
      </c>
      <c r="B509" s="284" t="s">
        <v>1500</v>
      </c>
      <c r="C509" s="284"/>
      <c r="D509" s="284"/>
      <c r="E509" s="284"/>
      <c r="F509" s="285" t="s">
        <v>1501</v>
      </c>
      <c r="G509" s="288" t="s">
        <v>1502</v>
      </c>
      <c r="H509" s="285"/>
      <c r="I509" s="285"/>
      <c r="J509" s="286">
        <v>10</v>
      </c>
      <c r="K509" s="287">
        <v>4</v>
      </c>
    </row>
    <row r="510" spans="1:11" ht="26.25" x14ac:dyDescent="0.25">
      <c r="A510" s="283" t="s">
        <v>314</v>
      </c>
      <c r="B510" s="284" t="s">
        <v>1503</v>
      </c>
      <c r="C510" s="284"/>
      <c r="D510" s="284"/>
      <c r="E510" s="284"/>
      <c r="F510" s="285" t="s">
        <v>1504</v>
      </c>
      <c r="G510" s="288" t="s">
        <v>1505</v>
      </c>
      <c r="H510" s="285"/>
      <c r="I510" s="285"/>
      <c r="J510" s="286">
        <v>10</v>
      </c>
      <c r="K510" s="287">
        <v>4</v>
      </c>
    </row>
    <row r="511" spans="1:11" ht="26.25" x14ac:dyDescent="0.25">
      <c r="A511" s="283" t="s">
        <v>314</v>
      </c>
      <c r="B511" s="283" t="s">
        <v>70</v>
      </c>
      <c r="C511" s="283"/>
      <c r="D511" s="283"/>
      <c r="E511" s="283"/>
      <c r="F511" s="285" t="s">
        <v>1506</v>
      </c>
      <c r="G511" s="288" t="s">
        <v>1507</v>
      </c>
      <c r="H511" s="285"/>
      <c r="I511" s="285"/>
      <c r="J511" s="286">
        <v>10</v>
      </c>
      <c r="K511" s="287">
        <v>4</v>
      </c>
    </row>
    <row r="512" spans="1:11" ht="26.25" x14ac:dyDescent="0.25">
      <c r="A512" s="283" t="s">
        <v>314</v>
      </c>
      <c r="B512" s="284" t="s">
        <v>1508</v>
      </c>
      <c r="C512" s="284"/>
      <c r="D512" s="284"/>
      <c r="E512" s="284"/>
      <c r="F512" s="285" t="s">
        <v>1506</v>
      </c>
      <c r="G512" s="288" t="s">
        <v>1509</v>
      </c>
      <c r="H512" s="285"/>
      <c r="I512" s="285"/>
      <c r="J512" s="286">
        <v>10</v>
      </c>
      <c r="K512" s="287">
        <v>4</v>
      </c>
    </row>
    <row r="513" spans="1:11" x14ac:dyDescent="0.25">
      <c r="A513" s="31" t="s">
        <v>314</v>
      </c>
      <c r="B513" s="71" t="s">
        <v>1510</v>
      </c>
      <c r="C513" s="71"/>
      <c r="D513" s="71"/>
      <c r="E513" s="71"/>
      <c r="F513" s="32" t="s">
        <v>1511</v>
      </c>
      <c r="G513" s="32" t="s">
        <v>1512</v>
      </c>
      <c r="H513" s="32" t="s">
        <v>1513</v>
      </c>
      <c r="I513" s="32"/>
      <c r="J513" s="33">
        <v>8</v>
      </c>
      <c r="K513" s="34">
        <v>4</v>
      </c>
    </row>
    <row r="514" spans="1:11" x14ac:dyDescent="0.25">
      <c r="A514" s="31" t="s">
        <v>314</v>
      </c>
      <c r="B514" s="71" t="s">
        <v>1514</v>
      </c>
      <c r="C514" s="71"/>
      <c r="D514" s="71"/>
      <c r="E514" s="71"/>
      <c r="F514" s="32" t="s">
        <v>1515</v>
      </c>
      <c r="G514" s="32"/>
      <c r="H514" s="32"/>
      <c r="I514" s="32"/>
      <c r="J514" s="33">
        <v>8</v>
      </c>
      <c r="K514" s="34">
        <v>4</v>
      </c>
    </row>
    <row r="515" spans="1:11" x14ac:dyDescent="0.25">
      <c r="A515" s="32" t="s">
        <v>169</v>
      </c>
      <c r="B515" s="70" t="s">
        <v>1516</v>
      </c>
      <c r="C515" s="70"/>
      <c r="D515" s="70" t="s">
        <v>1517</v>
      </c>
      <c r="E515" s="70" t="s">
        <v>1518</v>
      </c>
      <c r="F515" s="31" t="s">
        <v>1519</v>
      </c>
      <c r="G515" s="32" t="s">
        <v>1520</v>
      </c>
      <c r="H515" s="32" t="s">
        <v>1521</v>
      </c>
      <c r="I515" s="32"/>
      <c r="J515" s="33">
        <v>5</v>
      </c>
      <c r="K515" s="34">
        <v>4</v>
      </c>
    </row>
    <row r="516" spans="1:11" x14ac:dyDescent="0.25">
      <c r="A516" s="31" t="s">
        <v>108</v>
      </c>
      <c r="B516" s="71" t="s">
        <v>1522</v>
      </c>
      <c r="C516" s="71"/>
      <c r="D516" s="71"/>
      <c r="E516" s="71"/>
      <c r="F516" s="32" t="s">
        <v>1523</v>
      </c>
      <c r="G516" s="32" t="s">
        <v>1524</v>
      </c>
      <c r="H516" s="32"/>
      <c r="I516" s="32"/>
      <c r="J516" s="33">
        <v>2</v>
      </c>
      <c r="K516" s="34">
        <v>4</v>
      </c>
    </row>
    <row r="517" spans="1:11" x14ac:dyDescent="0.25">
      <c r="A517" s="31" t="s">
        <v>108</v>
      </c>
      <c r="B517" s="71" t="s">
        <v>1525</v>
      </c>
      <c r="C517" s="71"/>
      <c r="D517" s="71"/>
      <c r="E517" s="71"/>
      <c r="F517" s="32" t="s">
        <v>1526</v>
      </c>
      <c r="G517" s="32" t="s">
        <v>1527</v>
      </c>
      <c r="H517" s="32"/>
      <c r="I517" s="32"/>
      <c r="J517" s="33">
        <v>50</v>
      </c>
      <c r="K517" s="34">
        <v>4</v>
      </c>
    </row>
    <row r="518" spans="1:11" x14ac:dyDescent="0.25">
      <c r="A518" s="31" t="s">
        <v>314</v>
      </c>
      <c r="B518" s="71" t="s">
        <v>1528</v>
      </c>
      <c r="C518" s="71"/>
      <c r="D518" s="71">
        <v>7853201250000</v>
      </c>
      <c r="E518" s="71"/>
      <c r="F518" s="32" t="s">
        <v>1529</v>
      </c>
      <c r="G518" s="32" t="s">
        <v>1530</v>
      </c>
      <c r="H518" s="32" t="s">
        <v>785</v>
      </c>
      <c r="I518" s="32" t="s">
        <v>1071</v>
      </c>
      <c r="J518" s="33">
        <v>10</v>
      </c>
      <c r="K518" s="34">
        <v>3.3809523809523809</v>
      </c>
    </row>
    <row r="519" spans="1:11" x14ac:dyDescent="0.25">
      <c r="A519" s="31" t="s">
        <v>314</v>
      </c>
      <c r="B519" s="71" t="s">
        <v>1531</v>
      </c>
      <c r="C519" s="351" t="s">
        <v>499</v>
      </c>
      <c r="D519" s="71"/>
      <c r="E519" s="71"/>
      <c r="F519" s="32" t="s">
        <v>1532</v>
      </c>
      <c r="G519" s="32" t="s">
        <v>1533</v>
      </c>
      <c r="H519" s="32" t="s">
        <v>785</v>
      </c>
      <c r="I519" s="32" t="s">
        <v>1071</v>
      </c>
      <c r="J519" s="33">
        <v>10</v>
      </c>
      <c r="K519" s="34">
        <v>3.3809523809523809</v>
      </c>
    </row>
    <row r="520" spans="1:11" x14ac:dyDescent="0.25">
      <c r="A520" s="31" t="s">
        <v>108</v>
      </c>
      <c r="B520" s="71" t="s">
        <v>1534</v>
      </c>
      <c r="C520" s="71"/>
      <c r="D520" s="71"/>
      <c r="E520" s="71"/>
      <c r="F520" s="32" t="s">
        <v>1535</v>
      </c>
      <c r="G520" s="32" t="s">
        <v>1536</v>
      </c>
      <c r="H520" s="32" t="s">
        <v>1394</v>
      </c>
      <c r="I520" s="32" t="s">
        <v>1395</v>
      </c>
      <c r="J520" s="33">
        <v>10</v>
      </c>
      <c r="K520" s="34">
        <v>3.2</v>
      </c>
    </row>
    <row r="521" spans="1:11" x14ac:dyDescent="0.25">
      <c r="A521" s="31" t="s">
        <v>314</v>
      </c>
      <c r="B521" s="71" t="s">
        <v>1537</v>
      </c>
      <c r="C521" s="71"/>
      <c r="D521" s="71"/>
      <c r="E521" s="71"/>
      <c r="F521" s="32" t="s">
        <v>1538</v>
      </c>
      <c r="G521" s="32" t="s">
        <v>1539</v>
      </c>
      <c r="H521" s="32" t="s">
        <v>1540</v>
      </c>
      <c r="I521" s="32"/>
      <c r="J521" s="33">
        <v>500</v>
      </c>
      <c r="K521" s="34">
        <v>3</v>
      </c>
    </row>
    <row r="522" spans="1:11" x14ac:dyDescent="0.25">
      <c r="A522" s="31" t="s">
        <v>314</v>
      </c>
      <c r="B522" s="71" t="s">
        <v>1541</v>
      </c>
      <c r="C522" s="71"/>
      <c r="D522" s="71"/>
      <c r="E522" s="71"/>
      <c r="F522" s="32" t="s">
        <v>1542</v>
      </c>
      <c r="G522" s="32" t="s">
        <v>1543</v>
      </c>
      <c r="H522" s="32" t="s">
        <v>1540</v>
      </c>
      <c r="I522" s="32"/>
      <c r="J522" s="33">
        <v>500</v>
      </c>
      <c r="K522" s="34">
        <v>3</v>
      </c>
    </row>
    <row r="523" spans="1:11" x14ac:dyDescent="0.25">
      <c r="A523" s="31" t="s">
        <v>108</v>
      </c>
      <c r="B523" s="71" t="s">
        <v>1544</v>
      </c>
      <c r="C523" s="71"/>
      <c r="D523" s="71"/>
      <c r="E523" s="71"/>
      <c r="F523" s="32" t="s">
        <v>1545</v>
      </c>
      <c r="G523" s="32" t="s">
        <v>1546</v>
      </c>
      <c r="H523" s="32"/>
      <c r="I523" s="32"/>
      <c r="J523" s="33">
        <v>60</v>
      </c>
      <c r="K523" s="34">
        <v>3</v>
      </c>
    </row>
    <row r="524" spans="1:11" x14ac:dyDescent="0.25">
      <c r="A524" s="31" t="s">
        <v>314</v>
      </c>
      <c r="B524" s="71" t="s">
        <v>1547</v>
      </c>
      <c r="C524" s="71"/>
      <c r="D524" s="71"/>
      <c r="E524" s="71"/>
      <c r="F524" s="32" t="s">
        <v>1548</v>
      </c>
      <c r="G524" s="32" t="s">
        <v>1549</v>
      </c>
      <c r="H524" s="32"/>
      <c r="I524" s="32"/>
      <c r="J524" s="33">
        <v>50</v>
      </c>
      <c r="K524" s="34">
        <v>3</v>
      </c>
    </row>
    <row r="525" spans="1:11" x14ac:dyDescent="0.25">
      <c r="A525" s="31" t="s">
        <v>314</v>
      </c>
      <c r="B525" s="71" t="s">
        <v>1550</v>
      </c>
      <c r="C525" s="71"/>
      <c r="D525" s="71"/>
      <c r="E525" s="71"/>
      <c r="F525" s="32" t="s">
        <v>1551</v>
      </c>
      <c r="G525" s="32" t="s">
        <v>1552</v>
      </c>
      <c r="H525" s="32"/>
      <c r="I525" s="32"/>
      <c r="J525" s="33">
        <v>50</v>
      </c>
      <c r="K525" s="34">
        <v>3</v>
      </c>
    </row>
    <row r="526" spans="1:11" x14ac:dyDescent="0.25">
      <c r="A526" s="31" t="s">
        <v>314</v>
      </c>
      <c r="B526" s="71" t="s">
        <v>1553</v>
      </c>
      <c r="C526" s="71"/>
      <c r="D526" s="71"/>
      <c r="E526" s="71"/>
      <c r="F526" s="32" t="s">
        <v>1554</v>
      </c>
      <c r="G526" s="32" t="s">
        <v>1555</v>
      </c>
      <c r="H526" s="32"/>
      <c r="I526" s="32"/>
      <c r="J526" s="33">
        <v>50</v>
      </c>
      <c r="K526" s="34">
        <v>3</v>
      </c>
    </row>
    <row r="527" spans="1:11" x14ac:dyDescent="0.25">
      <c r="A527" s="51" t="s">
        <v>548</v>
      </c>
      <c r="B527" s="51" t="s">
        <v>1556</v>
      </c>
      <c r="C527" s="51"/>
      <c r="D527" s="51"/>
      <c r="E527" s="51"/>
      <c r="F527" s="52" t="s">
        <v>1557</v>
      </c>
      <c r="G527" s="52" t="s">
        <v>1558</v>
      </c>
      <c r="H527" s="52" t="s">
        <v>731</v>
      </c>
      <c r="I527" s="52" t="s">
        <v>763</v>
      </c>
      <c r="J527" s="54">
        <v>30</v>
      </c>
      <c r="K527" s="38">
        <v>3</v>
      </c>
    </row>
    <row r="528" spans="1:11" x14ac:dyDescent="0.25">
      <c r="A528" s="51" t="s">
        <v>298</v>
      </c>
      <c r="B528" s="51" t="s">
        <v>1559</v>
      </c>
      <c r="C528" s="51"/>
      <c r="D528" s="51"/>
      <c r="E528" s="51"/>
      <c r="F528" s="32" t="s">
        <v>1560</v>
      </c>
      <c r="G528" s="51"/>
      <c r="H528" s="52"/>
      <c r="I528" s="32" t="s">
        <v>1561</v>
      </c>
      <c r="J528" s="54">
        <v>5</v>
      </c>
      <c r="K528" s="38">
        <v>3</v>
      </c>
    </row>
    <row r="529" spans="1:11" x14ac:dyDescent="0.25">
      <c r="A529" s="51" t="s">
        <v>286</v>
      </c>
      <c r="B529" s="51" t="s">
        <v>1562</v>
      </c>
      <c r="C529" s="51"/>
      <c r="D529" s="51"/>
      <c r="E529" s="51"/>
      <c r="F529" s="52" t="s">
        <v>1563</v>
      </c>
      <c r="G529" s="52" t="s">
        <v>1564</v>
      </c>
      <c r="H529" s="52" t="s">
        <v>58</v>
      </c>
      <c r="I529" s="52"/>
      <c r="J529" s="54">
        <v>14</v>
      </c>
      <c r="K529" s="38">
        <v>3</v>
      </c>
    </row>
    <row r="530" spans="1:11" x14ac:dyDescent="0.25">
      <c r="A530" s="31" t="s">
        <v>108</v>
      </c>
      <c r="B530" s="71" t="s">
        <v>1565</v>
      </c>
      <c r="C530" s="71"/>
      <c r="D530" s="71"/>
      <c r="E530" s="309" t="s">
        <v>1566</v>
      </c>
      <c r="F530" s="32" t="s">
        <v>1567</v>
      </c>
      <c r="G530" s="32">
        <v>1579200</v>
      </c>
      <c r="H530" s="32" t="s">
        <v>1568</v>
      </c>
      <c r="I530" s="32"/>
      <c r="J530" s="33">
        <v>13</v>
      </c>
      <c r="K530" s="34">
        <v>3</v>
      </c>
    </row>
    <row r="531" spans="1:11" x14ac:dyDescent="0.25">
      <c r="A531" s="31" t="s">
        <v>108</v>
      </c>
      <c r="B531" s="71" t="s">
        <v>1569</v>
      </c>
      <c r="C531" s="71"/>
      <c r="D531" s="71"/>
      <c r="E531" s="71"/>
      <c r="F531" s="32" t="s">
        <v>1570</v>
      </c>
      <c r="G531" s="32" t="s">
        <v>1571</v>
      </c>
      <c r="H531" s="32" t="s">
        <v>1572</v>
      </c>
      <c r="I531" s="32"/>
      <c r="J531" s="33">
        <v>5</v>
      </c>
      <c r="K531" s="34">
        <v>3</v>
      </c>
    </row>
    <row r="532" spans="1:11" x14ac:dyDescent="0.25">
      <c r="A532" s="32" t="s">
        <v>217</v>
      </c>
      <c r="B532" s="348" t="s">
        <v>1573</v>
      </c>
      <c r="C532" s="540"/>
      <c r="D532" s="70"/>
      <c r="E532" s="70"/>
      <c r="F532" s="368" t="s">
        <v>1574</v>
      </c>
      <c r="G532" s="32" t="s">
        <v>1575</v>
      </c>
      <c r="H532" s="32"/>
      <c r="I532" s="32"/>
      <c r="J532" s="33">
        <v>4</v>
      </c>
      <c r="K532" s="34">
        <v>3</v>
      </c>
    </row>
    <row r="533" spans="1:11" x14ac:dyDescent="0.25">
      <c r="A533" s="31" t="s">
        <v>108</v>
      </c>
      <c r="B533" s="71" t="s">
        <v>1576</v>
      </c>
      <c r="C533" s="71"/>
      <c r="D533" s="71"/>
      <c r="E533" s="71"/>
      <c r="F533" s="32" t="s">
        <v>1577</v>
      </c>
      <c r="G533" s="32" t="s">
        <v>1578</v>
      </c>
      <c r="H533" s="32"/>
      <c r="I533" s="32"/>
      <c r="J533" s="33">
        <v>2</v>
      </c>
      <c r="K533" s="34">
        <v>3</v>
      </c>
    </row>
    <row r="534" spans="1:11" x14ac:dyDescent="0.25">
      <c r="A534" s="31" t="s">
        <v>108</v>
      </c>
      <c r="B534" s="71" t="s">
        <v>1579</v>
      </c>
      <c r="C534" s="71"/>
      <c r="D534" s="71"/>
      <c r="E534" s="71"/>
      <c r="F534" s="32" t="s">
        <v>1580</v>
      </c>
      <c r="G534" s="32" t="s">
        <v>1581</v>
      </c>
      <c r="H534" s="32"/>
      <c r="I534" s="32"/>
      <c r="J534" s="33">
        <v>1</v>
      </c>
      <c r="K534" s="34">
        <v>3</v>
      </c>
    </row>
    <row r="535" spans="1:11" x14ac:dyDescent="0.25">
      <c r="A535" s="31" t="s">
        <v>1582</v>
      </c>
      <c r="B535" s="71" t="s">
        <v>1583</v>
      </c>
      <c r="C535" s="71"/>
      <c r="D535" s="71"/>
      <c r="E535" s="71"/>
      <c r="F535" s="31" t="s">
        <v>1584</v>
      </c>
      <c r="G535" s="31"/>
      <c r="H535" s="52" t="s">
        <v>1224</v>
      </c>
      <c r="I535" s="32"/>
      <c r="J535" s="32">
        <v>2</v>
      </c>
      <c r="K535" s="38">
        <v>2.9</v>
      </c>
    </row>
    <row r="536" spans="1:11" x14ac:dyDescent="0.25">
      <c r="A536" s="31" t="s">
        <v>314</v>
      </c>
      <c r="B536" s="71" t="s">
        <v>1585</v>
      </c>
      <c r="C536" s="71"/>
      <c r="D536" s="71"/>
      <c r="E536" s="71"/>
      <c r="F536" s="32" t="s">
        <v>1586</v>
      </c>
      <c r="G536" s="32" t="s">
        <v>1587</v>
      </c>
      <c r="H536" s="32" t="s">
        <v>785</v>
      </c>
      <c r="I536" s="32" t="s">
        <v>1071</v>
      </c>
      <c r="J536" s="33">
        <v>10</v>
      </c>
      <c r="K536" s="34">
        <v>2.7380952380952381</v>
      </c>
    </row>
    <row r="537" spans="1:11" x14ac:dyDescent="0.25">
      <c r="A537" s="51" t="s">
        <v>227</v>
      </c>
      <c r="B537" s="51" t="s">
        <v>1588</v>
      </c>
      <c r="C537" s="51"/>
      <c r="D537" s="51"/>
      <c r="E537" s="51"/>
      <c r="F537" s="52" t="s">
        <v>1589</v>
      </c>
      <c r="G537" s="52" t="s">
        <v>1590</v>
      </c>
      <c r="H537" s="52" t="s">
        <v>1540</v>
      </c>
      <c r="I537" s="52"/>
      <c r="J537" s="53">
        <v>300</v>
      </c>
      <c r="K537" s="38">
        <v>2.4</v>
      </c>
    </row>
    <row r="538" spans="1:11" x14ac:dyDescent="0.25">
      <c r="A538" s="31" t="s">
        <v>41</v>
      </c>
      <c r="B538" s="71" t="s">
        <v>1591</v>
      </c>
      <c r="C538" s="71"/>
      <c r="D538" s="71"/>
      <c r="E538" s="71"/>
      <c r="F538" s="32" t="s">
        <v>1592</v>
      </c>
      <c r="G538" s="32" t="s">
        <v>1593</v>
      </c>
      <c r="H538" s="32"/>
      <c r="I538" s="32" t="s">
        <v>1594</v>
      </c>
      <c r="J538" s="33">
        <v>150</v>
      </c>
      <c r="K538" s="34">
        <v>2.38</v>
      </c>
    </row>
    <row r="539" spans="1:11" x14ac:dyDescent="0.25">
      <c r="A539" s="51" t="s">
        <v>108</v>
      </c>
      <c r="B539" s="269" t="s">
        <v>1595</v>
      </c>
      <c r="C539" s="269"/>
      <c r="D539" s="253"/>
      <c r="E539" s="253"/>
      <c r="F539" s="52" t="s">
        <v>1596</v>
      </c>
      <c r="G539" s="54" t="s">
        <v>1597</v>
      </c>
      <c r="H539" s="52"/>
      <c r="I539" s="52"/>
      <c r="J539" s="54">
        <v>10</v>
      </c>
      <c r="K539" s="38">
        <v>2.38</v>
      </c>
    </row>
    <row r="540" spans="1:11" x14ac:dyDescent="0.25">
      <c r="A540" s="51" t="s">
        <v>474</v>
      </c>
      <c r="B540" s="51" t="s">
        <v>1598</v>
      </c>
      <c r="C540" s="51"/>
      <c r="D540" s="51"/>
      <c r="E540" s="51"/>
      <c r="F540" s="32" t="s">
        <v>1599</v>
      </c>
      <c r="G540" s="52" t="s">
        <v>1600</v>
      </c>
      <c r="H540" s="52" t="s">
        <v>1133</v>
      </c>
      <c r="I540" s="52"/>
      <c r="J540" s="54">
        <v>50</v>
      </c>
      <c r="K540" s="38">
        <v>2.3199999999999998</v>
      </c>
    </row>
    <row r="541" spans="1:11" x14ac:dyDescent="0.25">
      <c r="A541" s="31" t="s">
        <v>314</v>
      </c>
      <c r="B541" s="71" t="s">
        <v>1601</v>
      </c>
      <c r="C541" s="71"/>
      <c r="D541" s="71"/>
      <c r="E541" s="71"/>
      <c r="F541" s="32" t="s">
        <v>1602</v>
      </c>
      <c r="G541" s="32" t="s">
        <v>1603</v>
      </c>
      <c r="H541" s="32" t="s">
        <v>719</v>
      </c>
      <c r="I541" s="32" t="s">
        <v>586</v>
      </c>
      <c r="J541" s="33">
        <v>200</v>
      </c>
      <c r="K541" s="34">
        <v>2.0299999999999998</v>
      </c>
    </row>
    <row r="542" spans="1:11" x14ac:dyDescent="0.25">
      <c r="A542" s="31" t="s">
        <v>314</v>
      </c>
      <c r="B542" s="71" t="s">
        <v>1604</v>
      </c>
      <c r="C542" s="71"/>
      <c r="D542" s="71"/>
      <c r="E542" s="71"/>
      <c r="F542" s="32" t="s">
        <v>1605</v>
      </c>
      <c r="G542" s="32" t="s">
        <v>1606</v>
      </c>
      <c r="H542" s="32" t="s">
        <v>1540</v>
      </c>
      <c r="I542" s="32"/>
      <c r="J542" s="33">
        <v>600</v>
      </c>
      <c r="K542" s="34">
        <v>2.0099999999999998</v>
      </c>
    </row>
    <row r="543" spans="1:11" x14ac:dyDescent="0.25">
      <c r="A543" s="283" t="s">
        <v>314</v>
      </c>
      <c r="B543" s="284" t="s">
        <v>1607</v>
      </c>
      <c r="C543" s="284"/>
      <c r="D543" s="284"/>
      <c r="E543" s="284"/>
      <c r="F543" s="285" t="s">
        <v>1608</v>
      </c>
      <c r="G543" s="285" t="s">
        <v>1609</v>
      </c>
      <c r="H543" s="285" t="s">
        <v>1610</v>
      </c>
      <c r="I543" s="285" t="s">
        <v>1611</v>
      </c>
      <c r="J543" s="286">
        <v>4000</v>
      </c>
      <c r="K543" s="287">
        <v>2</v>
      </c>
    </row>
    <row r="544" spans="1:11" x14ac:dyDescent="0.25">
      <c r="A544" s="31" t="s">
        <v>314</v>
      </c>
      <c r="B544" s="71" t="s">
        <v>735</v>
      </c>
      <c r="C544" s="71"/>
      <c r="D544" s="331"/>
      <c r="E544" s="71"/>
      <c r="F544" s="32" t="s">
        <v>736</v>
      </c>
      <c r="G544" s="32" t="s">
        <v>737</v>
      </c>
      <c r="H544" s="32" t="s">
        <v>1610</v>
      </c>
      <c r="I544" s="32" t="s">
        <v>1611</v>
      </c>
      <c r="J544" s="33">
        <v>2000</v>
      </c>
      <c r="K544" s="34">
        <v>2</v>
      </c>
    </row>
    <row r="545" spans="1:11" x14ac:dyDescent="0.25">
      <c r="A545" s="32" t="s">
        <v>169</v>
      </c>
      <c r="B545" s="70" t="s">
        <v>1613</v>
      </c>
      <c r="C545" s="70"/>
      <c r="D545" s="70" t="s">
        <v>1614</v>
      </c>
      <c r="E545" s="70" t="s">
        <v>1615</v>
      </c>
      <c r="F545" s="31" t="s">
        <v>1616</v>
      </c>
      <c r="G545" s="32" t="s">
        <v>1617</v>
      </c>
      <c r="H545" s="32" t="s">
        <v>1521</v>
      </c>
      <c r="I545" s="32"/>
      <c r="J545" s="33">
        <v>200</v>
      </c>
      <c r="K545" s="34">
        <v>2</v>
      </c>
    </row>
    <row r="546" spans="1:11" x14ac:dyDescent="0.25">
      <c r="A546" s="32" t="s">
        <v>169</v>
      </c>
      <c r="B546" s="70" t="s">
        <v>1618</v>
      </c>
      <c r="C546" s="70"/>
      <c r="D546" s="70"/>
      <c r="E546" s="70" t="s">
        <v>1619</v>
      </c>
      <c r="F546" s="31" t="s">
        <v>1620</v>
      </c>
      <c r="G546" s="32" t="s">
        <v>1621</v>
      </c>
      <c r="H546" s="32" t="s">
        <v>1521</v>
      </c>
      <c r="I546" s="32"/>
      <c r="J546" s="33">
        <v>200</v>
      </c>
      <c r="K546" s="34">
        <v>2</v>
      </c>
    </row>
    <row r="547" spans="1:11" x14ac:dyDescent="0.25">
      <c r="A547" s="31" t="s">
        <v>314</v>
      </c>
      <c r="B547" s="71" t="s">
        <v>1622</v>
      </c>
      <c r="C547" s="71"/>
      <c r="D547" s="71"/>
      <c r="E547" s="71"/>
      <c r="F547" s="32" t="s">
        <v>1623</v>
      </c>
      <c r="G547" s="32" t="s">
        <v>1624</v>
      </c>
      <c r="H547" s="32" t="s">
        <v>1540</v>
      </c>
      <c r="I547" s="32"/>
      <c r="J547" s="33">
        <v>100</v>
      </c>
      <c r="K547" s="34">
        <v>2</v>
      </c>
    </row>
    <row r="548" spans="1:11" x14ac:dyDescent="0.25">
      <c r="A548" s="31" t="s">
        <v>314</v>
      </c>
      <c r="B548" s="71" t="s">
        <v>1625</v>
      </c>
      <c r="C548" s="71"/>
      <c r="D548" s="71"/>
      <c r="E548" s="71"/>
      <c r="F548" s="32" t="s">
        <v>1626</v>
      </c>
      <c r="G548" s="32" t="s">
        <v>1627</v>
      </c>
      <c r="H548" s="32" t="s">
        <v>1540</v>
      </c>
      <c r="I548" s="32"/>
      <c r="J548" s="33">
        <v>50</v>
      </c>
      <c r="K548" s="34">
        <v>2</v>
      </c>
    </row>
    <row r="549" spans="1:11" x14ac:dyDescent="0.25">
      <c r="A549" s="31" t="s">
        <v>314</v>
      </c>
      <c r="B549" s="71" t="s">
        <v>1628</v>
      </c>
      <c r="C549" s="71"/>
      <c r="D549" s="71"/>
      <c r="E549" s="71"/>
      <c r="F549" s="32" t="s">
        <v>1629</v>
      </c>
      <c r="G549" s="32" t="s">
        <v>1630</v>
      </c>
      <c r="H549" s="32" t="s">
        <v>1540</v>
      </c>
      <c r="I549" s="32"/>
      <c r="J549" s="33">
        <v>50</v>
      </c>
      <c r="K549" s="34">
        <v>2</v>
      </c>
    </row>
    <row r="550" spans="1:11" x14ac:dyDescent="0.25">
      <c r="A550" s="31" t="s">
        <v>314</v>
      </c>
      <c r="B550" s="71" t="s">
        <v>1631</v>
      </c>
      <c r="C550" s="71"/>
      <c r="D550" s="71"/>
      <c r="E550" s="71"/>
      <c r="F550" s="32" t="s">
        <v>1629</v>
      </c>
      <c r="G550" s="32" t="s">
        <v>1632</v>
      </c>
      <c r="H550" s="32"/>
      <c r="I550" s="32"/>
      <c r="J550" s="33">
        <v>50</v>
      </c>
      <c r="K550" s="34">
        <v>2</v>
      </c>
    </row>
    <row r="551" spans="1:11" x14ac:dyDescent="0.25">
      <c r="A551" s="31" t="s">
        <v>314</v>
      </c>
      <c r="B551" s="71" t="s">
        <v>1633</v>
      </c>
      <c r="C551" s="71"/>
      <c r="D551" s="71" t="s">
        <v>1634</v>
      </c>
      <c r="E551" s="71"/>
      <c r="F551" s="32" t="s">
        <v>1635</v>
      </c>
      <c r="G551" s="32" t="s">
        <v>1636</v>
      </c>
      <c r="H551" s="32"/>
      <c r="I551" s="32"/>
      <c r="J551" s="33">
        <v>50</v>
      </c>
      <c r="K551" s="34">
        <v>2</v>
      </c>
    </row>
    <row r="552" spans="1:11" x14ac:dyDescent="0.25">
      <c r="A552" s="31" t="s">
        <v>314</v>
      </c>
      <c r="B552" s="71" t="s">
        <v>1637</v>
      </c>
      <c r="C552" s="71"/>
      <c r="D552" s="71"/>
      <c r="E552" s="71"/>
      <c r="F552" s="32" t="s">
        <v>1638</v>
      </c>
      <c r="G552" s="32" t="s">
        <v>1639</v>
      </c>
      <c r="H552" s="32"/>
      <c r="I552" s="32"/>
      <c r="J552" s="33">
        <v>50</v>
      </c>
      <c r="K552" s="34">
        <v>2</v>
      </c>
    </row>
    <row r="553" spans="1:11" x14ac:dyDescent="0.25">
      <c r="A553" s="31" t="s">
        <v>314</v>
      </c>
      <c r="B553" s="71" t="s">
        <v>1640</v>
      </c>
      <c r="C553" s="71"/>
      <c r="D553" s="71"/>
      <c r="E553" s="71"/>
      <c r="F553" s="32" t="s">
        <v>1641</v>
      </c>
      <c r="G553" s="32" t="s">
        <v>1642</v>
      </c>
      <c r="H553" s="36"/>
      <c r="I553" s="32"/>
      <c r="J553" s="33">
        <v>50</v>
      </c>
      <c r="K553" s="34">
        <v>2</v>
      </c>
    </row>
    <row r="554" spans="1:11" x14ac:dyDescent="0.25">
      <c r="A554" s="31" t="s">
        <v>314</v>
      </c>
      <c r="B554" s="71" t="s">
        <v>1643</v>
      </c>
      <c r="C554" s="71"/>
      <c r="D554" s="71"/>
      <c r="E554" s="71"/>
      <c r="F554" s="32" t="s">
        <v>1644</v>
      </c>
      <c r="G554" s="32" t="s">
        <v>1645</v>
      </c>
      <c r="H554" s="32" t="s">
        <v>1646</v>
      </c>
      <c r="I554" s="32"/>
      <c r="J554" s="33">
        <v>50</v>
      </c>
      <c r="K554" s="34">
        <v>2</v>
      </c>
    </row>
    <row r="555" spans="1:11" x14ac:dyDescent="0.25">
      <c r="A555" s="31" t="s">
        <v>314</v>
      </c>
      <c r="B555" s="71" t="s">
        <v>1647</v>
      </c>
      <c r="C555" s="71"/>
      <c r="D555" s="71"/>
      <c r="E555" s="71"/>
      <c r="F555" s="32" t="s">
        <v>1648</v>
      </c>
      <c r="G555" s="32" t="s">
        <v>1649</v>
      </c>
      <c r="H555" s="32"/>
      <c r="I555" s="32"/>
      <c r="J555" s="33">
        <v>50</v>
      </c>
      <c r="K555" s="34">
        <v>2</v>
      </c>
    </row>
    <row r="556" spans="1:11" x14ac:dyDescent="0.25">
      <c r="A556" s="31" t="s">
        <v>314</v>
      </c>
      <c r="B556" s="71" t="s">
        <v>1650</v>
      </c>
      <c r="C556" s="71"/>
      <c r="D556" s="71"/>
      <c r="E556" s="71"/>
      <c r="F556" s="32" t="s">
        <v>1651</v>
      </c>
      <c r="G556" s="32" t="s">
        <v>1652</v>
      </c>
      <c r="H556" s="32"/>
      <c r="I556" s="32"/>
      <c r="J556" s="33">
        <v>50</v>
      </c>
      <c r="K556" s="34">
        <v>2</v>
      </c>
    </row>
    <row r="557" spans="1:11" x14ac:dyDescent="0.25">
      <c r="A557" s="31" t="s">
        <v>314</v>
      </c>
      <c r="B557" s="71" t="s">
        <v>1653</v>
      </c>
      <c r="C557" s="71"/>
      <c r="D557" s="71"/>
      <c r="E557" s="71"/>
      <c r="F557" s="32" t="s">
        <v>1654</v>
      </c>
      <c r="G557" s="32" t="s">
        <v>1655</v>
      </c>
      <c r="H557" s="32" t="s">
        <v>1656</v>
      </c>
      <c r="I557" s="32"/>
      <c r="J557" s="33">
        <v>50</v>
      </c>
      <c r="K557" s="34">
        <v>2</v>
      </c>
    </row>
    <row r="558" spans="1:11" x14ac:dyDescent="0.25">
      <c r="A558" s="51" t="s">
        <v>298</v>
      </c>
      <c r="B558" s="51" t="s">
        <v>1657</v>
      </c>
      <c r="C558" s="51"/>
      <c r="D558" s="51"/>
      <c r="E558" s="51"/>
      <c r="F558" s="32" t="s">
        <v>1658</v>
      </c>
      <c r="G558" s="51"/>
      <c r="H558" s="52"/>
      <c r="I558" s="32" t="s">
        <v>1561</v>
      </c>
      <c r="J558" s="54">
        <v>10</v>
      </c>
      <c r="K558" s="38">
        <v>2</v>
      </c>
    </row>
    <row r="559" spans="1:11" x14ac:dyDescent="0.25">
      <c r="A559" s="51" t="s">
        <v>298</v>
      </c>
      <c r="B559" s="51" t="s">
        <v>1657</v>
      </c>
      <c r="C559" s="51"/>
      <c r="D559" s="51"/>
      <c r="E559" s="51"/>
      <c r="F559" s="32" t="s">
        <v>1658</v>
      </c>
      <c r="G559" s="51"/>
      <c r="H559" s="52"/>
      <c r="I559" s="32" t="s">
        <v>1561</v>
      </c>
      <c r="J559" s="54">
        <v>5</v>
      </c>
      <c r="K559" s="38">
        <v>2</v>
      </c>
    </row>
    <row r="560" spans="1:11" x14ac:dyDescent="0.25">
      <c r="A560" s="51" t="s">
        <v>27</v>
      </c>
      <c r="B560" s="51" t="s">
        <v>1659</v>
      </c>
      <c r="C560" s="51"/>
      <c r="D560" s="51">
        <v>1544336000119</v>
      </c>
      <c r="E560" s="51"/>
      <c r="F560" s="52" t="s">
        <v>1660</v>
      </c>
      <c r="G560" s="52" t="s">
        <v>1661</v>
      </c>
      <c r="H560" s="52" t="s">
        <v>1224</v>
      </c>
      <c r="I560" s="52"/>
      <c r="J560" s="54">
        <v>15</v>
      </c>
      <c r="K560" s="38">
        <v>2</v>
      </c>
    </row>
    <row r="561" spans="1:11" x14ac:dyDescent="0.25">
      <c r="A561" s="31" t="s">
        <v>1662</v>
      </c>
      <c r="B561" s="71" t="s">
        <v>1663</v>
      </c>
      <c r="C561" s="71"/>
      <c r="D561" s="31">
        <v>1209013600000</v>
      </c>
      <c r="E561" s="31"/>
      <c r="F561" s="32" t="s">
        <v>1664</v>
      </c>
      <c r="G561" s="70"/>
      <c r="H561" s="32"/>
      <c r="I561" s="32"/>
      <c r="J561" s="33">
        <v>1</v>
      </c>
      <c r="K561" s="34">
        <v>2</v>
      </c>
    </row>
    <row r="562" spans="1:11" x14ac:dyDescent="0.25">
      <c r="A562" s="31" t="s">
        <v>1662</v>
      </c>
      <c r="B562" s="71" t="s">
        <v>1665</v>
      </c>
      <c r="C562" s="71"/>
      <c r="D562" s="71"/>
      <c r="E562" s="71"/>
      <c r="F562" s="32" t="s">
        <v>1666</v>
      </c>
      <c r="G562" s="70"/>
      <c r="H562" s="32"/>
      <c r="I562" s="32"/>
      <c r="J562" s="33">
        <v>1</v>
      </c>
      <c r="K562" s="34">
        <v>2</v>
      </c>
    </row>
    <row r="563" spans="1:11" x14ac:dyDescent="0.25">
      <c r="A563" s="31" t="s">
        <v>314</v>
      </c>
      <c r="B563" s="71" t="s">
        <v>1667</v>
      </c>
      <c r="C563" s="31"/>
      <c r="D563" s="31"/>
      <c r="E563" s="31"/>
      <c r="F563" s="32" t="s">
        <v>1668</v>
      </c>
      <c r="G563" s="32" t="s">
        <v>1669</v>
      </c>
      <c r="H563" s="32" t="s">
        <v>488</v>
      </c>
      <c r="I563" s="32"/>
      <c r="J563" s="33">
        <v>1</v>
      </c>
      <c r="K563" s="34">
        <v>2</v>
      </c>
    </row>
    <row r="564" spans="1:11" x14ac:dyDescent="0.25">
      <c r="A564" s="126" t="s">
        <v>27</v>
      </c>
      <c r="B564" s="126" t="s">
        <v>1671</v>
      </c>
      <c r="C564" s="126"/>
      <c r="D564" s="126"/>
      <c r="E564" s="126"/>
      <c r="F564" s="9" t="s">
        <v>1672</v>
      </c>
      <c r="G564" s="9" t="s">
        <v>1673</v>
      </c>
      <c r="H564" s="9" t="s">
        <v>1674</v>
      </c>
      <c r="I564" s="9" t="s">
        <v>1674</v>
      </c>
      <c r="J564" s="61">
        <v>1</v>
      </c>
      <c r="K564" s="47">
        <v>2</v>
      </c>
    </row>
    <row r="565" spans="1:11" x14ac:dyDescent="0.25">
      <c r="A565" s="39" t="s">
        <v>1662</v>
      </c>
      <c r="B565" s="331" t="s">
        <v>1675</v>
      </c>
      <c r="C565" s="331"/>
      <c r="D565" s="331"/>
      <c r="E565" s="331"/>
      <c r="F565" s="28" t="s">
        <v>1676</v>
      </c>
      <c r="G565" s="127" t="s">
        <v>1677</v>
      </c>
      <c r="H565" s="28" t="s">
        <v>1063</v>
      </c>
      <c r="I565" s="28"/>
      <c r="J565" s="40">
        <v>1</v>
      </c>
      <c r="K565" s="30">
        <v>2</v>
      </c>
    </row>
    <row r="566" spans="1:11" x14ac:dyDescent="0.25">
      <c r="A566" s="39" t="s">
        <v>108</v>
      </c>
      <c r="B566" s="39" t="s">
        <v>1678</v>
      </c>
      <c r="C566" s="39"/>
      <c r="D566" s="39"/>
      <c r="E566" s="39"/>
      <c r="F566" s="28" t="s">
        <v>1679</v>
      </c>
      <c r="G566" s="28" t="s">
        <v>1680</v>
      </c>
      <c r="H566" s="28" t="s">
        <v>1681</v>
      </c>
      <c r="I566" s="28"/>
      <c r="J566" s="40">
        <v>10</v>
      </c>
      <c r="K566" s="30">
        <v>1.97</v>
      </c>
    </row>
    <row r="567" spans="1:11" x14ac:dyDescent="0.25">
      <c r="A567" s="72" t="s">
        <v>314</v>
      </c>
      <c r="B567" s="109" t="s">
        <v>1682</v>
      </c>
      <c r="C567" s="109"/>
      <c r="D567" s="109"/>
      <c r="E567" s="109"/>
      <c r="F567" s="32" t="s">
        <v>1683</v>
      </c>
      <c r="G567" s="32" t="s">
        <v>1684</v>
      </c>
      <c r="H567" s="32" t="s">
        <v>1540</v>
      </c>
      <c r="I567" s="32"/>
      <c r="J567" s="33">
        <v>100</v>
      </c>
      <c r="K567" s="34">
        <v>1.9</v>
      </c>
    </row>
    <row r="568" spans="1:11" x14ac:dyDescent="0.25">
      <c r="A568" s="72" t="s">
        <v>314</v>
      </c>
      <c r="B568" s="109" t="s">
        <v>1685</v>
      </c>
      <c r="C568" s="109"/>
      <c r="D568" s="109"/>
      <c r="E568" s="109"/>
      <c r="F568" s="32" t="s">
        <v>1683</v>
      </c>
      <c r="G568" s="32" t="s">
        <v>1684</v>
      </c>
      <c r="H568" s="32" t="s">
        <v>1540</v>
      </c>
      <c r="I568" s="32"/>
      <c r="J568" s="33">
        <v>0</v>
      </c>
      <c r="K568" s="34">
        <v>1.9</v>
      </c>
    </row>
    <row r="569" spans="1:11" x14ac:dyDescent="0.25">
      <c r="A569" s="31" t="s">
        <v>314</v>
      </c>
      <c r="B569" s="71" t="s">
        <v>1686</v>
      </c>
      <c r="C569" s="71"/>
      <c r="D569" s="71"/>
      <c r="E569" s="71"/>
      <c r="F569" s="32" t="s">
        <v>1687</v>
      </c>
      <c r="G569" s="32" t="s">
        <v>1686</v>
      </c>
      <c r="H569" s="32" t="s">
        <v>1688</v>
      </c>
      <c r="I569" s="32" t="s">
        <v>586</v>
      </c>
      <c r="J569" s="33">
        <v>5</v>
      </c>
      <c r="K569" s="38">
        <v>1.6120000000000001</v>
      </c>
    </row>
    <row r="570" spans="1:11" x14ac:dyDescent="0.25">
      <c r="A570" s="31" t="s">
        <v>37</v>
      </c>
      <c r="B570" s="71" t="s">
        <v>1689</v>
      </c>
      <c r="C570" s="71"/>
      <c r="D570" s="71"/>
      <c r="E570" s="71"/>
      <c r="F570" s="32" t="s">
        <v>1690</v>
      </c>
      <c r="G570" s="32" t="s">
        <v>1691</v>
      </c>
      <c r="H570" s="32" t="s">
        <v>1151</v>
      </c>
      <c r="I570" s="32" t="s">
        <v>1152</v>
      </c>
      <c r="J570" s="33">
        <v>33</v>
      </c>
      <c r="K570" s="34">
        <v>1.51</v>
      </c>
    </row>
    <row r="571" spans="1:11" x14ac:dyDescent="0.25">
      <c r="A571" s="31" t="s">
        <v>37</v>
      </c>
      <c r="B571" s="71" t="s">
        <v>1692</v>
      </c>
      <c r="C571" s="71"/>
      <c r="D571" s="71"/>
      <c r="E571" s="71"/>
      <c r="F571" s="32" t="s">
        <v>1693</v>
      </c>
      <c r="G571" s="32" t="s">
        <v>1694</v>
      </c>
      <c r="H571" s="32" t="s">
        <v>1151</v>
      </c>
      <c r="I571" s="32" t="s">
        <v>1152</v>
      </c>
      <c r="J571" s="33">
        <v>24</v>
      </c>
      <c r="K571" s="34">
        <v>1.51</v>
      </c>
    </row>
    <row r="572" spans="1:11" x14ac:dyDescent="0.25">
      <c r="A572" s="31" t="s">
        <v>37</v>
      </c>
      <c r="B572" s="71" t="s">
        <v>1695</v>
      </c>
      <c r="C572" s="71"/>
      <c r="D572" s="71"/>
      <c r="E572" s="71"/>
      <c r="F572" s="32" t="s">
        <v>1696</v>
      </c>
      <c r="G572" s="32" t="s">
        <v>1697</v>
      </c>
      <c r="H572" s="32" t="s">
        <v>1151</v>
      </c>
      <c r="I572" s="32" t="s">
        <v>1152</v>
      </c>
      <c r="J572" s="33">
        <v>31</v>
      </c>
      <c r="K572" s="34">
        <v>1.51</v>
      </c>
    </row>
    <row r="573" spans="1:11" x14ac:dyDescent="0.25">
      <c r="A573" s="31" t="s">
        <v>37</v>
      </c>
      <c r="B573" s="71" t="s">
        <v>1698</v>
      </c>
      <c r="C573" s="71"/>
      <c r="D573" s="71"/>
      <c r="E573" s="71"/>
      <c r="F573" s="32" t="s">
        <v>1699</v>
      </c>
      <c r="G573" s="32" t="s">
        <v>1700</v>
      </c>
      <c r="H573" s="32" t="s">
        <v>1151</v>
      </c>
      <c r="I573" s="32" t="s">
        <v>1152</v>
      </c>
      <c r="J573" s="33">
        <v>178</v>
      </c>
      <c r="K573" s="34">
        <v>1.51</v>
      </c>
    </row>
    <row r="574" spans="1:11" x14ac:dyDescent="0.25">
      <c r="A574" s="31" t="s">
        <v>37</v>
      </c>
      <c r="B574" s="71" t="s">
        <v>1701</v>
      </c>
      <c r="C574" s="71"/>
      <c r="D574" s="71"/>
      <c r="E574" s="71"/>
      <c r="F574" s="32" t="s">
        <v>1702</v>
      </c>
      <c r="G574" s="32" t="s">
        <v>1703</v>
      </c>
      <c r="H574" s="32" t="s">
        <v>1151</v>
      </c>
      <c r="I574" s="32" t="s">
        <v>1152</v>
      </c>
      <c r="J574" s="33">
        <v>4</v>
      </c>
      <c r="K574" s="34">
        <v>1.51</v>
      </c>
    </row>
    <row r="575" spans="1:11" x14ac:dyDescent="0.25">
      <c r="A575" s="31" t="s">
        <v>37</v>
      </c>
      <c r="B575" s="71" t="s">
        <v>1704</v>
      </c>
      <c r="C575" s="71"/>
      <c r="D575" s="71"/>
      <c r="E575" s="71"/>
      <c r="F575" s="32" t="s">
        <v>1705</v>
      </c>
      <c r="G575" s="32" t="s">
        <v>1706</v>
      </c>
      <c r="H575" s="32" t="s">
        <v>1151</v>
      </c>
      <c r="I575" s="32" t="s">
        <v>1152</v>
      </c>
      <c r="J575" s="33">
        <v>6</v>
      </c>
      <c r="K575" s="34">
        <v>1.51</v>
      </c>
    </row>
    <row r="576" spans="1:11" x14ac:dyDescent="0.25">
      <c r="A576" s="31" t="s">
        <v>37</v>
      </c>
      <c r="B576" s="71" t="s">
        <v>1707</v>
      </c>
      <c r="C576" s="71"/>
      <c r="D576" s="71"/>
      <c r="E576" s="71"/>
      <c r="F576" s="32" t="s">
        <v>1708</v>
      </c>
      <c r="G576" s="32" t="s">
        <v>1709</v>
      </c>
      <c r="H576" s="32" t="s">
        <v>1151</v>
      </c>
      <c r="I576" s="32" t="s">
        <v>1152</v>
      </c>
      <c r="J576" s="33">
        <v>4</v>
      </c>
      <c r="K576" s="34">
        <v>1.51</v>
      </c>
    </row>
    <row r="577" spans="1:11" x14ac:dyDescent="0.25">
      <c r="A577" s="31" t="s">
        <v>37</v>
      </c>
      <c r="B577" s="71" t="s">
        <v>1710</v>
      </c>
      <c r="C577" s="71"/>
      <c r="D577" s="71"/>
      <c r="E577" s="71"/>
      <c r="F577" s="32" t="s">
        <v>1711</v>
      </c>
      <c r="G577" s="32" t="s">
        <v>1712</v>
      </c>
      <c r="H577" s="32" t="s">
        <v>1151</v>
      </c>
      <c r="I577" s="32" t="s">
        <v>1152</v>
      </c>
      <c r="J577" s="33">
        <v>30</v>
      </c>
      <c r="K577" s="34">
        <v>1.51</v>
      </c>
    </row>
    <row r="578" spans="1:11" x14ac:dyDescent="0.25">
      <c r="A578" s="31" t="s">
        <v>314</v>
      </c>
      <c r="B578" s="125" t="s">
        <v>1713</v>
      </c>
      <c r="C578" s="125"/>
      <c r="D578" s="125">
        <v>1221200202221</v>
      </c>
      <c r="E578" s="71"/>
      <c r="F578" s="32" t="s">
        <v>1714</v>
      </c>
      <c r="G578" s="32" t="s">
        <v>1715</v>
      </c>
      <c r="H578" s="32" t="s">
        <v>1540</v>
      </c>
      <c r="I578" s="32"/>
      <c r="J578" s="33">
        <v>600</v>
      </c>
      <c r="K578" s="34">
        <v>1.5</v>
      </c>
    </row>
    <row r="579" spans="1:11" x14ac:dyDescent="0.25">
      <c r="A579" s="31" t="s">
        <v>314</v>
      </c>
      <c r="B579" s="71" t="s">
        <v>1716</v>
      </c>
      <c r="C579" s="71"/>
      <c r="D579" s="71"/>
      <c r="E579" s="71"/>
      <c r="F579" s="32" t="s">
        <v>1717</v>
      </c>
      <c r="G579" s="32" t="s">
        <v>1718</v>
      </c>
      <c r="H579" s="32" t="s">
        <v>1295</v>
      </c>
      <c r="I579" s="32" t="s">
        <v>1296</v>
      </c>
      <c r="J579" s="33">
        <v>50</v>
      </c>
      <c r="K579" s="34">
        <v>1.47</v>
      </c>
    </row>
    <row r="580" spans="1:11" x14ac:dyDescent="0.25">
      <c r="A580" s="51" t="s">
        <v>27</v>
      </c>
      <c r="B580" s="51" t="s">
        <v>1719</v>
      </c>
      <c r="C580" s="51"/>
      <c r="D580" s="51"/>
      <c r="E580" s="51"/>
      <c r="F580" s="52" t="s">
        <v>1720</v>
      </c>
      <c r="G580" s="52">
        <v>3031306</v>
      </c>
      <c r="H580" s="52" t="s">
        <v>442</v>
      </c>
      <c r="I580" s="52" t="s">
        <v>461</v>
      </c>
      <c r="J580" s="54">
        <v>3</v>
      </c>
      <c r="K580" s="38">
        <v>1.46</v>
      </c>
    </row>
    <row r="581" spans="1:11" x14ac:dyDescent="0.25">
      <c r="A581" s="51" t="s">
        <v>27</v>
      </c>
      <c r="B581" s="51" t="s">
        <v>1721</v>
      </c>
      <c r="C581" s="51"/>
      <c r="D581" s="51"/>
      <c r="E581" s="51"/>
      <c r="F581" s="52" t="s">
        <v>1722</v>
      </c>
      <c r="G581" s="52" t="s">
        <v>1723</v>
      </c>
      <c r="H581" s="52" t="s">
        <v>1122</v>
      </c>
      <c r="I581" s="52" t="s">
        <v>461</v>
      </c>
      <c r="J581" s="54">
        <v>1</v>
      </c>
      <c r="K581" s="38">
        <v>1.45</v>
      </c>
    </row>
    <row r="582" spans="1:11" x14ac:dyDescent="0.25">
      <c r="A582" s="31" t="s">
        <v>314</v>
      </c>
      <c r="B582" s="71" t="s">
        <v>1724</v>
      </c>
      <c r="C582" s="351" t="s">
        <v>499</v>
      </c>
      <c r="D582" s="71"/>
      <c r="E582" s="71"/>
      <c r="F582" s="32" t="s">
        <v>1725</v>
      </c>
      <c r="G582" s="32" t="s">
        <v>1726</v>
      </c>
      <c r="H582" s="32" t="s">
        <v>1540</v>
      </c>
      <c r="I582" s="32"/>
      <c r="J582" s="33">
        <v>1500</v>
      </c>
      <c r="K582" s="34">
        <v>1.41</v>
      </c>
    </row>
    <row r="583" spans="1:11" x14ac:dyDescent="0.25">
      <c r="A583" s="31" t="s">
        <v>314</v>
      </c>
      <c r="B583" s="71" t="s">
        <v>1727</v>
      </c>
      <c r="C583" s="71"/>
      <c r="D583" s="71"/>
      <c r="E583" s="71"/>
      <c r="F583" s="32" t="s">
        <v>1728</v>
      </c>
      <c r="G583" s="32" t="s">
        <v>1729</v>
      </c>
      <c r="H583" s="32" t="s">
        <v>1730</v>
      </c>
      <c r="I583" s="32" t="s">
        <v>586</v>
      </c>
      <c r="J583" s="33">
        <v>50</v>
      </c>
      <c r="K583" s="34">
        <v>1.35</v>
      </c>
    </row>
    <row r="584" spans="1:11" x14ac:dyDescent="0.25">
      <c r="A584" s="31" t="s">
        <v>108</v>
      </c>
      <c r="B584" s="71" t="s">
        <v>1731</v>
      </c>
      <c r="C584" s="71"/>
      <c r="D584" s="71"/>
      <c r="E584" s="71"/>
      <c r="F584" s="32" t="s">
        <v>1732</v>
      </c>
      <c r="G584" s="32">
        <v>6566</v>
      </c>
      <c r="H584" s="32" t="s">
        <v>1733</v>
      </c>
      <c r="I584" s="32"/>
      <c r="J584" s="33">
        <v>25</v>
      </c>
      <c r="K584" s="34">
        <v>1.25</v>
      </c>
    </row>
    <row r="585" spans="1:11" x14ac:dyDescent="0.25">
      <c r="A585" s="31" t="s">
        <v>314</v>
      </c>
      <c r="B585" s="71" t="s">
        <v>1734</v>
      </c>
      <c r="C585" s="71"/>
      <c r="D585" s="71"/>
      <c r="E585" s="71"/>
      <c r="F585" s="32" t="s">
        <v>1735</v>
      </c>
      <c r="G585" s="32" t="s">
        <v>1736</v>
      </c>
      <c r="H585" s="32" t="s">
        <v>1540</v>
      </c>
      <c r="I585" s="32"/>
      <c r="J585" s="33">
        <v>100</v>
      </c>
      <c r="K585" s="34">
        <v>1.21</v>
      </c>
    </row>
    <row r="586" spans="1:11" x14ac:dyDescent="0.25">
      <c r="A586" s="31" t="s">
        <v>314</v>
      </c>
      <c r="B586" s="31" t="s">
        <v>1737</v>
      </c>
      <c r="C586" s="31"/>
      <c r="D586" s="31" t="s">
        <v>1738</v>
      </c>
      <c r="E586" s="31"/>
      <c r="F586" s="32" t="s">
        <v>1739</v>
      </c>
      <c r="G586" s="32" t="s">
        <v>1740</v>
      </c>
      <c r="H586" s="32" t="s">
        <v>1741</v>
      </c>
      <c r="I586" s="32"/>
      <c r="J586" s="33">
        <v>500</v>
      </c>
      <c r="K586" s="34">
        <v>1.17</v>
      </c>
    </row>
    <row r="587" spans="1:11" x14ac:dyDescent="0.25">
      <c r="A587" s="31" t="s">
        <v>314</v>
      </c>
      <c r="B587" s="71" t="s">
        <v>1742</v>
      </c>
      <c r="C587" s="71"/>
      <c r="D587" s="71"/>
      <c r="E587" s="71"/>
      <c r="F587" s="32" t="s">
        <v>1743</v>
      </c>
      <c r="G587" s="32" t="s">
        <v>1744</v>
      </c>
      <c r="H587" s="32" t="s">
        <v>1741</v>
      </c>
      <c r="I587" s="32"/>
      <c r="J587" s="33">
        <v>500</v>
      </c>
      <c r="K587" s="34">
        <v>1.17</v>
      </c>
    </row>
    <row r="588" spans="1:11" x14ac:dyDescent="0.25">
      <c r="A588" s="31" t="s">
        <v>314</v>
      </c>
      <c r="B588" s="71" t="s">
        <v>1745</v>
      </c>
      <c r="C588" s="71"/>
      <c r="D588" s="71"/>
      <c r="E588" s="71"/>
      <c r="F588" s="32" t="s">
        <v>1746</v>
      </c>
      <c r="G588" s="32" t="s">
        <v>1747</v>
      </c>
      <c r="H588" s="32" t="s">
        <v>1540</v>
      </c>
      <c r="I588" s="32"/>
      <c r="J588" s="33">
        <v>600</v>
      </c>
      <c r="K588" s="34">
        <v>1.1399999999999999</v>
      </c>
    </row>
    <row r="589" spans="1:11" ht="26.25" x14ac:dyDescent="0.25">
      <c r="A589" s="72" t="s">
        <v>314</v>
      </c>
      <c r="B589" s="109" t="s">
        <v>1748</v>
      </c>
      <c r="C589" s="109"/>
      <c r="D589" s="72" t="s">
        <v>1749</v>
      </c>
      <c r="E589" s="72"/>
      <c r="F589" s="32" t="s">
        <v>1750</v>
      </c>
      <c r="G589" s="32" t="s">
        <v>1751</v>
      </c>
      <c r="H589" s="32" t="s">
        <v>1540</v>
      </c>
      <c r="I589" s="32"/>
      <c r="J589" s="33">
        <v>300</v>
      </c>
      <c r="K589" s="34">
        <v>1.1399999999999999</v>
      </c>
    </row>
    <row r="590" spans="1:11" x14ac:dyDescent="0.25">
      <c r="A590" s="31" t="s">
        <v>314</v>
      </c>
      <c r="B590" s="71" t="s">
        <v>1752</v>
      </c>
      <c r="C590" s="71"/>
      <c r="D590" s="71"/>
      <c r="E590" s="71"/>
      <c r="F590" s="32" t="s">
        <v>1753</v>
      </c>
      <c r="G590" s="32" t="s">
        <v>1754</v>
      </c>
      <c r="H590" s="32" t="s">
        <v>1540</v>
      </c>
      <c r="I590" s="32"/>
      <c r="J590" s="40">
        <v>100</v>
      </c>
      <c r="K590" s="34">
        <v>1.0900000000000001</v>
      </c>
    </row>
    <row r="591" spans="1:11" x14ac:dyDescent="0.25">
      <c r="A591" s="39" t="s">
        <v>314</v>
      </c>
      <c r="B591" s="331" t="s">
        <v>1755</v>
      </c>
      <c r="C591" s="331"/>
      <c r="D591" s="331"/>
      <c r="E591" s="331"/>
      <c r="F591" s="28" t="s">
        <v>1756</v>
      </c>
      <c r="G591" s="28" t="s">
        <v>1757</v>
      </c>
      <c r="H591" s="28" t="s">
        <v>1540</v>
      </c>
      <c r="I591" s="28"/>
      <c r="J591" s="40">
        <v>300</v>
      </c>
      <c r="K591" s="30">
        <v>1.06</v>
      </c>
    </row>
    <row r="592" spans="1:11" x14ac:dyDescent="0.25">
      <c r="A592" s="39" t="s">
        <v>314</v>
      </c>
      <c r="B592" s="331" t="s">
        <v>1758</v>
      </c>
      <c r="C592" s="331"/>
      <c r="D592" s="331"/>
      <c r="E592" s="331"/>
      <c r="F592" s="28" t="s">
        <v>1759</v>
      </c>
      <c r="G592" s="28" t="s">
        <v>1760</v>
      </c>
      <c r="H592" s="28" t="s">
        <v>1741</v>
      </c>
      <c r="I592" s="28" t="s">
        <v>586</v>
      </c>
      <c r="J592" s="40">
        <v>30</v>
      </c>
      <c r="K592" s="47">
        <v>1.0023333333333333</v>
      </c>
    </row>
    <row r="593" spans="1:11" x14ac:dyDescent="0.25">
      <c r="A593" s="31" t="s">
        <v>108</v>
      </c>
      <c r="B593" s="71" t="s">
        <v>1761</v>
      </c>
      <c r="C593" s="71"/>
      <c r="D593" s="71"/>
      <c r="E593" s="71"/>
      <c r="F593" s="32" t="s">
        <v>1762</v>
      </c>
      <c r="G593" s="32" t="s">
        <v>1763</v>
      </c>
      <c r="H593" s="32"/>
      <c r="I593" s="32"/>
      <c r="J593" s="33">
        <v>100</v>
      </c>
      <c r="K593" s="34">
        <v>1</v>
      </c>
    </row>
    <row r="594" spans="1:11" x14ac:dyDescent="0.25">
      <c r="A594" s="31" t="s">
        <v>108</v>
      </c>
      <c r="B594" s="39" t="s">
        <v>70</v>
      </c>
      <c r="C594" s="31"/>
      <c r="D594" s="31"/>
      <c r="E594" s="31"/>
      <c r="F594" s="28" t="s">
        <v>1764</v>
      </c>
      <c r="G594" s="28" t="s">
        <v>1484</v>
      </c>
      <c r="H594" s="32"/>
      <c r="I594" s="32"/>
      <c r="J594" s="33">
        <v>100</v>
      </c>
      <c r="K594" s="34">
        <v>1</v>
      </c>
    </row>
    <row r="595" spans="1:11" x14ac:dyDescent="0.25">
      <c r="A595" s="51" t="s">
        <v>286</v>
      </c>
      <c r="B595" s="51" t="s">
        <v>1765</v>
      </c>
      <c r="C595" s="51"/>
      <c r="D595" s="51"/>
      <c r="E595" s="51"/>
      <c r="F595" s="52" t="s">
        <v>1766</v>
      </c>
      <c r="G595" s="52" t="s">
        <v>1767</v>
      </c>
      <c r="H595" s="52"/>
      <c r="I595" s="52"/>
      <c r="J595" s="54">
        <v>100</v>
      </c>
      <c r="K595" s="38">
        <v>1</v>
      </c>
    </row>
    <row r="596" spans="1:11" x14ac:dyDescent="0.25">
      <c r="A596" s="31" t="s">
        <v>108</v>
      </c>
      <c r="B596" s="31" t="s">
        <v>70</v>
      </c>
      <c r="C596" s="31"/>
      <c r="D596" s="31"/>
      <c r="E596" s="31"/>
      <c r="F596" s="32" t="s">
        <v>1768</v>
      </c>
      <c r="G596" s="32" t="s">
        <v>1769</v>
      </c>
      <c r="H596" s="32"/>
      <c r="I596" s="32"/>
      <c r="J596" s="33">
        <v>50</v>
      </c>
      <c r="K596" s="34">
        <v>1</v>
      </c>
    </row>
    <row r="597" spans="1:11" x14ac:dyDescent="0.25">
      <c r="A597" s="31" t="s">
        <v>108</v>
      </c>
      <c r="B597" s="71" t="s">
        <v>1770</v>
      </c>
      <c r="C597" s="71"/>
      <c r="D597" s="71"/>
      <c r="E597" s="71"/>
      <c r="F597" s="32" t="s">
        <v>1771</v>
      </c>
      <c r="G597" s="32" t="s">
        <v>1772</v>
      </c>
      <c r="H597" s="32"/>
      <c r="I597" s="32"/>
      <c r="J597" s="33">
        <v>50</v>
      </c>
      <c r="K597" s="34">
        <v>1</v>
      </c>
    </row>
    <row r="598" spans="1:11" x14ac:dyDescent="0.25">
      <c r="A598" s="31" t="s">
        <v>108</v>
      </c>
      <c r="B598" s="71" t="s">
        <v>1773</v>
      </c>
      <c r="C598" s="71"/>
      <c r="D598" s="31"/>
      <c r="E598" s="71"/>
      <c r="F598" s="32" t="s">
        <v>1774</v>
      </c>
      <c r="G598" s="32" t="s">
        <v>1775</v>
      </c>
      <c r="H598" s="32"/>
      <c r="I598" s="32"/>
      <c r="J598" s="33">
        <v>50</v>
      </c>
      <c r="K598" s="34">
        <v>1</v>
      </c>
    </row>
    <row r="599" spans="1:11" x14ac:dyDescent="0.25">
      <c r="A599" s="31" t="s">
        <v>108</v>
      </c>
      <c r="B599" s="71" t="s">
        <v>1776</v>
      </c>
      <c r="C599" s="71"/>
      <c r="D599" s="71"/>
      <c r="E599" s="71"/>
      <c r="F599" s="32" t="s">
        <v>1768</v>
      </c>
      <c r="G599" s="32" t="s">
        <v>1777</v>
      </c>
      <c r="H599" s="32"/>
      <c r="I599" s="32"/>
      <c r="J599" s="33">
        <v>25</v>
      </c>
      <c r="K599" s="34">
        <v>1</v>
      </c>
    </row>
    <row r="600" spans="1:11" x14ac:dyDescent="0.25">
      <c r="A600" s="31" t="s">
        <v>314</v>
      </c>
      <c r="B600" s="71" t="s">
        <v>1778</v>
      </c>
      <c r="C600" s="71"/>
      <c r="D600" s="71"/>
      <c r="E600" s="71"/>
      <c r="F600" s="32" t="s">
        <v>1779</v>
      </c>
      <c r="G600" s="32" t="s">
        <v>1780</v>
      </c>
      <c r="H600" s="32" t="s">
        <v>1781</v>
      </c>
      <c r="I600" s="32" t="s">
        <v>586</v>
      </c>
      <c r="J600" s="33">
        <v>15</v>
      </c>
      <c r="K600" s="34">
        <v>1</v>
      </c>
    </row>
    <row r="601" spans="1:11" x14ac:dyDescent="0.25">
      <c r="A601" s="31" t="s">
        <v>1662</v>
      </c>
      <c r="B601" s="71" t="s">
        <v>1782</v>
      </c>
      <c r="C601" s="71"/>
      <c r="D601" s="71"/>
      <c r="E601" s="71"/>
      <c r="F601" s="32" t="s">
        <v>1783</v>
      </c>
      <c r="G601" s="70"/>
      <c r="H601" s="32"/>
      <c r="I601" s="32"/>
      <c r="J601" s="33">
        <v>12</v>
      </c>
      <c r="K601" s="34">
        <v>1</v>
      </c>
    </row>
    <row r="602" spans="1:11" x14ac:dyDescent="0.25">
      <c r="A602" s="51" t="s">
        <v>227</v>
      </c>
      <c r="B602" s="51" t="s">
        <v>1784</v>
      </c>
      <c r="C602" s="51"/>
      <c r="D602" s="51"/>
      <c r="E602" s="51"/>
      <c r="F602" s="52" t="s">
        <v>1785</v>
      </c>
      <c r="G602" s="52" t="s">
        <v>1786</v>
      </c>
      <c r="H602" s="52" t="s">
        <v>1787</v>
      </c>
      <c r="I602" s="52"/>
      <c r="J602" s="53">
        <v>10</v>
      </c>
      <c r="K602" s="38">
        <v>1</v>
      </c>
    </row>
    <row r="603" spans="1:11" x14ac:dyDescent="0.25">
      <c r="A603" s="283" t="s">
        <v>314</v>
      </c>
      <c r="B603" s="284" t="s">
        <v>1788</v>
      </c>
      <c r="C603" s="284"/>
      <c r="D603" s="284"/>
      <c r="E603" s="284"/>
      <c r="F603" s="285" t="s">
        <v>1789</v>
      </c>
      <c r="G603" s="285" t="s">
        <v>1790</v>
      </c>
      <c r="H603" s="285" t="s">
        <v>1791</v>
      </c>
      <c r="I603" s="285" t="s">
        <v>1071</v>
      </c>
      <c r="J603" s="286">
        <v>10</v>
      </c>
      <c r="K603" s="287">
        <v>1</v>
      </c>
    </row>
    <row r="604" spans="1:11" x14ac:dyDescent="0.25">
      <c r="A604" s="51" t="s">
        <v>298</v>
      </c>
      <c r="B604" s="51" t="s">
        <v>1792</v>
      </c>
      <c r="C604" s="51"/>
      <c r="D604" s="51"/>
      <c r="E604" s="51"/>
      <c r="F604" s="32" t="s">
        <v>1793</v>
      </c>
      <c r="G604" s="51"/>
      <c r="H604" s="52"/>
      <c r="I604" s="32" t="s">
        <v>1561</v>
      </c>
      <c r="J604" s="54">
        <v>5</v>
      </c>
      <c r="K604" s="38">
        <v>1</v>
      </c>
    </row>
    <row r="605" spans="1:11" s="414" customFormat="1" x14ac:dyDescent="0.25">
      <c r="A605" s="31" t="s">
        <v>1662</v>
      </c>
      <c r="B605" s="71" t="s">
        <v>1794</v>
      </c>
      <c r="C605" s="71"/>
      <c r="D605" s="71"/>
      <c r="E605" s="71"/>
      <c r="F605" s="32" t="s">
        <v>1795</v>
      </c>
      <c r="G605" s="70"/>
      <c r="H605" s="32"/>
      <c r="I605" s="32"/>
      <c r="J605" s="33">
        <v>1</v>
      </c>
      <c r="K605" s="34">
        <v>1</v>
      </c>
    </row>
    <row r="606" spans="1:11" x14ac:dyDescent="0.25">
      <c r="A606" s="31" t="s">
        <v>1662</v>
      </c>
      <c r="B606" s="71" t="s">
        <v>1796</v>
      </c>
      <c r="C606" s="71"/>
      <c r="D606" s="71"/>
      <c r="E606" s="71"/>
      <c r="F606" s="32" t="s">
        <v>1797</v>
      </c>
      <c r="G606" s="70" t="s">
        <v>1798</v>
      </c>
      <c r="H606" s="32"/>
      <c r="I606" s="32"/>
      <c r="J606" s="33">
        <v>5</v>
      </c>
      <c r="K606" s="34">
        <v>1</v>
      </c>
    </row>
    <row r="607" spans="1:11" x14ac:dyDescent="0.25">
      <c r="A607" s="31" t="s">
        <v>1662</v>
      </c>
      <c r="B607" s="71" t="s">
        <v>1799</v>
      </c>
      <c r="C607" s="71"/>
      <c r="D607" s="71"/>
      <c r="E607" s="71"/>
      <c r="F607" s="32" t="s">
        <v>1800</v>
      </c>
      <c r="G607" s="70"/>
      <c r="H607" s="32"/>
      <c r="I607" s="32"/>
      <c r="J607" s="33">
        <v>3</v>
      </c>
      <c r="K607" s="34">
        <v>1</v>
      </c>
    </row>
    <row r="608" spans="1:11" x14ac:dyDescent="0.25">
      <c r="A608" s="39" t="s">
        <v>1662</v>
      </c>
      <c r="B608" s="331" t="s">
        <v>1801</v>
      </c>
      <c r="C608" s="331"/>
      <c r="D608" s="331"/>
      <c r="E608" s="331"/>
      <c r="F608" s="28" t="s">
        <v>1802</v>
      </c>
      <c r="G608" s="127"/>
      <c r="H608" s="28"/>
      <c r="I608" s="28"/>
      <c r="J608" s="40">
        <v>2</v>
      </c>
      <c r="K608" s="30">
        <v>1</v>
      </c>
    </row>
    <row r="609" spans="1:11" x14ac:dyDescent="0.25">
      <c r="A609" s="39" t="s">
        <v>1662</v>
      </c>
      <c r="B609" s="331" t="s">
        <v>1803</v>
      </c>
      <c r="C609" s="331"/>
      <c r="D609" s="331"/>
      <c r="E609" s="331"/>
      <c r="F609" s="28" t="s">
        <v>1804</v>
      </c>
      <c r="G609" s="127"/>
      <c r="H609" s="28"/>
      <c r="I609" s="28"/>
      <c r="J609" s="40">
        <v>2</v>
      </c>
      <c r="K609" s="30">
        <v>1</v>
      </c>
    </row>
    <row r="610" spans="1:11" x14ac:dyDescent="0.25">
      <c r="A610" s="31" t="s">
        <v>1662</v>
      </c>
      <c r="B610" s="71" t="s">
        <v>1805</v>
      </c>
      <c r="C610" s="71"/>
      <c r="D610" s="71"/>
      <c r="E610" s="71"/>
      <c r="F610" s="32" t="s">
        <v>1806</v>
      </c>
      <c r="G610" s="70"/>
      <c r="H610" s="32"/>
      <c r="I610" s="32"/>
      <c r="J610" s="33">
        <v>2</v>
      </c>
      <c r="K610" s="34">
        <v>1</v>
      </c>
    </row>
    <row r="611" spans="1:11" x14ac:dyDescent="0.25">
      <c r="A611" s="31" t="s">
        <v>1662</v>
      </c>
      <c r="B611" s="71" t="s">
        <v>1807</v>
      </c>
      <c r="C611" s="71"/>
      <c r="D611" s="71"/>
      <c r="E611" s="71"/>
      <c r="F611" s="32" t="s">
        <v>1808</v>
      </c>
      <c r="G611" s="70"/>
      <c r="H611" s="32"/>
      <c r="I611" s="32"/>
      <c r="J611" s="33">
        <v>10</v>
      </c>
      <c r="K611" s="34">
        <v>1</v>
      </c>
    </row>
    <row r="612" spans="1:11" s="411" customFormat="1" x14ac:dyDescent="0.25">
      <c r="A612" s="31" t="s">
        <v>314</v>
      </c>
      <c r="B612" s="71" t="s">
        <v>1809</v>
      </c>
      <c r="C612" s="71"/>
      <c r="D612" s="71"/>
      <c r="E612" s="71"/>
      <c r="F612" s="32" t="s">
        <v>1810</v>
      </c>
      <c r="G612" s="32" t="s">
        <v>1811</v>
      </c>
      <c r="H612" s="32" t="s">
        <v>785</v>
      </c>
      <c r="I612" s="32" t="s">
        <v>1071</v>
      </c>
      <c r="J612" s="33">
        <v>10</v>
      </c>
      <c r="K612" s="34">
        <v>0.99206349206349209</v>
      </c>
    </row>
    <row r="613" spans="1:11" s="411" customFormat="1" x14ac:dyDescent="0.25">
      <c r="A613" s="31" t="s">
        <v>314</v>
      </c>
      <c r="B613" s="71" t="s">
        <v>1812</v>
      </c>
      <c r="C613" s="31"/>
      <c r="D613" s="31"/>
      <c r="E613" s="31"/>
      <c r="F613" s="32" t="s">
        <v>1813</v>
      </c>
      <c r="G613" s="32" t="s">
        <v>1814</v>
      </c>
      <c r="H613" s="32" t="s">
        <v>1295</v>
      </c>
      <c r="I613" s="32" t="s">
        <v>1296</v>
      </c>
      <c r="J613" s="33">
        <v>6</v>
      </c>
      <c r="K613" s="34">
        <v>0.95</v>
      </c>
    </row>
    <row r="614" spans="1:11" s="411" customFormat="1" x14ac:dyDescent="0.25">
      <c r="A614" s="31" t="s">
        <v>314</v>
      </c>
      <c r="B614" s="71" t="s">
        <v>1815</v>
      </c>
      <c r="C614" s="71"/>
      <c r="D614" s="71"/>
      <c r="E614" s="71"/>
      <c r="F614" s="32" t="s">
        <v>1816</v>
      </c>
      <c r="G614" s="32" t="s">
        <v>1817</v>
      </c>
      <c r="H614" s="32" t="s">
        <v>1540</v>
      </c>
      <c r="I614" s="32"/>
      <c r="J614" s="33">
        <v>100</v>
      </c>
      <c r="K614" s="34">
        <v>0.92</v>
      </c>
    </row>
    <row r="615" spans="1:11" s="411" customFormat="1" x14ac:dyDescent="0.25">
      <c r="A615" s="31" t="s">
        <v>314</v>
      </c>
      <c r="B615" s="71" t="s">
        <v>1818</v>
      </c>
      <c r="C615" s="71"/>
      <c r="D615" s="71"/>
      <c r="E615" s="71"/>
      <c r="F615" s="32" t="s">
        <v>1819</v>
      </c>
      <c r="G615" s="32" t="s">
        <v>1820</v>
      </c>
      <c r="H615" s="32" t="s">
        <v>785</v>
      </c>
      <c r="I615" s="32"/>
      <c r="J615" s="33">
        <v>80</v>
      </c>
      <c r="K615" s="34">
        <v>0.9</v>
      </c>
    </row>
    <row r="616" spans="1:11" x14ac:dyDescent="0.25">
      <c r="A616" s="31" t="s">
        <v>314</v>
      </c>
      <c r="B616" s="71" t="s">
        <v>1821</v>
      </c>
      <c r="C616" s="71"/>
      <c r="D616" s="31"/>
      <c r="E616" s="362"/>
      <c r="F616" s="32" t="s">
        <v>1822</v>
      </c>
      <c r="G616" s="32" t="s">
        <v>1823</v>
      </c>
      <c r="H616" s="32" t="s">
        <v>1824</v>
      </c>
      <c r="I616" s="32"/>
      <c r="J616" s="33">
        <v>100</v>
      </c>
      <c r="K616" s="34">
        <v>0.88</v>
      </c>
    </row>
    <row r="617" spans="1:11" x14ac:dyDescent="0.25">
      <c r="A617" s="283" t="s">
        <v>314</v>
      </c>
      <c r="B617" s="284" t="s">
        <v>1825</v>
      </c>
      <c r="C617" s="284"/>
      <c r="D617" s="284"/>
      <c r="E617" s="284"/>
      <c r="F617" s="285" t="s">
        <v>1826</v>
      </c>
      <c r="G617" s="285" t="s">
        <v>1827</v>
      </c>
      <c r="H617" s="285" t="s">
        <v>785</v>
      </c>
      <c r="I617" s="285" t="s">
        <v>1071</v>
      </c>
      <c r="J617" s="286">
        <v>80</v>
      </c>
      <c r="K617" s="282">
        <v>0.87</v>
      </c>
    </row>
    <row r="618" spans="1:11" x14ac:dyDescent="0.25">
      <c r="A618" s="31" t="s">
        <v>314</v>
      </c>
      <c r="B618" s="71" t="s">
        <v>1828</v>
      </c>
      <c r="C618" s="353"/>
      <c r="D618" s="71"/>
      <c r="E618" s="71"/>
      <c r="F618" s="32" t="s">
        <v>1829</v>
      </c>
      <c r="G618" s="32" t="s">
        <v>1830</v>
      </c>
      <c r="H618" s="32" t="s">
        <v>1540</v>
      </c>
      <c r="I618" s="32"/>
      <c r="J618" s="33">
        <v>300</v>
      </c>
      <c r="K618" s="34">
        <v>0.81</v>
      </c>
    </row>
    <row r="619" spans="1:11" x14ac:dyDescent="0.25">
      <c r="A619" s="31" t="s">
        <v>314</v>
      </c>
      <c r="B619" s="71" t="s">
        <v>1831</v>
      </c>
      <c r="C619" s="71"/>
      <c r="D619" s="71"/>
      <c r="E619" s="71"/>
      <c r="F619" s="32" t="s">
        <v>1832</v>
      </c>
      <c r="G619" s="32" t="s">
        <v>1833</v>
      </c>
      <c r="H619" s="32" t="s">
        <v>1540</v>
      </c>
      <c r="I619" s="32"/>
      <c r="J619" s="33">
        <v>300</v>
      </c>
      <c r="K619" s="34">
        <v>0.8</v>
      </c>
    </row>
    <row r="620" spans="1:11" x14ac:dyDescent="0.25">
      <c r="A620" s="31" t="s">
        <v>314</v>
      </c>
      <c r="B620" s="71" t="s">
        <v>1834</v>
      </c>
      <c r="C620" s="71"/>
      <c r="D620" s="71"/>
      <c r="E620" s="71"/>
      <c r="F620" s="32" t="s">
        <v>1835</v>
      </c>
      <c r="G620" s="32" t="s">
        <v>1836</v>
      </c>
      <c r="H620" s="32" t="s">
        <v>1540</v>
      </c>
      <c r="I620" s="32"/>
      <c r="J620" s="33">
        <v>300</v>
      </c>
      <c r="K620" s="34">
        <v>0.8</v>
      </c>
    </row>
    <row r="621" spans="1:11" x14ac:dyDescent="0.25">
      <c r="A621" s="31" t="s">
        <v>314</v>
      </c>
      <c r="B621" s="71" t="s">
        <v>1837</v>
      </c>
      <c r="C621" s="351" t="s">
        <v>499</v>
      </c>
      <c r="D621" s="71"/>
      <c r="E621" s="71"/>
      <c r="F621" s="32" t="s">
        <v>1838</v>
      </c>
      <c r="G621" s="32" t="s">
        <v>1839</v>
      </c>
      <c r="H621" s="32" t="s">
        <v>1540</v>
      </c>
      <c r="I621" s="32"/>
      <c r="J621" s="33">
        <v>600</v>
      </c>
      <c r="K621" s="34">
        <v>0.79</v>
      </c>
    </row>
    <row r="622" spans="1:11" x14ac:dyDescent="0.25">
      <c r="A622" s="31" t="s">
        <v>314</v>
      </c>
      <c r="B622" s="71" t="s">
        <v>1840</v>
      </c>
      <c r="C622" s="71"/>
      <c r="D622" s="71"/>
      <c r="E622" s="71"/>
      <c r="F622" s="32" t="s">
        <v>1841</v>
      </c>
      <c r="G622" s="32" t="s">
        <v>1842</v>
      </c>
      <c r="H622" s="32" t="s">
        <v>1843</v>
      </c>
      <c r="I622" s="32"/>
      <c r="J622" s="33">
        <v>100</v>
      </c>
      <c r="K622" s="34">
        <v>0.77</v>
      </c>
    </row>
    <row r="623" spans="1:11" x14ac:dyDescent="0.25">
      <c r="A623" s="283" t="s">
        <v>314</v>
      </c>
      <c r="B623" s="284" t="s">
        <v>1844</v>
      </c>
      <c r="C623" s="284"/>
      <c r="D623" s="284"/>
      <c r="E623" s="284"/>
      <c r="F623" s="285" t="s">
        <v>1845</v>
      </c>
      <c r="G623" s="285" t="s">
        <v>1846</v>
      </c>
      <c r="H623" s="285"/>
      <c r="I623" s="285"/>
      <c r="J623" s="286">
        <v>100</v>
      </c>
      <c r="K623" s="287">
        <v>0.77</v>
      </c>
    </row>
    <row r="624" spans="1:11" x14ac:dyDescent="0.25">
      <c r="A624" s="283" t="s">
        <v>314</v>
      </c>
      <c r="B624" s="284" t="s">
        <v>1847</v>
      </c>
      <c r="C624" s="284"/>
      <c r="D624" s="284"/>
      <c r="E624" s="284"/>
      <c r="F624" s="285" t="s">
        <v>1848</v>
      </c>
      <c r="G624" s="285" t="s">
        <v>1849</v>
      </c>
      <c r="H624" s="285" t="s">
        <v>1850</v>
      </c>
      <c r="I624" s="285"/>
      <c r="J624" s="286">
        <v>100</v>
      </c>
      <c r="K624" s="287">
        <v>0.77</v>
      </c>
    </row>
    <row r="625" spans="1:11" x14ac:dyDescent="0.25">
      <c r="A625" s="31" t="s">
        <v>314</v>
      </c>
      <c r="B625" s="71" t="s">
        <v>1851</v>
      </c>
      <c r="C625" s="71"/>
      <c r="D625" s="71"/>
      <c r="E625" s="71"/>
      <c r="F625" s="32" t="s">
        <v>1852</v>
      </c>
      <c r="G625" s="32" t="s">
        <v>1853</v>
      </c>
      <c r="H625" s="32" t="s">
        <v>791</v>
      </c>
      <c r="I625" s="32"/>
      <c r="J625" s="33">
        <v>100</v>
      </c>
      <c r="K625" s="34">
        <v>0.77</v>
      </c>
    </row>
    <row r="626" spans="1:11" x14ac:dyDescent="0.25">
      <c r="A626" s="31" t="s">
        <v>314</v>
      </c>
      <c r="B626" s="71" t="s">
        <v>1854</v>
      </c>
      <c r="C626" s="71"/>
      <c r="D626" s="71"/>
      <c r="E626" s="71"/>
      <c r="F626" s="32" t="s">
        <v>1855</v>
      </c>
      <c r="G626" s="32" t="s">
        <v>1856</v>
      </c>
      <c r="H626" s="32" t="s">
        <v>1540</v>
      </c>
      <c r="I626" s="32"/>
      <c r="J626" s="33">
        <v>300</v>
      </c>
      <c r="K626" s="34">
        <v>0.75</v>
      </c>
    </row>
    <row r="627" spans="1:11" x14ac:dyDescent="0.25">
      <c r="A627" s="51" t="s">
        <v>27</v>
      </c>
      <c r="B627" s="51" t="s">
        <v>1857</v>
      </c>
      <c r="C627" s="196"/>
      <c r="D627" s="51"/>
      <c r="E627" s="51"/>
      <c r="F627" s="52" t="s">
        <v>1858</v>
      </c>
      <c r="G627" s="52" t="s">
        <v>1859</v>
      </c>
      <c r="H627" s="52" t="s">
        <v>1860</v>
      </c>
      <c r="I627" s="52"/>
      <c r="J627" s="54">
        <v>4</v>
      </c>
      <c r="K627" s="38">
        <v>0.69</v>
      </c>
    </row>
    <row r="628" spans="1:11" x14ac:dyDescent="0.25">
      <c r="A628" s="51" t="s">
        <v>227</v>
      </c>
      <c r="B628" s="51" t="s">
        <v>1861</v>
      </c>
      <c r="C628" s="196"/>
      <c r="D628" s="51"/>
      <c r="E628" s="51"/>
      <c r="F628" s="52" t="s">
        <v>1862</v>
      </c>
      <c r="G628" s="52" t="s">
        <v>1863</v>
      </c>
      <c r="H628" s="52" t="s">
        <v>1540</v>
      </c>
      <c r="I628" s="52"/>
      <c r="J628" s="53">
        <v>100</v>
      </c>
      <c r="K628" s="38">
        <v>0.68</v>
      </c>
    </row>
    <row r="629" spans="1:11" x14ac:dyDescent="0.25">
      <c r="A629" s="51" t="s">
        <v>227</v>
      </c>
      <c r="B629" s="51" t="s">
        <v>1865</v>
      </c>
      <c r="C629" s="51"/>
      <c r="D629" s="51"/>
      <c r="E629" s="51"/>
      <c r="F629" s="52" t="s">
        <v>1866</v>
      </c>
      <c r="G629" s="52" t="s">
        <v>1867</v>
      </c>
      <c r="H629" s="52" t="s">
        <v>1540</v>
      </c>
      <c r="I629" s="52"/>
      <c r="J629" s="53">
        <v>100</v>
      </c>
      <c r="K629" s="38">
        <v>0.68</v>
      </c>
    </row>
    <row r="630" spans="1:11" x14ac:dyDescent="0.25">
      <c r="A630" s="31" t="s">
        <v>314</v>
      </c>
      <c r="B630" s="71" t="s">
        <v>1868</v>
      </c>
      <c r="C630" s="71"/>
      <c r="D630" s="71"/>
      <c r="E630" s="71"/>
      <c r="F630" s="32" t="s">
        <v>1869</v>
      </c>
      <c r="G630" s="32" t="s">
        <v>1870</v>
      </c>
      <c r="H630" s="32" t="s">
        <v>1540</v>
      </c>
      <c r="I630" s="32"/>
      <c r="J630" s="33">
        <v>300</v>
      </c>
      <c r="K630" s="34">
        <v>0.67</v>
      </c>
    </row>
    <row r="631" spans="1:11" x14ac:dyDescent="0.25">
      <c r="A631" s="31" t="s">
        <v>314</v>
      </c>
      <c r="B631" s="71" t="s">
        <v>1871</v>
      </c>
      <c r="C631" s="71"/>
      <c r="D631" s="71" t="s">
        <v>1872</v>
      </c>
      <c r="E631" s="71"/>
      <c r="F631" s="32" t="s">
        <v>1873</v>
      </c>
      <c r="G631" s="32" t="s">
        <v>1874</v>
      </c>
      <c r="H631" s="32" t="s">
        <v>1540</v>
      </c>
      <c r="I631" s="32"/>
      <c r="J631" s="33">
        <v>200</v>
      </c>
      <c r="K631" s="34">
        <v>0.67</v>
      </c>
    </row>
    <row r="632" spans="1:11" x14ac:dyDescent="0.25">
      <c r="A632" s="31" t="s">
        <v>314</v>
      </c>
      <c r="B632" s="71" t="s">
        <v>1875</v>
      </c>
      <c r="C632" s="351" t="s">
        <v>499</v>
      </c>
      <c r="D632" s="71"/>
      <c r="E632" s="71"/>
      <c r="F632" s="32" t="s">
        <v>1876</v>
      </c>
      <c r="G632" s="32" t="s">
        <v>1877</v>
      </c>
      <c r="H632" s="32" t="s">
        <v>1540</v>
      </c>
      <c r="I632" s="32"/>
      <c r="J632" s="33">
        <v>1500</v>
      </c>
      <c r="K632" s="34">
        <v>0.64</v>
      </c>
    </row>
    <row r="633" spans="1:11" x14ac:dyDescent="0.25">
      <c r="A633" s="31" t="s">
        <v>314</v>
      </c>
      <c r="B633" s="71" t="s">
        <v>1878</v>
      </c>
      <c r="C633" s="353"/>
      <c r="D633" s="71"/>
      <c r="E633" s="71"/>
      <c r="F633" s="32" t="s">
        <v>1879</v>
      </c>
      <c r="G633" s="32" t="s">
        <v>1880</v>
      </c>
      <c r="H633" s="32" t="s">
        <v>519</v>
      </c>
      <c r="I633" s="32" t="s">
        <v>586</v>
      </c>
      <c r="J633" s="33">
        <v>20</v>
      </c>
      <c r="K633" s="34">
        <v>0.63</v>
      </c>
    </row>
    <row r="634" spans="1:11" x14ac:dyDescent="0.25">
      <c r="A634" s="31" t="s">
        <v>1582</v>
      </c>
      <c r="B634" s="191" t="s">
        <v>1881</v>
      </c>
      <c r="C634" s="191"/>
      <c r="D634" s="191"/>
      <c r="E634" s="191"/>
      <c r="F634" s="192" t="s">
        <v>1882</v>
      </c>
      <c r="G634" s="32" t="s">
        <v>1883</v>
      </c>
      <c r="H634" s="31" t="s">
        <v>461</v>
      </c>
      <c r="I634" s="32"/>
      <c r="J634" s="32">
        <v>200</v>
      </c>
      <c r="K634" s="38">
        <v>0.61</v>
      </c>
    </row>
    <row r="635" spans="1:11" x14ac:dyDescent="0.25">
      <c r="A635" s="31" t="s">
        <v>227</v>
      </c>
      <c r="B635" s="71" t="s">
        <v>1884</v>
      </c>
      <c r="C635" s="353"/>
      <c r="D635" s="71"/>
      <c r="E635" s="71"/>
      <c r="F635" s="52" t="s">
        <v>1885</v>
      </c>
      <c r="G635" s="52" t="s">
        <v>1886</v>
      </c>
      <c r="H635" s="52" t="s">
        <v>1040</v>
      </c>
      <c r="I635" s="32"/>
      <c r="J635" s="53">
        <v>50</v>
      </c>
      <c r="K635" s="34">
        <v>0.60319999999999996</v>
      </c>
    </row>
    <row r="636" spans="1:11" x14ac:dyDescent="0.25">
      <c r="A636" s="31" t="s">
        <v>314</v>
      </c>
      <c r="B636" s="71" t="s">
        <v>1887</v>
      </c>
      <c r="C636" s="114" t="s">
        <v>499</v>
      </c>
      <c r="D636" s="71"/>
      <c r="E636" s="71"/>
      <c r="F636" s="32" t="s">
        <v>1888</v>
      </c>
      <c r="G636" s="32" t="s">
        <v>1889</v>
      </c>
      <c r="H636" s="32" t="s">
        <v>1540</v>
      </c>
      <c r="I636" s="32"/>
      <c r="J636" s="33">
        <v>1000</v>
      </c>
      <c r="K636" s="34">
        <v>0.6</v>
      </c>
    </row>
    <row r="637" spans="1:11" x14ac:dyDescent="0.25">
      <c r="A637" s="31" t="s">
        <v>314</v>
      </c>
      <c r="B637" s="71" t="s">
        <v>1890</v>
      </c>
      <c r="C637" s="71"/>
      <c r="D637" s="71"/>
      <c r="E637" s="71"/>
      <c r="F637" s="32" t="s">
        <v>1891</v>
      </c>
      <c r="G637" s="32" t="s">
        <v>1892</v>
      </c>
      <c r="H637" s="32" t="s">
        <v>1540</v>
      </c>
      <c r="I637" s="32"/>
      <c r="J637" s="33">
        <v>300</v>
      </c>
      <c r="K637" s="34">
        <v>0.6</v>
      </c>
    </row>
    <row r="638" spans="1:11" x14ac:dyDescent="0.25">
      <c r="A638" s="31" t="s">
        <v>314</v>
      </c>
      <c r="B638" s="71" t="s">
        <v>1893</v>
      </c>
      <c r="C638" s="351" t="s">
        <v>499</v>
      </c>
      <c r="D638" s="71"/>
      <c r="E638" s="71"/>
      <c r="F638" s="32" t="s">
        <v>1894</v>
      </c>
      <c r="G638" s="32" t="s">
        <v>1895</v>
      </c>
      <c r="H638" s="32" t="s">
        <v>1540</v>
      </c>
      <c r="I638" s="32"/>
      <c r="J638" s="33">
        <v>1000</v>
      </c>
      <c r="K638" s="34">
        <v>0.59</v>
      </c>
    </row>
    <row r="639" spans="1:11" x14ac:dyDescent="0.25">
      <c r="A639" s="31" t="s">
        <v>314</v>
      </c>
      <c r="B639" s="71" t="s">
        <v>1896</v>
      </c>
      <c r="C639" s="71"/>
      <c r="D639" s="71" t="s">
        <v>1897</v>
      </c>
      <c r="E639" s="71"/>
      <c r="F639" s="32" t="s">
        <v>1898</v>
      </c>
      <c r="G639" s="32" t="s">
        <v>1899</v>
      </c>
      <c r="H639" s="32" t="s">
        <v>1741</v>
      </c>
      <c r="I639" s="32" t="s">
        <v>586</v>
      </c>
      <c r="J639" s="33">
        <v>1000</v>
      </c>
      <c r="K639" s="38">
        <v>0.56699999999999995</v>
      </c>
    </row>
    <row r="640" spans="1:11" x14ac:dyDescent="0.25">
      <c r="A640" s="31" t="s">
        <v>314</v>
      </c>
      <c r="B640" s="71" t="s">
        <v>1900</v>
      </c>
      <c r="C640" s="353"/>
      <c r="D640" s="71"/>
      <c r="E640" s="71"/>
      <c r="F640" s="32" t="s">
        <v>1901</v>
      </c>
      <c r="G640" s="32" t="s">
        <v>1902</v>
      </c>
      <c r="H640" s="32" t="s">
        <v>1781</v>
      </c>
      <c r="I640" s="32" t="s">
        <v>586</v>
      </c>
      <c r="J640" s="33">
        <v>150</v>
      </c>
      <c r="K640" s="38">
        <v>0.56666666666666665</v>
      </c>
    </row>
    <row r="641" spans="1:11" x14ac:dyDescent="0.25">
      <c r="A641" s="31" t="s">
        <v>314</v>
      </c>
      <c r="B641" s="71" t="s">
        <v>1903</v>
      </c>
      <c r="C641" s="71"/>
      <c r="D641" s="71"/>
      <c r="E641" s="71"/>
      <c r="F641" s="32" t="s">
        <v>1904</v>
      </c>
      <c r="G641" s="32" t="s">
        <v>1905</v>
      </c>
      <c r="H641" s="32" t="s">
        <v>1906</v>
      </c>
      <c r="I641" s="32" t="s">
        <v>586</v>
      </c>
      <c r="J641" s="33">
        <v>200</v>
      </c>
      <c r="K641" s="38">
        <v>0.56000000000000005</v>
      </c>
    </row>
    <row r="642" spans="1:11" x14ac:dyDescent="0.25">
      <c r="A642" s="31" t="s">
        <v>108</v>
      </c>
      <c r="B642" s="71" t="s">
        <v>1907</v>
      </c>
      <c r="C642" s="353"/>
      <c r="D642" s="71"/>
      <c r="E642" s="71"/>
      <c r="F642" s="32" t="s">
        <v>1908</v>
      </c>
      <c r="G642" s="32" t="s">
        <v>1909</v>
      </c>
      <c r="H642" s="32"/>
      <c r="I642" s="32" t="s">
        <v>1133</v>
      </c>
      <c r="J642" s="33">
        <v>50</v>
      </c>
      <c r="K642" s="34">
        <v>0.55999999999999994</v>
      </c>
    </row>
    <row r="643" spans="1:11" x14ac:dyDescent="0.25">
      <c r="A643" s="51" t="s">
        <v>227</v>
      </c>
      <c r="B643" s="51" t="s">
        <v>1742</v>
      </c>
      <c r="C643" s="51"/>
      <c r="D643" s="51"/>
      <c r="E643" s="51"/>
      <c r="F643" s="52" t="s">
        <v>1910</v>
      </c>
      <c r="G643" s="52" t="s">
        <v>1911</v>
      </c>
      <c r="H643" s="52" t="s">
        <v>1912</v>
      </c>
      <c r="I643" s="52"/>
      <c r="J643" s="53">
        <v>300</v>
      </c>
      <c r="K643" s="38">
        <v>0.53</v>
      </c>
    </row>
    <row r="644" spans="1:11" x14ac:dyDescent="0.25">
      <c r="A644" s="51" t="s">
        <v>227</v>
      </c>
      <c r="B644" s="51" t="s">
        <v>1913</v>
      </c>
      <c r="C644" s="51"/>
      <c r="D644" s="51"/>
      <c r="E644" s="51"/>
      <c r="F644" s="52" t="s">
        <v>1914</v>
      </c>
      <c r="G644" s="52" t="s">
        <v>1915</v>
      </c>
      <c r="H644" s="52" t="s">
        <v>1540</v>
      </c>
      <c r="I644" s="52"/>
      <c r="J644" s="53">
        <v>100</v>
      </c>
      <c r="K644" s="38">
        <v>0.53</v>
      </c>
    </row>
    <row r="645" spans="1:11" x14ac:dyDescent="0.25">
      <c r="A645" s="51" t="s">
        <v>227</v>
      </c>
      <c r="B645" s="51" t="s">
        <v>1916</v>
      </c>
      <c r="C645" s="51"/>
      <c r="D645" s="51"/>
      <c r="E645" s="51"/>
      <c r="F645" s="52" t="s">
        <v>1917</v>
      </c>
      <c r="G645" s="52" t="s">
        <v>1918</v>
      </c>
      <c r="H645" s="52" t="s">
        <v>1912</v>
      </c>
      <c r="I645" s="52"/>
      <c r="J645" s="53">
        <v>100</v>
      </c>
      <c r="K645" s="38">
        <v>0.53</v>
      </c>
    </row>
    <row r="646" spans="1:11" x14ac:dyDescent="0.25">
      <c r="A646" s="31" t="s">
        <v>314</v>
      </c>
      <c r="B646" s="71" t="s">
        <v>1919</v>
      </c>
      <c r="C646" s="351" t="s">
        <v>499</v>
      </c>
      <c r="D646" s="71" t="s">
        <v>1634</v>
      </c>
      <c r="E646" s="71"/>
      <c r="F646" s="32" t="s">
        <v>829</v>
      </c>
      <c r="G646" s="32" t="s">
        <v>1920</v>
      </c>
      <c r="H646" s="32" t="s">
        <v>1540</v>
      </c>
      <c r="I646" s="32"/>
      <c r="J646" s="33">
        <v>1000</v>
      </c>
      <c r="K646" s="34">
        <v>0.52</v>
      </c>
    </row>
    <row r="647" spans="1:11" x14ac:dyDescent="0.25">
      <c r="A647" s="283" t="s">
        <v>314</v>
      </c>
      <c r="B647" s="284" t="s">
        <v>1921</v>
      </c>
      <c r="C647" s="284"/>
      <c r="D647" s="284"/>
      <c r="E647" s="284"/>
      <c r="F647" s="285" t="s">
        <v>1922</v>
      </c>
      <c r="G647" s="285" t="s">
        <v>1923</v>
      </c>
      <c r="H647" s="285" t="s">
        <v>785</v>
      </c>
      <c r="I647" s="285" t="s">
        <v>1071</v>
      </c>
      <c r="J647" s="286">
        <v>80</v>
      </c>
      <c r="K647" s="282">
        <v>0.51</v>
      </c>
    </row>
    <row r="648" spans="1:11" x14ac:dyDescent="0.25">
      <c r="A648" s="31" t="s">
        <v>1582</v>
      </c>
      <c r="B648" s="71" t="s">
        <v>1924</v>
      </c>
      <c r="C648" s="351" t="s">
        <v>499</v>
      </c>
      <c r="D648" s="71"/>
      <c r="E648" s="71"/>
      <c r="F648" s="31" t="s">
        <v>1925</v>
      </c>
      <c r="G648" s="31" t="s">
        <v>1926</v>
      </c>
      <c r="H648" s="31"/>
      <c r="I648" s="32"/>
      <c r="J648" s="32">
        <v>400</v>
      </c>
      <c r="K648" s="38">
        <v>0.5</v>
      </c>
    </row>
    <row r="649" spans="1:11" x14ac:dyDescent="0.25">
      <c r="A649" s="31" t="s">
        <v>1582</v>
      </c>
      <c r="B649" s="71" t="s">
        <v>1927</v>
      </c>
      <c r="C649" s="351" t="s">
        <v>499</v>
      </c>
      <c r="D649" s="71"/>
      <c r="E649" s="71"/>
      <c r="F649" s="31" t="s">
        <v>1928</v>
      </c>
      <c r="G649" s="31" t="s">
        <v>1929</v>
      </c>
      <c r="H649" s="31" t="s">
        <v>1930</v>
      </c>
      <c r="I649" s="32"/>
      <c r="J649" s="32">
        <v>400</v>
      </c>
      <c r="K649" s="38">
        <v>0.5</v>
      </c>
    </row>
    <row r="650" spans="1:11" x14ac:dyDescent="0.25">
      <c r="A650" s="31" t="s">
        <v>1582</v>
      </c>
      <c r="B650" s="71" t="s">
        <v>1931</v>
      </c>
      <c r="C650" s="71"/>
      <c r="D650" s="71"/>
      <c r="E650" s="71"/>
      <c r="F650" s="31" t="s">
        <v>1932</v>
      </c>
      <c r="G650" s="31" t="s">
        <v>1933</v>
      </c>
      <c r="H650" s="31"/>
      <c r="I650" s="32"/>
      <c r="J650" s="32">
        <v>400</v>
      </c>
      <c r="K650" s="38">
        <v>0.5</v>
      </c>
    </row>
    <row r="651" spans="1:11" x14ac:dyDescent="0.25">
      <c r="A651" s="31" t="s">
        <v>1582</v>
      </c>
      <c r="B651" s="71" t="s">
        <v>1934</v>
      </c>
      <c r="C651" s="351" t="s">
        <v>499</v>
      </c>
      <c r="D651" s="71"/>
      <c r="E651" s="71"/>
      <c r="F651" s="31" t="s">
        <v>1935</v>
      </c>
      <c r="G651" s="31" t="s">
        <v>1936</v>
      </c>
      <c r="H651" s="31"/>
      <c r="I651" s="32"/>
      <c r="J651" s="32">
        <v>400</v>
      </c>
      <c r="K651" s="38">
        <v>0.5</v>
      </c>
    </row>
    <row r="652" spans="1:11" x14ac:dyDescent="0.25">
      <c r="A652" s="31" t="s">
        <v>1582</v>
      </c>
      <c r="B652" s="71" t="s">
        <v>1937</v>
      </c>
      <c r="C652" s="114" t="s">
        <v>499</v>
      </c>
      <c r="D652" s="71" t="s">
        <v>1634</v>
      </c>
      <c r="E652" s="71"/>
      <c r="F652" s="31" t="s">
        <v>1938</v>
      </c>
      <c r="G652" s="31" t="s">
        <v>1939</v>
      </c>
      <c r="H652" s="31"/>
      <c r="I652" s="32"/>
      <c r="J652" s="32">
        <v>400</v>
      </c>
      <c r="K652" s="38">
        <v>0.5</v>
      </c>
    </row>
    <row r="653" spans="1:11" x14ac:dyDescent="0.25">
      <c r="A653" s="31" t="s">
        <v>1582</v>
      </c>
      <c r="B653" s="71" t="s">
        <v>1940</v>
      </c>
      <c r="C653" s="71"/>
      <c r="D653" s="71"/>
      <c r="E653" s="71"/>
      <c r="F653" s="31" t="s">
        <v>1941</v>
      </c>
      <c r="G653" s="31" t="s">
        <v>1942</v>
      </c>
      <c r="H653" s="31"/>
      <c r="I653" s="32"/>
      <c r="J653" s="32">
        <v>400</v>
      </c>
      <c r="K653" s="38">
        <v>0.5</v>
      </c>
    </row>
    <row r="654" spans="1:11" x14ac:dyDescent="0.25">
      <c r="A654" s="31" t="s">
        <v>1582</v>
      </c>
      <c r="B654" s="71" t="s">
        <v>1924</v>
      </c>
      <c r="C654" s="351" t="s">
        <v>499</v>
      </c>
      <c r="D654" s="71"/>
      <c r="E654" s="71"/>
      <c r="F654" s="31" t="s">
        <v>1925</v>
      </c>
      <c r="G654" s="31" t="s">
        <v>1943</v>
      </c>
      <c r="H654" s="31"/>
      <c r="I654" s="32"/>
      <c r="J654" s="32">
        <v>400</v>
      </c>
      <c r="K654" s="38">
        <v>0.5</v>
      </c>
    </row>
    <row r="655" spans="1:11" x14ac:dyDescent="0.25">
      <c r="A655" s="31" t="s">
        <v>1582</v>
      </c>
      <c r="B655" s="71" t="s">
        <v>1944</v>
      </c>
      <c r="C655" s="71"/>
      <c r="D655" s="71"/>
      <c r="E655" s="71"/>
      <c r="F655" s="31" t="s">
        <v>1945</v>
      </c>
      <c r="G655" s="31" t="s">
        <v>1946</v>
      </c>
      <c r="H655" s="31"/>
      <c r="I655" s="32"/>
      <c r="J655" s="32">
        <v>400</v>
      </c>
      <c r="K655" s="38">
        <v>0.5</v>
      </c>
    </row>
    <row r="656" spans="1:11" x14ac:dyDescent="0.25">
      <c r="A656" s="31" t="s">
        <v>1582</v>
      </c>
      <c r="B656" s="71" t="s">
        <v>1947</v>
      </c>
      <c r="C656" s="351" t="s">
        <v>499</v>
      </c>
      <c r="D656" s="71"/>
      <c r="E656" s="71"/>
      <c r="F656" s="31" t="s">
        <v>1948</v>
      </c>
      <c r="G656" s="31" t="s">
        <v>1949</v>
      </c>
      <c r="H656" s="31"/>
      <c r="I656" s="32"/>
      <c r="J656" s="32">
        <v>400</v>
      </c>
      <c r="K656" s="38">
        <v>0.5</v>
      </c>
    </row>
    <row r="657" spans="1:11" x14ac:dyDescent="0.25">
      <c r="A657" s="31" t="s">
        <v>1582</v>
      </c>
      <c r="B657" s="71" t="s">
        <v>1950</v>
      </c>
      <c r="C657" s="71"/>
      <c r="D657" s="71"/>
      <c r="E657" s="71"/>
      <c r="F657" s="31" t="s">
        <v>1951</v>
      </c>
      <c r="G657" s="31" t="s">
        <v>1952</v>
      </c>
      <c r="H657" s="31"/>
      <c r="I657" s="32"/>
      <c r="J657" s="32">
        <v>400</v>
      </c>
      <c r="K657" s="38">
        <v>0.5</v>
      </c>
    </row>
    <row r="658" spans="1:11" x14ac:dyDescent="0.25">
      <c r="A658" s="283" t="s">
        <v>314</v>
      </c>
      <c r="B658" s="284" t="s">
        <v>1953</v>
      </c>
      <c r="C658" s="356" t="s">
        <v>499</v>
      </c>
      <c r="D658" s="284"/>
      <c r="E658" s="284"/>
      <c r="F658" s="285" t="s">
        <v>1954</v>
      </c>
      <c r="G658" s="285" t="s">
        <v>1955</v>
      </c>
      <c r="H658" s="285"/>
      <c r="I658" s="285"/>
      <c r="J658" s="286">
        <v>400</v>
      </c>
      <c r="K658" s="287">
        <v>0.5</v>
      </c>
    </row>
    <row r="659" spans="1:11" x14ac:dyDescent="0.25">
      <c r="A659" s="31" t="s">
        <v>1582</v>
      </c>
      <c r="B659" s="71" t="s">
        <v>1956</v>
      </c>
      <c r="C659" s="71"/>
      <c r="D659" s="71"/>
      <c r="E659" s="71"/>
      <c r="F659" s="31" t="s">
        <v>1957</v>
      </c>
      <c r="G659" s="31" t="s">
        <v>1958</v>
      </c>
      <c r="H659" s="31"/>
      <c r="I659" s="32"/>
      <c r="J659" s="32">
        <v>400</v>
      </c>
      <c r="K659" s="38">
        <v>0.5</v>
      </c>
    </row>
    <row r="660" spans="1:11" x14ac:dyDescent="0.25">
      <c r="A660" s="31" t="s">
        <v>1582</v>
      </c>
      <c r="B660" s="71" t="s">
        <v>1959</v>
      </c>
      <c r="C660" s="71"/>
      <c r="D660" s="71"/>
      <c r="E660" s="71"/>
      <c r="F660" s="31" t="s">
        <v>1960</v>
      </c>
      <c r="G660" s="31" t="s">
        <v>1961</v>
      </c>
      <c r="H660" s="31"/>
      <c r="I660" s="32"/>
      <c r="J660" s="32">
        <v>400</v>
      </c>
      <c r="K660" s="38">
        <v>0.5</v>
      </c>
    </row>
    <row r="661" spans="1:11" x14ac:dyDescent="0.25">
      <c r="A661" s="31" t="s">
        <v>1582</v>
      </c>
      <c r="B661" s="71" t="s">
        <v>1962</v>
      </c>
      <c r="C661" s="71"/>
      <c r="D661" s="71"/>
      <c r="E661" s="71"/>
      <c r="F661" s="31" t="s">
        <v>1963</v>
      </c>
      <c r="G661" s="31" t="s">
        <v>1964</v>
      </c>
      <c r="H661" s="31"/>
      <c r="I661" s="32"/>
      <c r="J661" s="32">
        <v>400</v>
      </c>
      <c r="K661" s="38">
        <v>0.5</v>
      </c>
    </row>
    <row r="662" spans="1:11" x14ac:dyDescent="0.25">
      <c r="A662" s="283" t="s">
        <v>314</v>
      </c>
      <c r="B662" s="340" t="s">
        <v>1965</v>
      </c>
      <c r="C662" s="340"/>
      <c r="D662" s="325"/>
      <c r="E662" s="325"/>
      <c r="F662" s="329" t="s">
        <v>1966</v>
      </c>
      <c r="G662" s="329" t="s">
        <v>1967</v>
      </c>
      <c r="H662" s="329" t="s">
        <v>1039</v>
      </c>
      <c r="I662" s="329" t="s">
        <v>1040</v>
      </c>
      <c r="J662" s="379">
        <v>100</v>
      </c>
      <c r="K662" s="282">
        <v>0.48749999999999999</v>
      </c>
    </row>
    <row r="663" spans="1:11" x14ac:dyDescent="0.25">
      <c r="A663" s="39" t="s">
        <v>314</v>
      </c>
      <c r="B663" s="331" t="s">
        <v>1968</v>
      </c>
      <c r="C663" s="484" t="s">
        <v>499</v>
      </c>
      <c r="D663" s="331"/>
      <c r="E663" s="331"/>
      <c r="F663" s="28" t="s">
        <v>1969</v>
      </c>
      <c r="G663" s="28" t="s">
        <v>1970</v>
      </c>
      <c r="H663" s="28" t="s">
        <v>1070</v>
      </c>
      <c r="I663" s="28" t="s">
        <v>1071</v>
      </c>
      <c r="J663" s="40">
        <v>1000</v>
      </c>
      <c r="K663" s="30">
        <v>0.47619047619047616</v>
      </c>
    </row>
    <row r="664" spans="1:11" x14ac:dyDescent="0.25">
      <c r="A664" s="39" t="s">
        <v>314</v>
      </c>
      <c r="B664" s="331" t="s">
        <v>1971</v>
      </c>
      <c r="C664" s="331"/>
      <c r="D664" s="331"/>
      <c r="E664" s="39"/>
      <c r="F664" s="28" t="s">
        <v>1972</v>
      </c>
      <c r="G664" s="28" t="s">
        <v>1973</v>
      </c>
      <c r="H664" s="28" t="s">
        <v>1730</v>
      </c>
      <c r="I664" s="28" t="s">
        <v>586</v>
      </c>
      <c r="J664" s="40">
        <v>20</v>
      </c>
      <c r="K664" s="30">
        <v>0.45</v>
      </c>
    </row>
    <row r="665" spans="1:11" x14ac:dyDescent="0.25">
      <c r="A665" s="31" t="s">
        <v>314</v>
      </c>
      <c r="B665" s="71" t="s">
        <v>1974</v>
      </c>
      <c r="C665" s="71"/>
      <c r="D665" s="71"/>
      <c r="E665" s="71"/>
      <c r="F665" s="32" t="s">
        <v>1975</v>
      </c>
      <c r="G665" s="32" t="s">
        <v>1976</v>
      </c>
      <c r="H665" s="32" t="s">
        <v>719</v>
      </c>
      <c r="I665" s="32" t="s">
        <v>586</v>
      </c>
      <c r="J665" s="33">
        <v>200</v>
      </c>
      <c r="K665" s="34">
        <v>0.44</v>
      </c>
    </row>
    <row r="666" spans="1:11" x14ac:dyDescent="0.25">
      <c r="A666" s="31" t="s">
        <v>314</v>
      </c>
      <c r="B666" s="71" t="s">
        <v>1977</v>
      </c>
      <c r="C666" s="71"/>
      <c r="D666" s="71"/>
      <c r="E666" s="71"/>
      <c r="F666" s="32" t="s">
        <v>1978</v>
      </c>
      <c r="G666" s="32" t="s">
        <v>1979</v>
      </c>
      <c r="H666" s="32" t="s">
        <v>785</v>
      </c>
      <c r="I666" s="32" t="s">
        <v>1071</v>
      </c>
      <c r="J666" s="33">
        <v>200</v>
      </c>
      <c r="K666" s="38">
        <v>0.44</v>
      </c>
    </row>
    <row r="667" spans="1:11" x14ac:dyDescent="0.25">
      <c r="A667" s="31" t="s">
        <v>108</v>
      </c>
      <c r="B667" s="71" t="s">
        <v>1980</v>
      </c>
      <c r="C667" s="71"/>
      <c r="D667" s="71"/>
      <c r="E667" s="71"/>
      <c r="F667" s="32" t="s">
        <v>1981</v>
      </c>
      <c r="G667" s="32" t="s">
        <v>1982</v>
      </c>
      <c r="H667" s="32"/>
      <c r="I667" s="52" t="s">
        <v>1133</v>
      </c>
      <c r="J667" s="33">
        <v>100</v>
      </c>
      <c r="K667" s="38">
        <v>0.44</v>
      </c>
    </row>
    <row r="668" spans="1:11" x14ac:dyDescent="0.25">
      <c r="A668" s="31"/>
      <c r="B668" s="71" t="s">
        <v>1983</v>
      </c>
      <c r="C668" s="71"/>
      <c r="D668" s="71"/>
      <c r="E668" s="71"/>
      <c r="F668" s="32" t="s">
        <v>1984</v>
      </c>
      <c r="G668" s="32" t="s">
        <v>1985</v>
      </c>
      <c r="H668" s="32" t="s">
        <v>1730</v>
      </c>
      <c r="I668" s="32" t="s">
        <v>1071</v>
      </c>
      <c r="J668" s="33">
        <v>60</v>
      </c>
      <c r="K668" s="38">
        <v>0.44</v>
      </c>
    </row>
    <row r="669" spans="1:11" x14ac:dyDescent="0.25">
      <c r="A669" s="31" t="s">
        <v>314</v>
      </c>
      <c r="B669" s="71" t="s">
        <v>1986</v>
      </c>
      <c r="C669" s="351" t="s">
        <v>499</v>
      </c>
      <c r="D669" s="71"/>
      <c r="E669" s="71"/>
      <c r="F669" s="32" t="s">
        <v>1987</v>
      </c>
      <c r="G669" s="32" t="s">
        <v>1988</v>
      </c>
      <c r="H669" s="32" t="s">
        <v>1070</v>
      </c>
      <c r="I669" s="32" t="s">
        <v>1071</v>
      </c>
      <c r="J669" s="33">
        <v>800</v>
      </c>
      <c r="K669" s="34">
        <v>0.43650793650793657</v>
      </c>
    </row>
    <row r="670" spans="1:11" x14ac:dyDescent="0.25">
      <c r="A670" s="51" t="s">
        <v>227</v>
      </c>
      <c r="B670" s="51" t="s">
        <v>1989</v>
      </c>
      <c r="C670" s="51"/>
      <c r="D670" s="51"/>
      <c r="E670" s="51"/>
      <c r="F670" s="52" t="s">
        <v>1990</v>
      </c>
      <c r="G670" s="52" t="s">
        <v>1991</v>
      </c>
      <c r="H670" s="52" t="s">
        <v>1040</v>
      </c>
      <c r="I670" s="52"/>
      <c r="J670" s="53">
        <v>50</v>
      </c>
      <c r="K670" s="38">
        <v>0.43099999999999999</v>
      </c>
    </row>
    <row r="671" spans="1:11" x14ac:dyDescent="0.25">
      <c r="A671" s="51" t="s">
        <v>27</v>
      </c>
      <c r="B671" s="51" t="s">
        <v>1989</v>
      </c>
      <c r="C671" s="51"/>
      <c r="D671" s="51"/>
      <c r="E671" s="51"/>
      <c r="F671" s="52" t="s">
        <v>1990</v>
      </c>
      <c r="G671" s="52" t="s">
        <v>1992</v>
      </c>
      <c r="H671" s="52" t="s">
        <v>1993</v>
      </c>
      <c r="I671" s="52"/>
      <c r="J671" s="54">
        <v>4</v>
      </c>
      <c r="K671" s="38">
        <v>0.43</v>
      </c>
    </row>
    <row r="672" spans="1:11" x14ac:dyDescent="0.25">
      <c r="A672" s="31" t="s">
        <v>108</v>
      </c>
      <c r="B672" s="71" t="s">
        <v>1994</v>
      </c>
      <c r="C672" s="71"/>
      <c r="D672" s="71"/>
      <c r="E672" s="71"/>
      <c r="F672" s="32" t="s">
        <v>1995</v>
      </c>
      <c r="G672" s="32" t="s">
        <v>1996</v>
      </c>
      <c r="H672" s="32"/>
      <c r="I672" s="52" t="s">
        <v>1133</v>
      </c>
      <c r="J672" s="33">
        <v>10</v>
      </c>
      <c r="K672" s="34">
        <v>0.42000000000000004</v>
      </c>
    </row>
    <row r="673" spans="1:11" x14ac:dyDescent="0.25">
      <c r="A673" s="31" t="s">
        <v>314</v>
      </c>
      <c r="B673" s="71" t="s">
        <v>1997</v>
      </c>
      <c r="C673" s="351" t="s">
        <v>499</v>
      </c>
      <c r="D673" s="31"/>
      <c r="E673" s="71"/>
      <c r="F673" s="32" t="s">
        <v>1998</v>
      </c>
      <c r="G673" s="32" t="s">
        <v>1999</v>
      </c>
      <c r="H673" s="32" t="s">
        <v>1540</v>
      </c>
      <c r="I673" s="32"/>
      <c r="J673" s="33">
        <v>5000</v>
      </c>
      <c r="K673" s="34">
        <v>0.42</v>
      </c>
    </row>
    <row r="674" spans="1:11" x14ac:dyDescent="0.25">
      <c r="A674" s="51" t="s">
        <v>227</v>
      </c>
      <c r="B674" s="51" t="s">
        <v>2000</v>
      </c>
      <c r="C674" s="51"/>
      <c r="D674" s="51"/>
      <c r="E674" s="51"/>
      <c r="F674" s="52" t="s">
        <v>2001</v>
      </c>
      <c r="G674" s="52" t="s">
        <v>2002</v>
      </c>
      <c r="H674" s="52" t="s">
        <v>622</v>
      </c>
      <c r="I674" s="52"/>
      <c r="J674" s="53">
        <v>10</v>
      </c>
      <c r="K674" s="38">
        <v>0.41</v>
      </c>
    </row>
    <row r="675" spans="1:11" x14ac:dyDescent="0.25">
      <c r="A675" s="31" t="s">
        <v>314</v>
      </c>
      <c r="B675" s="71" t="s">
        <v>2003</v>
      </c>
      <c r="C675" s="71"/>
      <c r="D675" s="71" t="s">
        <v>2004</v>
      </c>
      <c r="E675" s="71"/>
      <c r="F675" s="32" t="s">
        <v>2005</v>
      </c>
      <c r="G675" s="32" t="s">
        <v>2006</v>
      </c>
      <c r="H675" s="32" t="s">
        <v>785</v>
      </c>
      <c r="I675" s="32"/>
      <c r="J675" s="33">
        <v>300</v>
      </c>
      <c r="K675" s="34">
        <v>0.4</v>
      </c>
    </row>
    <row r="676" spans="1:11" x14ac:dyDescent="0.25">
      <c r="A676" s="31" t="s">
        <v>314</v>
      </c>
      <c r="B676" s="71" t="s">
        <v>2007</v>
      </c>
      <c r="C676" s="71"/>
      <c r="D676" s="348" t="s">
        <v>2008</v>
      </c>
      <c r="E676" s="31"/>
      <c r="F676" s="32" t="s">
        <v>2009</v>
      </c>
      <c r="G676" s="32" t="s">
        <v>2010</v>
      </c>
      <c r="H676" s="32" t="s">
        <v>1730</v>
      </c>
      <c r="I676" s="32" t="s">
        <v>586</v>
      </c>
      <c r="J676" s="33">
        <v>35</v>
      </c>
      <c r="K676" s="34">
        <v>0.4</v>
      </c>
    </row>
    <row r="677" spans="1:11" x14ac:dyDescent="0.25">
      <c r="A677" s="51" t="s">
        <v>27</v>
      </c>
      <c r="B677" s="51" t="s">
        <v>2011</v>
      </c>
      <c r="C677" s="196"/>
      <c r="D677" s="51"/>
      <c r="E677" s="51"/>
      <c r="F677" s="52" t="s">
        <v>2012</v>
      </c>
      <c r="G677" s="52" t="s">
        <v>2013</v>
      </c>
      <c r="H677" s="52" t="s">
        <v>1224</v>
      </c>
      <c r="I677" s="52"/>
      <c r="J677" s="54">
        <v>15</v>
      </c>
      <c r="K677" s="38">
        <v>0.4</v>
      </c>
    </row>
    <row r="678" spans="1:11" x14ac:dyDescent="0.25">
      <c r="A678" s="51" t="s">
        <v>27</v>
      </c>
      <c r="B678" s="51" t="s">
        <v>2014</v>
      </c>
      <c r="C678" s="51"/>
      <c r="D678" s="51">
        <v>1546129000001</v>
      </c>
      <c r="E678" s="51"/>
      <c r="F678" s="52" t="s">
        <v>2015</v>
      </c>
      <c r="G678" s="52" t="s">
        <v>2016</v>
      </c>
      <c r="H678" s="52" t="s">
        <v>1224</v>
      </c>
      <c r="I678" s="52"/>
      <c r="J678" s="54">
        <v>15</v>
      </c>
      <c r="K678" s="38">
        <v>0.38</v>
      </c>
    </row>
    <row r="679" spans="1:11" x14ac:dyDescent="0.25">
      <c r="A679" s="31" t="s">
        <v>314</v>
      </c>
      <c r="B679" s="71" t="s">
        <v>2017</v>
      </c>
      <c r="C679" s="71"/>
      <c r="D679" s="71"/>
      <c r="E679" s="71"/>
      <c r="F679" s="32" t="s">
        <v>2018</v>
      </c>
      <c r="G679" s="32" t="s">
        <v>2019</v>
      </c>
      <c r="H679" s="32" t="s">
        <v>1540</v>
      </c>
      <c r="I679" s="32"/>
      <c r="J679" s="33">
        <v>300</v>
      </c>
      <c r="K679" s="34">
        <v>0.37</v>
      </c>
    </row>
    <row r="680" spans="1:11" x14ac:dyDescent="0.25">
      <c r="A680" s="31" t="s">
        <v>314</v>
      </c>
      <c r="B680" s="353" t="s">
        <v>2020</v>
      </c>
      <c r="C680" s="353"/>
      <c r="D680" s="353"/>
      <c r="E680" s="353"/>
      <c r="F680" s="336" t="s">
        <v>2021</v>
      </c>
      <c r="G680" s="336" t="s">
        <v>2022</v>
      </c>
      <c r="H680" s="336" t="s">
        <v>2023</v>
      </c>
      <c r="I680" s="32"/>
      <c r="J680" s="33">
        <v>100</v>
      </c>
      <c r="K680" s="34">
        <v>0.37</v>
      </c>
    </row>
    <row r="681" spans="1:11" x14ac:dyDescent="0.25">
      <c r="A681" s="464" t="s">
        <v>314</v>
      </c>
      <c r="B681" s="310" t="s">
        <v>2024</v>
      </c>
      <c r="C681" s="310"/>
      <c r="D681" s="310">
        <v>1239024433900</v>
      </c>
      <c r="E681" s="310"/>
      <c r="F681" s="295" t="s">
        <v>2025</v>
      </c>
      <c r="G681" s="295" t="s">
        <v>2026</v>
      </c>
      <c r="H681" s="295" t="s">
        <v>2027</v>
      </c>
      <c r="I681" s="28" t="s">
        <v>586</v>
      </c>
      <c r="J681" s="40">
        <v>500</v>
      </c>
      <c r="K681" s="34">
        <v>0.36</v>
      </c>
    </row>
    <row r="682" spans="1:11" x14ac:dyDescent="0.25">
      <c r="A682" s="31" t="s">
        <v>314</v>
      </c>
      <c r="B682" s="310" t="s">
        <v>2028</v>
      </c>
      <c r="C682" s="310"/>
      <c r="D682" s="310"/>
      <c r="E682" s="331"/>
      <c r="F682" s="295" t="s">
        <v>2029</v>
      </c>
      <c r="G682" s="295" t="s">
        <v>2030</v>
      </c>
      <c r="H682" s="295"/>
      <c r="I682" s="28"/>
      <c r="J682" s="40">
        <v>60</v>
      </c>
      <c r="K682" s="30">
        <v>0.35</v>
      </c>
    </row>
    <row r="683" spans="1:11" x14ac:dyDescent="0.25">
      <c r="A683" s="308" t="s">
        <v>314</v>
      </c>
      <c r="B683" s="212" t="s">
        <v>2008</v>
      </c>
      <c r="C683" s="212"/>
      <c r="D683" s="212"/>
      <c r="E683" s="308"/>
      <c r="F683" s="199" t="s">
        <v>1972</v>
      </c>
      <c r="G683" s="199" t="s">
        <v>2010</v>
      </c>
      <c r="H683" s="199" t="s">
        <v>1730</v>
      </c>
      <c r="I683" s="28" t="s">
        <v>586</v>
      </c>
      <c r="J683" s="40">
        <v>35</v>
      </c>
      <c r="K683" s="30">
        <v>0.35</v>
      </c>
    </row>
    <row r="684" spans="1:11" x14ac:dyDescent="0.25">
      <c r="A684" s="457" t="s">
        <v>314</v>
      </c>
      <c r="B684" s="331" t="s">
        <v>2031</v>
      </c>
      <c r="C684" s="331"/>
      <c r="D684" s="331"/>
      <c r="E684" s="331"/>
      <c r="F684" s="28" t="s">
        <v>2032</v>
      </c>
      <c r="G684" s="28" t="s">
        <v>2033</v>
      </c>
      <c r="H684" s="512" t="s">
        <v>519</v>
      </c>
      <c r="I684" s="28" t="s">
        <v>586</v>
      </c>
      <c r="J684" s="40">
        <v>35</v>
      </c>
      <c r="K684" s="30">
        <v>0.35</v>
      </c>
    </row>
    <row r="685" spans="1:11" x14ac:dyDescent="0.25">
      <c r="A685" s="31" t="s">
        <v>314</v>
      </c>
      <c r="B685" s="331" t="s">
        <v>2034</v>
      </c>
      <c r="C685" s="331"/>
      <c r="D685" s="331" t="s">
        <v>2035</v>
      </c>
      <c r="E685" s="331"/>
      <c r="F685" s="28" t="s">
        <v>2036</v>
      </c>
      <c r="G685" s="28" t="s">
        <v>2037</v>
      </c>
      <c r="H685" s="32" t="s">
        <v>1730</v>
      </c>
      <c r="I685" s="28" t="s">
        <v>586</v>
      </c>
      <c r="J685" s="40">
        <v>35</v>
      </c>
      <c r="K685" s="30">
        <v>0.35</v>
      </c>
    </row>
    <row r="686" spans="1:11" x14ac:dyDescent="0.25">
      <c r="A686" s="325" t="s">
        <v>314</v>
      </c>
      <c r="B686" s="340" t="s">
        <v>2038</v>
      </c>
      <c r="C686" s="340"/>
      <c r="D686" s="325"/>
      <c r="E686" s="325"/>
      <c r="F686" s="329" t="s">
        <v>2039</v>
      </c>
      <c r="G686" s="329" t="s">
        <v>2040</v>
      </c>
      <c r="H686" s="329"/>
      <c r="I686" s="329"/>
      <c r="J686" s="379">
        <v>25</v>
      </c>
      <c r="K686" s="384">
        <v>0.35</v>
      </c>
    </row>
    <row r="687" spans="1:11" x14ac:dyDescent="0.25">
      <c r="A687" s="283" t="s">
        <v>314</v>
      </c>
      <c r="B687" s="284" t="s">
        <v>2041</v>
      </c>
      <c r="C687" s="302"/>
      <c r="D687" s="283"/>
      <c r="E687" s="283"/>
      <c r="F687" s="285" t="s">
        <v>2042</v>
      </c>
      <c r="G687" s="285" t="s">
        <v>2043</v>
      </c>
      <c r="H687" s="285"/>
      <c r="I687" s="285"/>
      <c r="J687" s="286">
        <v>6</v>
      </c>
      <c r="K687" s="287">
        <v>0.35</v>
      </c>
    </row>
    <row r="688" spans="1:11" x14ac:dyDescent="0.25">
      <c r="A688" s="283" t="s">
        <v>314</v>
      </c>
      <c r="B688" s="284" t="s">
        <v>2044</v>
      </c>
      <c r="C688" s="284"/>
      <c r="D688" s="283"/>
      <c r="E688" s="283"/>
      <c r="F688" s="285" t="s">
        <v>2045</v>
      </c>
      <c r="G688" s="285" t="s">
        <v>2046</v>
      </c>
      <c r="H688" s="285"/>
      <c r="I688" s="285"/>
      <c r="J688" s="286">
        <v>6</v>
      </c>
      <c r="K688" s="287">
        <v>0.35</v>
      </c>
    </row>
    <row r="689" spans="1:11" x14ac:dyDescent="0.25">
      <c r="A689" s="31" t="s">
        <v>314</v>
      </c>
      <c r="B689" s="71" t="s">
        <v>2047</v>
      </c>
      <c r="C689" s="71"/>
      <c r="D689" s="71"/>
      <c r="E689" s="31"/>
      <c r="F689" s="32" t="s">
        <v>1972</v>
      </c>
      <c r="G689" s="32" t="s">
        <v>2048</v>
      </c>
      <c r="H689" s="32" t="s">
        <v>1730</v>
      </c>
      <c r="I689" s="32" t="s">
        <v>586</v>
      </c>
      <c r="J689" s="33">
        <v>1</v>
      </c>
      <c r="K689" s="34">
        <v>0.35</v>
      </c>
    </row>
    <row r="690" spans="1:11" x14ac:dyDescent="0.25">
      <c r="A690" s="51" t="s">
        <v>227</v>
      </c>
      <c r="B690" s="51" t="s">
        <v>1900</v>
      </c>
      <c r="C690" s="196"/>
      <c r="D690" s="51"/>
      <c r="E690" s="51"/>
      <c r="F690" s="52" t="s">
        <v>1901</v>
      </c>
      <c r="G690" s="52" t="s">
        <v>2049</v>
      </c>
      <c r="H690" s="52" t="s">
        <v>1540</v>
      </c>
      <c r="I690" s="52"/>
      <c r="J690" s="53">
        <v>100</v>
      </c>
      <c r="K690" s="38">
        <v>0.34</v>
      </c>
    </row>
    <row r="691" spans="1:11" x14ac:dyDescent="0.25">
      <c r="A691" s="31" t="s">
        <v>314</v>
      </c>
      <c r="B691" s="71" t="s">
        <v>2050</v>
      </c>
      <c r="C691" s="71"/>
      <c r="D691" s="71"/>
      <c r="E691" s="71"/>
      <c r="F691" s="32" t="s">
        <v>2051</v>
      </c>
      <c r="G691" s="32" t="s">
        <v>2052</v>
      </c>
      <c r="H691" s="32"/>
      <c r="I691" s="32"/>
      <c r="J691" s="33">
        <v>200</v>
      </c>
      <c r="K691" s="34">
        <v>0.32</v>
      </c>
    </row>
    <row r="692" spans="1:11" x14ac:dyDescent="0.25">
      <c r="A692" s="31" t="s">
        <v>314</v>
      </c>
      <c r="B692" s="71" t="s">
        <v>2053</v>
      </c>
      <c r="C692" s="351" t="s">
        <v>499</v>
      </c>
      <c r="D692" s="71"/>
      <c r="E692" s="71"/>
      <c r="F692" s="32" t="s">
        <v>2054</v>
      </c>
      <c r="G692" s="32" t="s">
        <v>2055</v>
      </c>
      <c r="H692" s="32" t="s">
        <v>2056</v>
      </c>
      <c r="I692" s="32" t="s">
        <v>586</v>
      </c>
      <c r="J692" s="33">
        <v>1000</v>
      </c>
      <c r="K692" s="34">
        <v>0.31</v>
      </c>
    </row>
    <row r="693" spans="1:11" x14ac:dyDescent="0.25">
      <c r="A693" s="283" t="s">
        <v>314</v>
      </c>
      <c r="B693" s="284" t="s">
        <v>2057</v>
      </c>
      <c r="C693" s="284"/>
      <c r="D693" s="284"/>
      <c r="E693" s="284"/>
      <c r="F693" s="285" t="s">
        <v>2058</v>
      </c>
      <c r="G693" s="285" t="s">
        <v>2059</v>
      </c>
      <c r="H693" s="285" t="s">
        <v>785</v>
      </c>
      <c r="I693" s="285" t="s">
        <v>586</v>
      </c>
      <c r="J693" s="286">
        <v>300</v>
      </c>
      <c r="K693" s="282">
        <v>0.28000000000000003</v>
      </c>
    </row>
    <row r="694" spans="1:11" x14ac:dyDescent="0.25">
      <c r="A694" s="325" t="s">
        <v>314</v>
      </c>
      <c r="B694" s="340" t="s">
        <v>2060</v>
      </c>
      <c r="C694" s="340"/>
      <c r="D694" s="340"/>
      <c r="E694" s="340"/>
      <c r="F694" s="329" t="s">
        <v>2061</v>
      </c>
      <c r="G694" s="329" t="s">
        <v>2062</v>
      </c>
      <c r="H694" s="329" t="s">
        <v>785</v>
      </c>
      <c r="I694" s="329" t="s">
        <v>586</v>
      </c>
      <c r="J694" s="379">
        <v>300</v>
      </c>
      <c r="K694" s="388">
        <v>0.28000000000000003</v>
      </c>
    </row>
    <row r="695" spans="1:11" x14ac:dyDescent="0.25">
      <c r="A695" s="39" t="s">
        <v>314</v>
      </c>
      <c r="B695" s="331" t="s">
        <v>2063</v>
      </c>
      <c r="C695" s="331"/>
      <c r="D695" s="331"/>
      <c r="E695" s="331"/>
      <c r="F695" s="28" t="s">
        <v>2064</v>
      </c>
      <c r="G695" s="28" t="s">
        <v>2065</v>
      </c>
      <c r="H695" s="28" t="s">
        <v>785</v>
      </c>
      <c r="I695" s="28" t="s">
        <v>1071</v>
      </c>
      <c r="J695" s="40">
        <v>200</v>
      </c>
      <c r="K695" s="47">
        <v>0.28000000000000003</v>
      </c>
    </row>
    <row r="696" spans="1:11" x14ac:dyDescent="0.25">
      <c r="A696" s="31" t="s">
        <v>314</v>
      </c>
      <c r="B696" s="71" t="s">
        <v>2066</v>
      </c>
      <c r="C696" s="71"/>
      <c r="D696" s="71"/>
      <c r="E696" s="71"/>
      <c r="F696" s="32" t="s">
        <v>2067</v>
      </c>
      <c r="G696" s="32" t="s">
        <v>2068</v>
      </c>
      <c r="H696" s="32"/>
      <c r="I696" s="32"/>
      <c r="J696" s="33">
        <v>100</v>
      </c>
      <c r="K696" s="34">
        <v>0.28000000000000003</v>
      </c>
    </row>
    <row r="697" spans="1:11" x14ac:dyDescent="0.25">
      <c r="A697" s="283" t="s">
        <v>314</v>
      </c>
      <c r="B697" s="284" t="s">
        <v>2069</v>
      </c>
      <c r="C697" s="284"/>
      <c r="D697" s="284"/>
      <c r="E697" s="284"/>
      <c r="F697" s="285" t="s">
        <v>2070</v>
      </c>
      <c r="G697" s="285" t="s">
        <v>2071</v>
      </c>
      <c r="H697" s="285"/>
      <c r="I697" s="285"/>
      <c r="J697" s="286">
        <v>100</v>
      </c>
      <c r="K697" s="287">
        <v>0.28000000000000003</v>
      </c>
    </row>
    <row r="698" spans="1:11" x14ac:dyDescent="0.25">
      <c r="A698" s="283" t="s">
        <v>314</v>
      </c>
      <c r="B698" s="284" t="s">
        <v>2072</v>
      </c>
      <c r="C698" s="284"/>
      <c r="D698" s="284"/>
      <c r="E698" s="284"/>
      <c r="F698" s="285" t="s">
        <v>2073</v>
      </c>
      <c r="G698" s="285" t="s">
        <v>2074</v>
      </c>
      <c r="H698" s="285" t="s">
        <v>785</v>
      </c>
      <c r="I698" s="285" t="s">
        <v>586</v>
      </c>
      <c r="J698" s="286">
        <v>100</v>
      </c>
      <c r="K698" s="282">
        <v>0.28000000000000003</v>
      </c>
    </row>
    <row r="699" spans="1:11" x14ac:dyDescent="0.25">
      <c r="A699" s="283" t="s">
        <v>314</v>
      </c>
      <c r="B699" s="284" t="s">
        <v>2075</v>
      </c>
      <c r="C699" s="284"/>
      <c r="D699" s="284"/>
      <c r="E699" s="284"/>
      <c r="F699" s="285" t="s">
        <v>2076</v>
      </c>
      <c r="G699" s="285" t="s">
        <v>2077</v>
      </c>
      <c r="H699" s="285" t="s">
        <v>785</v>
      </c>
      <c r="I699" s="285" t="s">
        <v>586</v>
      </c>
      <c r="J699" s="286">
        <v>100</v>
      </c>
      <c r="K699" s="282">
        <v>0.28000000000000003</v>
      </c>
    </row>
    <row r="700" spans="1:11" x14ac:dyDescent="0.25">
      <c r="A700" s="39" t="s">
        <v>314</v>
      </c>
      <c r="B700" s="331" t="s">
        <v>2078</v>
      </c>
      <c r="C700" s="331"/>
      <c r="D700" s="331"/>
      <c r="E700" s="331"/>
      <c r="F700" s="28" t="s">
        <v>2079</v>
      </c>
      <c r="G700" s="28" t="s">
        <v>2080</v>
      </c>
      <c r="H700" s="28" t="s">
        <v>1295</v>
      </c>
      <c r="I700" s="28" t="s">
        <v>1296</v>
      </c>
      <c r="J700" s="40">
        <v>50</v>
      </c>
      <c r="K700" s="30">
        <v>0.28000000000000003</v>
      </c>
    </row>
    <row r="701" spans="1:11" x14ac:dyDescent="0.25">
      <c r="A701" s="39" t="s">
        <v>314</v>
      </c>
      <c r="B701" s="331" t="s">
        <v>2081</v>
      </c>
      <c r="C701" s="484" t="s">
        <v>499</v>
      </c>
      <c r="D701" s="331"/>
      <c r="E701" s="331"/>
      <c r="F701" s="28" t="s">
        <v>2082</v>
      </c>
      <c r="G701" s="28" t="s">
        <v>2083</v>
      </c>
      <c r="H701" s="28" t="s">
        <v>1540</v>
      </c>
      <c r="I701" s="28"/>
      <c r="J701" s="40">
        <v>100</v>
      </c>
      <c r="K701" s="30">
        <v>0.27</v>
      </c>
    </row>
    <row r="702" spans="1:11" x14ac:dyDescent="0.25">
      <c r="A702" s="283" t="s">
        <v>314</v>
      </c>
      <c r="B702" s="284" t="s">
        <v>2084</v>
      </c>
      <c r="C702" s="284"/>
      <c r="D702" s="284"/>
      <c r="E702" s="284"/>
      <c r="F702" s="285" t="s">
        <v>2085</v>
      </c>
      <c r="G702" s="285" t="s">
        <v>2086</v>
      </c>
      <c r="H702" s="285"/>
      <c r="I702" s="285"/>
      <c r="J702" s="286">
        <v>50</v>
      </c>
      <c r="K702" s="287">
        <v>0.24</v>
      </c>
    </row>
    <row r="703" spans="1:11" x14ac:dyDescent="0.25">
      <c r="A703" s="283" t="s">
        <v>314</v>
      </c>
      <c r="B703" s="284" t="s">
        <v>2084</v>
      </c>
      <c r="C703" s="284"/>
      <c r="D703" s="284"/>
      <c r="E703" s="284"/>
      <c r="F703" s="285" t="s">
        <v>2085</v>
      </c>
      <c r="G703" s="285" t="s">
        <v>2086</v>
      </c>
      <c r="H703" s="285"/>
      <c r="I703" s="285"/>
      <c r="J703" s="286">
        <v>50</v>
      </c>
      <c r="K703" s="287">
        <v>0.24</v>
      </c>
    </row>
    <row r="704" spans="1:11" x14ac:dyDescent="0.25">
      <c r="A704" s="71" t="s">
        <v>314</v>
      </c>
      <c r="B704" s="71" t="s">
        <v>2087</v>
      </c>
      <c r="C704" s="351" t="s">
        <v>499</v>
      </c>
      <c r="D704" s="71"/>
      <c r="E704" s="71"/>
      <c r="F704" s="32" t="s">
        <v>2088</v>
      </c>
      <c r="G704" s="32" t="s">
        <v>2089</v>
      </c>
      <c r="H704" s="32" t="s">
        <v>1540</v>
      </c>
      <c r="I704" s="32"/>
      <c r="J704" s="33">
        <v>600</v>
      </c>
      <c r="K704" s="34">
        <v>0.23</v>
      </c>
    </row>
    <row r="705" spans="1:11" x14ac:dyDescent="0.25">
      <c r="A705" s="31" t="s">
        <v>314</v>
      </c>
      <c r="B705" s="71" t="s">
        <v>2090</v>
      </c>
      <c r="C705" s="71"/>
      <c r="D705" s="71"/>
      <c r="E705" s="71"/>
      <c r="F705" s="32" t="s">
        <v>2091</v>
      </c>
      <c r="G705" s="32" t="s">
        <v>2092</v>
      </c>
      <c r="H705" s="32" t="s">
        <v>785</v>
      </c>
      <c r="I705" s="32" t="s">
        <v>2093</v>
      </c>
      <c r="J705" s="33">
        <v>1000</v>
      </c>
      <c r="K705" s="38">
        <v>0.22</v>
      </c>
    </row>
    <row r="706" spans="1:11" x14ac:dyDescent="0.25">
      <c r="A706" s="39" t="s">
        <v>314</v>
      </c>
      <c r="B706" s="331" t="s">
        <v>2094</v>
      </c>
      <c r="C706" s="484" t="s">
        <v>499</v>
      </c>
      <c r="D706" s="331"/>
      <c r="E706" s="331"/>
      <c r="F706" s="28" t="s">
        <v>2095</v>
      </c>
      <c r="G706" s="28" t="s">
        <v>2096</v>
      </c>
      <c r="H706" s="28" t="s">
        <v>1540</v>
      </c>
      <c r="I706" s="28"/>
      <c r="J706" s="40">
        <v>1000</v>
      </c>
      <c r="K706" s="30">
        <v>0.22</v>
      </c>
    </row>
    <row r="707" spans="1:11" x14ac:dyDescent="0.25">
      <c r="A707" s="39" t="s">
        <v>314</v>
      </c>
      <c r="B707" s="331" t="s">
        <v>2097</v>
      </c>
      <c r="C707" s="484" t="s">
        <v>499</v>
      </c>
      <c r="D707" s="331"/>
      <c r="E707" s="331"/>
      <c r="F707" s="28" t="s">
        <v>2098</v>
      </c>
      <c r="G707" s="28" t="s">
        <v>2099</v>
      </c>
      <c r="H707" s="28" t="s">
        <v>1540</v>
      </c>
      <c r="I707" s="28"/>
      <c r="J707" s="40">
        <v>600</v>
      </c>
      <c r="K707" s="30">
        <v>0.22</v>
      </c>
    </row>
    <row r="708" spans="1:11" x14ac:dyDescent="0.25">
      <c r="A708" s="325" t="s">
        <v>314</v>
      </c>
      <c r="B708" s="340" t="s">
        <v>2100</v>
      </c>
      <c r="C708" s="340"/>
      <c r="D708" s="340"/>
      <c r="E708" s="340"/>
      <c r="F708" s="329" t="s">
        <v>2101</v>
      </c>
      <c r="G708" s="329" t="s">
        <v>2102</v>
      </c>
      <c r="H708" s="329" t="s">
        <v>785</v>
      </c>
      <c r="I708" s="329" t="s">
        <v>1071</v>
      </c>
      <c r="J708" s="379">
        <v>1000</v>
      </c>
      <c r="K708" s="388">
        <v>0.21</v>
      </c>
    </row>
    <row r="709" spans="1:11" x14ac:dyDescent="0.25">
      <c r="A709" s="325" t="s">
        <v>314</v>
      </c>
      <c r="B709" s="340" t="s">
        <v>2103</v>
      </c>
      <c r="C709" s="486" t="s">
        <v>499</v>
      </c>
      <c r="D709" s="340"/>
      <c r="E709" s="340"/>
      <c r="F709" s="329" t="s">
        <v>2104</v>
      </c>
      <c r="G709" s="329" t="s">
        <v>2105</v>
      </c>
      <c r="H709" s="329" t="s">
        <v>785</v>
      </c>
      <c r="I709" s="329" t="s">
        <v>586</v>
      </c>
      <c r="J709" s="379">
        <v>2000</v>
      </c>
      <c r="K709" s="384">
        <v>0.2</v>
      </c>
    </row>
    <row r="710" spans="1:11" x14ac:dyDescent="0.25">
      <c r="A710" s="325" t="s">
        <v>314</v>
      </c>
      <c r="B710" s="340" t="s">
        <v>2106</v>
      </c>
      <c r="C710" s="486" t="s">
        <v>499</v>
      </c>
      <c r="D710" s="340"/>
      <c r="E710" s="340"/>
      <c r="F710" s="329" t="s">
        <v>2107</v>
      </c>
      <c r="G710" s="329" t="s">
        <v>2108</v>
      </c>
      <c r="H710" s="329" t="s">
        <v>785</v>
      </c>
      <c r="I710" s="329" t="s">
        <v>586</v>
      </c>
      <c r="J710" s="379">
        <v>1000</v>
      </c>
      <c r="K710" s="384">
        <v>0.2</v>
      </c>
    </row>
    <row r="711" spans="1:11" x14ac:dyDescent="0.25">
      <c r="A711" s="31" t="s">
        <v>314</v>
      </c>
      <c r="B711" s="71" t="s">
        <v>2109</v>
      </c>
      <c r="C711" s="71"/>
      <c r="D711" s="71"/>
      <c r="E711" s="71"/>
      <c r="F711" s="32" t="s">
        <v>2110</v>
      </c>
      <c r="G711" s="32" t="s">
        <v>2111</v>
      </c>
      <c r="H711" s="32" t="s">
        <v>2112</v>
      </c>
      <c r="I711" s="32" t="s">
        <v>2113</v>
      </c>
      <c r="J711" s="33">
        <v>200</v>
      </c>
      <c r="K711" s="34">
        <v>0.2</v>
      </c>
    </row>
    <row r="712" spans="1:11" x14ac:dyDescent="0.25">
      <c r="A712" s="31" t="s">
        <v>314</v>
      </c>
      <c r="B712" s="71" t="s">
        <v>2114</v>
      </c>
      <c r="C712" s="71"/>
      <c r="D712" s="71"/>
      <c r="E712" s="71"/>
      <c r="F712" s="32" t="s">
        <v>2115</v>
      </c>
      <c r="G712" s="32"/>
      <c r="H712" s="32"/>
      <c r="I712" s="32"/>
      <c r="J712" s="33">
        <v>200</v>
      </c>
      <c r="K712" s="34">
        <v>0.2</v>
      </c>
    </row>
    <row r="713" spans="1:11" x14ac:dyDescent="0.25">
      <c r="A713" s="31" t="s">
        <v>314</v>
      </c>
      <c r="B713" s="71" t="s">
        <v>2116</v>
      </c>
      <c r="C713" s="351" t="s">
        <v>499</v>
      </c>
      <c r="D713" s="71"/>
      <c r="E713" s="71"/>
      <c r="F713" s="32" t="s">
        <v>2117</v>
      </c>
      <c r="G713" s="32" t="s">
        <v>2118</v>
      </c>
      <c r="H713" s="32" t="s">
        <v>1540</v>
      </c>
      <c r="I713" s="32"/>
      <c r="J713" s="33">
        <v>2500</v>
      </c>
      <c r="K713" s="34">
        <v>0.19</v>
      </c>
    </row>
    <row r="714" spans="1:11" x14ac:dyDescent="0.25">
      <c r="A714" s="216" t="s">
        <v>314</v>
      </c>
      <c r="B714" s="217" t="s">
        <v>2119</v>
      </c>
      <c r="C714" s="217"/>
      <c r="D714" s="216"/>
      <c r="E714" s="216"/>
      <c r="F714" s="218" t="s">
        <v>2120</v>
      </c>
      <c r="G714" s="218" t="s">
        <v>2121</v>
      </c>
      <c r="H714" s="218" t="s">
        <v>2122</v>
      </c>
      <c r="I714" s="218" t="s">
        <v>2123</v>
      </c>
      <c r="J714" s="219">
        <v>100</v>
      </c>
      <c r="K714" s="220">
        <v>0.19</v>
      </c>
    </row>
    <row r="715" spans="1:11" x14ac:dyDescent="0.25">
      <c r="A715" s="31" t="s">
        <v>314</v>
      </c>
      <c r="B715" s="71" t="s">
        <v>2124</v>
      </c>
      <c r="C715" s="31"/>
      <c r="D715" s="71"/>
      <c r="E715" s="71"/>
      <c r="F715" s="32" t="s">
        <v>2125</v>
      </c>
      <c r="G715" s="32" t="s">
        <v>2126</v>
      </c>
      <c r="H715" s="32" t="s">
        <v>488</v>
      </c>
      <c r="I715" s="32"/>
      <c r="J715" s="33">
        <v>20</v>
      </c>
      <c r="K715" s="34">
        <v>0.19</v>
      </c>
    </row>
    <row r="716" spans="1:11" x14ac:dyDescent="0.25">
      <c r="A716" s="126" t="s">
        <v>227</v>
      </c>
      <c r="B716" s="126" t="s">
        <v>1514</v>
      </c>
      <c r="C716" s="126"/>
      <c r="D716" s="126"/>
      <c r="E716" s="126"/>
      <c r="F716" s="9" t="s">
        <v>1515</v>
      </c>
      <c r="G716" s="9" t="s">
        <v>2127</v>
      </c>
      <c r="H716" s="9" t="s">
        <v>2128</v>
      </c>
      <c r="I716" s="9"/>
      <c r="J716" s="60">
        <v>10</v>
      </c>
      <c r="K716" s="47">
        <v>0.19</v>
      </c>
    </row>
    <row r="717" spans="1:11" x14ac:dyDescent="0.25">
      <c r="A717" s="31" t="s">
        <v>314</v>
      </c>
      <c r="B717" s="71" t="s">
        <v>2129</v>
      </c>
      <c r="C717" s="351" t="s">
        <v>499</v>
      </c>
      <c r="D717" s="71"/>
      <c r="E717" s="71"/>
      <c r="F717" s="32" t="s">
        <v>2130</v>
      </c>
      <c r="G717" s="32" t="s">
        <v>2131</v>
      </c>
      <c r="H717" s="32" t="s">
        <v>1540</v>
      </c>
      <c r="I717" s="32"/>
      <c r="J717" s="33">
        <v>4000</v>
      </c>
      <c r="K717" s="34">
        <v>0.18</v>
      </c>
    </row>
    <row r="718" spans="1:11" x14ac:dyDescent="0.25">
      <c r="A718" s="283" t="s">
        <v>314</v>
      </c>
      <c r="B718" s="284" t="s">
        <v>2132</v>
      </c>
      <c r="C718" s="284"/>
      <c r="D718" s="284"/>
      <c r="E718" s="284"/>
      <c r="F718" s="285" t="s">
        <v>2133</v>
      </c>
      <c r="G718" s="285" t="s">
        <v>2134</v>
      </c>
      <c r="H718" s="285" t="s">
        <v>785</v>
      </c>
      <c r="I718" s="285" t="s">
        <v>1071</v>
      </c>
      <c r="J718" s="286">
        <v>2000</v>
      </c>
      <c r="K718" s="282">
        <v>0.18</v>
      </c>
    </row>
    <row r="719" spans="1:11" x14ac:dyDescent="0.25">
      <c r="A719" s="31" t="s">
        <v>314</v>
      </c>
      <c r="B719" s="71" t="s">
        <v>2135</v>
      </c>
      <c r="C719" s="71"/>
      <c r="D719" s="71"/>
      <c r="E719" s="71"/>
      <c r="F719" s="32" t="s">
        <v>2136</v>
      </c>
      <c r="G719" s="32" t="s">
        <v>2137</v>
      </c>
      <c r="H719" s="32" t="s">
        <v>1540</v>
      </c>
      <c r="I719" s="32"/>
      <c r="J719" s="33">
        <v>100</v>
      </c>
      <c r="K719" s="34">
        <v>0.18</v>
      </c>
    </row>
    <row r="720" spans="1:11" x14ac:dyDescent="0.25">
      <c r="A720" s="31" t="s">
        <v>314</v>
      </c>
      <c r="B720" s="71" t="s">
        <v>2138</v>
      </c>
      <c r="C720" s="71"/>
      <c r="D720" s="71"/>
      <c r="E720" s="71"/>
      <c r="F720" s="32" t="s">
        <v>2139</v>
      </c>
      <c r="G720" s="32">
        <v>1257</v>
      </c>
      <c r="H720" s="32"/>
      <c r="I720" s="32"/>
      <c r="J720" s="33">
        <v>300</v>
      </c>
      <c r="K720" s="38">
        <v>0.16666666666666666</v>
      </c>
    </row>
    <row r="721" spans="1:11" x14ac:dyDescent="0.25">
      <c r="A721" s="31" t="s">
        <v>314</v>
      </c>
      <c r="B721" s="71" t="s">
        <v>2140</v>
      </c>
      <c r="C721" s="351" t="s">
        <v>499</v>
      </c>
      <c r="D721" s="71"/>
      <c r="E721" s="71"/>
      <c r="F721" s="32" t="s">
        <v>2141</v>
      </c>
      <c r="G721" s="32" t="s">
        <v>2142</v>
      </c>
      <c r="H721" s="32"/>
      <c r="I721" s="32"/>
      <c r="J721" s="33">
        <v>1170</v>
      </c>
      <c r="K721" s="34">
        <v>0.15</v>
      </c>
    </row>
    <row r="722" spans="1:11" x14ac:dyDescent="0.25">
      <c r="A722" s="31" t="s">
        <v>314</v>
      </c>
      <c r="B722" s="71" t="s">
        <v>2143</v>
      </c>
      <c r="C722" s="71"/>
      <c r="D722" s="71"/>
      <c r="E722" s="71"/>
      <c r="F722" s="32" t="s">
        <v>2144</v>
      </c>
      <c r="G722" s="103" t="s">
        <v>2145</v>
      </c>
      <c r="H722" s="32"/>
      <c r="I722" s="32"/>
      <c r="J722" s="33">
        <v>100</v>
      </c>
      <c r="K722" s="34">
        <v>0.15</v>
      </c>
    </row>
    <row r="723" spans="1:11" x14ac:dyDescent="0.25">
      <c r="A723" s="283" t="s">
        <v>314</v>
      </c>
      <c r="B723" s="284" t="s">
        <v>2146</v>
      </c>
      <c r="C723" s="284"/>
      <c r="D723" s="284"/>
      <c r="E723" s="284"/>
      <c r="F723" s="285" t="s">
        <v>2147</v>
      </c>
      <c r="G723" s="288" t="s">
        <v>2148</v>
      </c>
      <c r="H723" s="285"/>
      <c r="I723" s="285"/>
      <c r="J723" s="286">
        <v>100</v>
      </c>
      <c r="K723" s="287">
        <v>0.15</v>
      </c>
    </row>
    <row r="724" spans="1:11" ht="26.25" x14ac:dyDescent="0.25">
      <c r="A724" s="283" t="s">
        <v>314</v>
      </c>
      <c r="B724" s="284" t="s">
        <v>2149</v>
      </c>
      <c r="C724" s="284"/>
      <c r="D724" s="284"/>
      <c r="E724" s="284"/>
      <c r="F724" s="285" t="s">
        <v>2150</v>
      </c>
      <c r="G724" s="288" t="s">
        <v>2151</v>
      </c>
      <c r="H724" s="285"/>
      <c r="I724" s="285"/>
      <c r="J724" s="286">
        <v>100</v>
      </c>
      <c r="K724" s="287">
        <v>0.15</v>
      </c>
    </row>
    <row r="725" spans="1:11" ht="26.25" x14ac:dyDescent="0.25">
      <c r="A725" s="283" t="s">
        <v>314</v>
      </c>
      <c r="B725" s="284" t="s">
        <v>2152</v>
      </c>
      <c r="C725" s="284"/>
      <c r="D725" s="284"/>
      <c r="E725" s="284"/>
      <c r="F725" s="285" t="s">
        <v>2153</v>
      </c>
      <c r="G725" s="288" t="s">
        <v>2154</v>
      </c>
      <c r="H725" s="285"/>
      <c r="I725" s="285"/>
      <c r="J725" s="286">
        <v>100</v>
      </c>
      <c r="K725" s="287">
        <v>0.15</v>
      </c>
    </row>
    <row r="726" spans="1:11" ht="26.25" x14ac:dyDescent="0.25">
      <c r="A726" s="283" t="s">
        <v>314</v>
      </c>
      <c r="B726" s="284" t="s">
        <v>2155</v>
      </c>
      <c r="C726" s="284"/>
      <c r="D726" s="284"/>
      <c r="E726" s="284"/>
      <c r="F726" s="285" t="s">
        <v>2156</v>
      </c>
      <c r="G726" s="288" t="s">
        <v>2157</v>
      </c>
      <c r="H726" s="285"/>
      <c r="I726" s="285"/>
      <c r="J726" s="286">
        <v>100</v>
      </c>
      <c r="K726" s="287">
        <v>0.15</v>
      </c>
    </row>
    <row r="727" spans="1:11" x14ac:dyDescent="0.25">
      <c r="A727" s="283" t="s">
        <v>314</v>
      </c>
      <c r="B727" s="284" t="s">
        <v>2158</v>
      </c>
      <c r="C727" s="284"/>
      <c r="D727" s="284"/>
      <c r="E727" s="284"/>
      <c r="F727" s="285" t="s">
        <v>2159</v>
      </c>
      <c r="G727" s="285" t="s">
        <v>2160</v>
      </c>
      <c r="H727" s="285" t="s">
        <v>1063</v>
      </c>
      <c r="I727" s="285"/>
      <c r="J727" s="286">
        <v>100</v>
      </c>
      <c r="K727" s="287">
        <v>0.15</v>
      </c>
    </row>
    <row r="728" spans="1:11" x14ac:dyDescent="0.25">
      <c r="A728" s="31" t="s">
        <v>314</v>
      </c>
      <c r="B728" s="71" t="s">
        <v>2161</v>
      </c>
      <c r="C728" s="71"/>
      <c r="D728" s="71"/>
      <c r="E728" s="71"/>
      <c r="F728" s="32" t="s">
        <v>2162</v>
      </c>
      <c r="G728" s="103" t="s">
        <v>2163</v>
      </c>
      <c r="H728" s="32" t="s">
        <v>1063</v>
      </c>
      <c r="I728" s="32"/>
      <c r="J728" s="33">
        <v>100</v>
      </c>
      <c r="K728" s="34">
        <v>0.15</v>
      </c>
    </row>
    <row r="729" spans="1:11" x14ac:dyDescent="0.25">
      <c r="A729" s="31" t="s">
        <v>314</v>
      </c>
      <c r="B729" s="71" t="s">
        <v>2164</v>
      </c>
      <c r="C729" s="71"/>
      <c r="D729" s="71"/>
      <c r="E729" s="71"/>
      <c r="F729" s="32" t="s">
        <v>2165</v>
      </c>
      <c r="G729" s="32"/>
      <c r="H729" s="32"/>
      <c r="I729" s="32"/>
      <c r="J729" s="33">
        <v>80</v>
      </c>
      <c r="K729" s="34">
        <v>0.15</v>
      </c>
    </row>
    <row r="730" spans="1:11" x14ac:dyDescent="0.25">
      <c r="A730" s="283" t="s">
        <v>314</v>
      </c>
      <c r="B730" s="284" t="s">
        <v>2166</v>
      </c>
      <c r="C730" s="284"/>
      <c r="D730" s="284"/>
      <c r="E730" s="284"/>
      <c r="F730" s="285" t="s">
        <v>2167</v>
      </c>
      <c r="G730" s="285" t="s">
        <v>2168</v>
      </c>
      <c r="H730" s="285"/>
      <c r="I730" s="285"/>
      <c r="J730" s="286">
        <v>80</v>
      </c>
      <c r="K730" s="287">
        <v>0.15</v>
      </c>
    </row>
    <row r="731" spans="1:11" x14ac:dyDescent="0.25">
      <c r="A731" s="283" t="s">
        <v>314</v>
      </c>
      <c r="B731" s="284" t="s">
        <v>2169</v>
      </c>
      <c r="C731" s="284"/>
      <c r="D731" s="284"/>
      <c r="E731" s="284"/>
      <c r="F731" s="285" t="s">
        <v>2170</v>
      </c>
      <c r="G731" s="285" t="s">
        <v>2171</v>
      </c>
      <c r="H731" s="285"/>
      <c r="I731" s="285"/>
      <c r="J731" s="547">
        <v>80</v>
      </c>
      <c r="K731" s="550">
        <v>0.15</v>
      </c>
    </row>
    <row r="732" spans="1:11" x14ac:dyDescent="0.25">
      <c r="A732" s="325" t="s">
        <v>314</v>
      </c>
      <c r="B732" s="340" t="s">
        <v>2172</v>
      </c>
      <c r="C732" s="340"/>
      <c r="D732" s="340"/>
      <c r="E732" s="340"/>
      <c r="F732" s="329" t="s">
        <v>2173</v>
      </c>
      <c r="G732" s="329" t="s">
        <v>2174</v>
      </c>
      <c r="H732" s="329" t="s">
        <v>2122</v>
      </c>
      <c r="I732" s="329" t="s">
        <v>1040</v>
      </c>
      <c r="J732" s="379">
        <v>1800</v>
      </c>
      <c r="K732" s="384">
        <v>0.13</v>
      </c>
    </row>
    <row r="733" spans="1:11" x14ac:dyDescent="0.25">
      <c r="A733" s="325" t="s">
        <v>314</v>
      </c>
      <c r="B733" s="340" t="s">
        <v>2175</v>
      </c>
      <c r="C733" s="340"/>
      <c r="D733" s="340"/>
      <c r="E733" s="340"/>
      <c r="F733" s="329" t="s">
        <v>2176</v>
      </c>
      <c r="G733" s="329" t="s">
        <v>2177</v>
      </c>
      <c r="H733" s="329"/>
      <c r="I733" s="329"/>
      <c r="J733" s="379">
        <v>500</v>
      </c>
      <c r="K733" s="384">
        <v>0.13</v>
      </c>
    </row>
    <row r="734" spans="1:11" x14ac:dyDescent="0.25">
      <c r="A734" s="283" t="s">
        <v>314</v>
      </c>
      <c r="B734" s="284" t="s">
        <v>2178</v>
      </c>
      <c r="C734" s="284"/>
      <c r="D734" s="284" t="s">
        <v>2179</v>
      </c>
      <c r="E734" s="284"/>
      <c r="F734" s="285" t="s">
        <v>2180</v>
      </c>
      <c r="G734" s="285" t="s">
        <v>2181</v>
      </c>
      <c r="H734" s="285" t="s">
        <v>1039</v>
      </c>
      <c r="I734" s="285" t="s">
        <v>1040</v>
      </c>
      <c r="J734" s="286">
        <v>300</v>
      </c>
      <c r="K734" s="287">
        <v>0.13</v>
      </c>
    </row>
    <row r="735" spans="1:11" x14ac:dyDescent="0.25">
      <c r="A735" s="283" t="s">
        <v>314</v>
      </c>
      <c r="B735" s="284" t="s">
        <v>2182</v>
      </c>
      <c r="C735" s="356" t="s">
        <v>499</v>
      </c>
      <c r="D735" s="284"/>
      <c r="E735" s="284"/>
      <c r="F735" s="285" t="s">
        <v>2183</v>
      </c>
      <c r="G735" s="285" t="s">
        <v>2184</v>
      </c>
      <c r="H735" s="285"/>
      <c r="I735" s="285" t="s">
        <v>1040</v>
      </c>
      <c r="J735" s="286">
        <v>200</v>
      </c>
      <c r="K735" s="287">
        <v>0.13</v>
      </c>
    </row>
    <row r="736" spans="1:11" s="301" customFormat="1" x14ac:dyDescent="0.25">
      <c r="A736" s="31" t="s">
        <v>314</v>
      </c>
      <c r="B736" s="71" t="s">
        <v>2185</v>
      </c>
      <c r="C736" s="71"/>
      <c r="D736" s="71"/>
      <c r="E736" s="71"/>
      <c r="F736" s="32" t="s">
        <v>2186</v>
      </c>
      <c r="G736" s="32" t="s">
        <v>2187</v>
      </c>
      <c r="H736" s="32" t="s">
        <v>1039</v>
      </c>
      <c r="I736" s="32" t="s">
        <v>1040</v>
      </c>
      <c r="J736" s="33">
        <v>500</v>
      </c>
      <c r="K736" s="34">
        <v>0.11</v>
      </c>
    </row>
    <row r="737" spans="1:11" x14ac:dyDescent="0.25">
      <c r="A737" s="51" t="s">
        <v>27</v>
      </c>
      <c r="B737" s="51" t="s">
        <v>2188</v>
      </c>
      <c r="C737" s="51"/>
      <c r="D737" s="51"/>
      <c r="E737" s="51"/>
      <c r="F737" s="151" t="s">
        <v>2189</v>
      </c>
      <c r="G737" s="51" t="s">
        <v>2190</v>
      </c>
      <c r="H737" s="52" t="s">
        <v>1356</v>
      </c>
      <c r="I737" s="52"/>
      <c r="J737" s="54">
        <v>8</v>
      </c>
      <c r="K737" s="38">
        <v>0.1</v>
      </c>
    </row>
    <row r="738" spans="1:11" x14ac:dyDescent="0.25">
      <c r="A738" s="279" t="s">
        <v>27</v>
      </c>
      <c r="B738" s="279" t="s">
        <v>2191</v>
      </c>
      <c r="C738" s="279"/>
      <c r="D738" s="279"/>
      <c r="E738" s="279"/>
      <c r="F738" s="280" t="s">
        <v>2192</v>
      </c>
      <c r="G738" s="280" t="s">
        <v>2193</v>
      </c>
      <c r="H738" s="280" t="s">
        <v>1356</v>
      </c>
      <c r="I738" s="280"/>
      <c r="J738" s="281">
        <v>8</v>
      </c>
      <c r="K738" s="282">
        <v>0.1</v>
      </c>
    </row>
    <row r="739" spans="1:11" x14ac:dyDescent="0.25">
      <c r="A739" s="31" t="s">
        <v>314</v>
      </c>
      <c r="B739" s="71" t="s">
        <v>2194</v>
      </c>
      <c r="C739" s="71"/>
      <c r="D739" s="71"/>
      <c r="E739" s="71"/>
      <c r="F739" s="32" t="s">
        <v>2195</v>
      </c>
      <c r="G739" s="32" t="s">
        <v>2196</v>
      </c>
      <c r="H739" s="32" t="s">
        <v>2197</v>
      </c>
      <c r="I739" s="32" t="s">
        <v>1133</v>
      </c>
      <c r="J739" s="33">
        <v>200</v>
      </c>
      <c r="K739" s="38">
        <v>9.74E-2</v>
      </c>
    </row>
    <row r="740" spans="1:11" x14ac:dyDescent="0.25">
      <c r="A740" s="283" t="s">
        <v>314</v>
      </c>
      <c r="B740" s="284" t="s">
        <v>2198</v>
      </c>
      <c r="C740" s="284"/>
      <c r="D740" s="284" t="s">
        <v>2199</v>
      </c>
      <c r="E740" s="284"/>
      <c r="F740" s="285" t="s">
        <v>2200</v>
      </c>
      <c r="G740" s="285" t="s">
        <v>2201</v>
      </c>
      <c r="H740" s="285" t="s">
        <v>2202</v>
      </c>
      <c r="I740" s="285" t="s">
        <v>1040</v>
      </c>
      <c r="J740" s="286">
        <v>300</v>
      </c>
      <c r="K740" s="287">
        <v>0.09</v>
      </c>
    </row>
    <row r="741" spans="1:11" x14ac:dyDescent="0.25">
      <c r="A741" s="283" t="s">
        <v>314</v>
      </c>
      <c r="B741" s="284" t="s">
        <v>2203</v>
      </c>
      <c r="C741" s="356" t="s">
        <v>499</v>
      </c>
      <c r="D741" s="284"/>
      <c r="E741" s="284"/>
      <c r="F741" s="285" t="s">
        <v>2204</v>
      </c>
      <c r="G741" s="285" t="s">
        <v>2205</v>
      </c>
      <c r="H741" s="285"/>
      <c r="I741" s="285"/>
      <c r="J741" s="286">
        <v>100</v>
      </c>
      <c r="K741" s="287">
        <v>0.08</v>
      </c>
    </row>
    <row r="742" spans="1:11" x14ac:dyDescent="0.25">
      <c r="A742" s="283" t="s">
        <v>314</v>
      </c>
      <c r="B742" s="284" t="s">
        <v>2206</v>
      </c>
      <c r="C742" s="284"/>
      <c r="D742" s="284"/>
      <c r="E742" s="284"/>
      <c r="F742" s="285" t="s">
        <v>2207</v>
      </c>
      <c r="G742" s="285" t="s">
        <v>2208</v>
      </c>
      <c r="H742" s="285"/>
      <c r="I742" s="285"/>
      <c r="J742" s="286">
        <v>40</v>
      </c>
      <c r="K742" s="287">
        <v>0.08</v>
      </c>
    </row>
    <row r="743" spans="1:11" x14ac:dyDescent="0.25">
      <c r="A743" s="31" t="s">
        <v>314</v>
      </c>
      <c r="B743" s="71" t="s">
        <v>2209</v>
      </c>
      <c r="C743" s="71"/>
      <c r="D743" s="71"/>
      <c r="E743" s="71"/>
      <c r="F743" s="32" t="s">
        <v>2210</v>
      </c>
      <c r="G743" s="32" t="s">
        <v>2211</v>
      </c>
      <c r="H743" s="32"/>
      <c r="I743" s="32"/>
      <c r="J743" s="33">
        <v>150</v>
      </c>
      <c r="K743" s="34">
        <v>7.0000000000000007E-2</v>
      </c>
    </row>
    <row r="744" spans="1:11" x14ac:dyDescent="0.25">
      <c r="A744" s="31" t="s">
        <v>314</v>
      </c>
      <c r="B744" s="71" t="s">
        <v>2212</v>
      </c>
      <c r="C744" s="351" t="s">
        <v>499</v>
      </c>
      <c r="D744" s="71"/>
      <c r="E744" s="71"/>
      <c r="F744" s="32" t="s">
        <v>2213</v>
      </c>
      <c r="G744" s="32" t="s">
        <v>2214</v>
      </c>
      <c r="H744" s="32" t="s">
        <v>1540</v>
      </c>
      <c r="I744" s="32"/>
      <c r="J744" s="33">
        <v>300</v>
      </c>
      <c r="K744" s="34">
        <v>0.06</v>
      </c>
    </row>
    <row r="745" spans="1:11" x14ac:dyDescent="0.25">
      <c r="A745" s="283" t="s">
        <v>314</v>
      </c>
      <c r="B745" s="284" t="s">
        <v>2215</v>
      </c>
      <c r="C745" s="284"/>
      <c r="D745" s="284"/>
      <c r="E745" s="284"/>
      <c r="F745" s="285" t="s">
        <v>2216</v>
      </c>
      <c r="G745" s="285" t="s">
        <v>2217</v>
      </c>
      <c r="H745" s="285" t="s">
        <v>2218</v>
      </c>
      <c r="I745" s="285" t="s">
        <v>1040</v>
      </c>
      <c r="J745" s="286">
        <v>200</v>
      </c>
      <c r="K745" s="287">
        <v>0.06</v>
      </c>
    </row>
    <row r="746" spans="1:11" x14ac:dyDescent="0.25">
      <c r="A746" s="283" t="s">
        <v>314</v>
      </c>
      <c r="B746" s="284" t="s">
        <v>2219</v>
      </c>
      <c r="C746" s="356" t="s">
        <v>499</v>
      </c>
      <c r="D746" s="284"/>
      <c r="E746" s="284"/>
      <c r="F746" s="285" t="s">
        <v>2220</v>
      </c>
      <c r="G746" s="285" t="s">
        <v>2221</v>
      </c>
      <c r="H746" s="285"/>
      <c r="I746" s="285"/>
      <c r="J746" s="286">
        <v>200</v>
      </c>
      <c r="K746" s="287">
        <v>0.05</v>
      </c>
    </row>
    <row r="747" spans="1:11" x14ac:dyDescent="0.25">
      <c r="A747" s="51" t="s">
        <v>27</v>
      </c>
      <c r="B747" s="51" t="s">
        <v>2222</v>
      </c>
      <c r="C747" s="51"/>
      <c r="D747" s="51" t="s">
        <v>1634</v>
      </c>
      <c r="E747" s="51"/>
      <c r="F747" s="52" t="s">
        <v>2223</v>
      </c>
      <c r="G747" s="52" t="s">
        <v>2224</v>
      </c>
      <c r="H747" s="52" t="s">
        <v>1356</v>
      </c>
      <c r="I747" s="52"/>
      <c r="J747" s="54">
        <v>8</v>
      </c>
      <c r="K747" s="38">
        <v>0.05</v>
      </c>
    </row>
    <row r="748" spans="1:11" x14ac:dyDescent="0.25">
      <c r="A748" s="51" t="s">
        <v>27</v>
      </c>
      <c r="B748" s="51" t="s">
        <v>2225</v>
      </c>
      <c r="C748" s="51"/>
      <c r="D748" s="51"/>
      <c r="E748" s="51"/>
      <c r="F748" s="52" t="s">
        <v>2226</v>
      </c>
      <c r="G748" s="52" t="s">
        <v>2227</v>
      </c>
      <c r="H748" s="52" t="s">
        <v>1356</v>
      </c>
      <c r="I748" s="52"/>
      <c r="J748" s="54">
        <v>8</v>
      </c>
      <c r="K748" s="38">
        <v>0.05</v>
      </c>
    </row>
    <row r="749" spans="1:11" x14ac:dyDescent="0.25">
      <c r="A749" s="279" t="s">
        <v>27</v>
      </c>
      <c r="B749" s="279" t="s">
        <v>2228</v>
      </c>
      <c r="C749" s="279"/>
      <c r="D749" s="279"/>
      <c r="E749" s="279"/>
      <c r="F749" s="280" t="s">
        <v>2229</v>
      </c>
      <c r="G749" s="279" t="s">
        <v>2230</v>
      </c>
      <c r="H749" s="280" t="s">
        <v>1356</v>
      </c>
      <c r="I749" s="280"/>
      <c r="J749" s="281">
        <v>8</v>
      </c>
      <c r="K749" s="282">
        <v>0.05</v>
      </c>
    </row>
    <row r="750" spans="1:11" x14ac:dyDescent="0.25">
      <c r="A750" s="279" t="s">
        <v>27</v>
      </c>
      <c r="B750" s="279" t="s">
        <v>2231</v>
      </c>
      <c r="C750" s="279"/>
      <c r="D750" s="279"/>
      <c r="E750" s="279"/>
      <c r="F750" s="280" t="s">
        <v>2232</v>
      </c>
      <c r="G750" s="279" t="s">
        <v>2233</v>
      </c>
      <c r="H750" s="280" t="s">
        <v>1356</v>
      </c>
      <c r="I750" s="280"/>
      <c r="J750" s="281">
        <v>8</v>
      </c>
      <c r="K750" s="282">
        <v>0.05</v>
      </c>
    </row>
    <row r="751" spans="1:11" x14ac:dyDescent="0.25">
      <c r="A751" s="283" t="s">
        <v>314</v>
      </c>
      <c r="B751" s="284" t="s">
        <v>2234</v>
      </c>
      <c r="C751" s="284"/>
      <c r="D751" s="284"/>
      <c r="E751" s="284" t="s">
        <v>2235</v>
      </c>
      <c r="F751" s="285" t="s">
        <v>2236</v>
      </c>
      <c r="G751" s="285" t="s">
        <v>2237</v>
      </c>
      <c r="H751" s="285" t="s">
        <v>2238</v>
      </c>
      <c r="I751" s="285" t="s">
        <v>1040</v>
      </c>
      <c r="J751" s="286">
        <v>600</v>
      </c>
      <c r="K751" s="287">
        <v>0.04</v>
      </c>
    </row>
    <row r="752" spans="1:11" x14ac:dyDescent="0.25">
      <c r="A752" s="283" t="s">
        <v>314</v>
      </c>
      <c r="B752" s="284" t="s">
        <v>2239</v>
      </c>
      <c r="C752" s="356" t="s">
        <v>499</v>
      </c>
      <c r="D752" s="284"/>
      <c r="E752" s="284"/>
      <c r="F752" s="285" t="s">
        <v>2240</v>
      </c>
      <c r="G752" s="285" t="s">
        <v>2241</v>
      </c>
      <c r="H752" s="285" t="s">
        <v>2242</v>
      </c>
      <c r="I752" s="285"/>
      <c r="J752" s="286">
        <v>300</v>
      </c>
      <c r="K752" s="287">
        <v>0.04</v>
      </c>
    </row>
    <row r="753" spans="1:11" x14ac:dyDescent="0.25">
      <c r="A753" s="283" t="s">
        <v>314</v>
      </c>
      <c r="B753" s="284" t="s">
        <v>2243</v>
      </c>
      <c r="C753" s="284"/>
      <c r="D753" s="284"/>
      <c r="E753" s="284"/>
      <c r="F753" s="285" t="s">
        <v>2244</v>
      </c>
      <c r="G753" s="285" t="s">
        <v>2245</v>
      </c>
      <c r="H753" s="285" t="s">
        <v>1039</v>
      </c>
      <c r="I753" s="285" t="s">
        <v>1040</v>
      </c>
      <c r="J753" s="286">
        <v>200</v>
      </c>
      <c r="K753" s="287">
        <v>0.04</v>
      </c>
    </row>
    <row r="754" spans="1:11" x14ac:dyDescent="0.25">
      <c r="A754" s="31" t="s">
        <v>314</v>
      </c>
      <c r="B754" s="71" t="s">
        <v>2246</v>
      </c>
      <c r="C754" s="71"/>
      <c r="D754" s="71"/>
      <c r="E754" s="71"/>
      <c r="F754" s="32" t="s">
        <v>2247</v>
      </c>
      <c r="G754" s="32" t="s">
        <v>2248</v>
      </c>
      <c r="H754" s="32" t="s">
        <v>488</v>
      </c>
      <c r="I754" s="32"/>
      <c r="J754" s="33">
        <v>200</v>
      </c>
      <c r="K754" s="34">
        <v>0.04</v>
      </c>
    </row>
    <row r="755" spans="1:11" x14ac:dyDescent="0.25">
      <c r="A755" s="283" t="s">
        <v>314</v>
      </c>
      <c r="B755" s="284" t="s">
        <v>2249</v>
      </c>
      <c r="C755" s="356" t="s">
        <v>499</v>
      </c>
      <c r="D755" s="284"/>
      <c r="E755" s="284"/>
      <c r="F755" s="285" t="s">
        <v>2250</v>
      </c>
      <c r="G755" s="285" t="s">
        <v>2251</v>
      </c>
      <c r="H755" s="285" t="s">
        <v>461</v>
      </c>
      <c r="I755" s="285" t="s">
        <v>1040</v>
      </c>
      <c r="J755" s="286">
        <v>200</v>
      </c>
      <c r="K755" s="287">
        <v>0.04</v>
      </c>
    </row>
    <row r="756" spans="1:11" x14ac:dyDescent="0.25">
      <c r="A756" s="31" t="s">
        <v>314</v>
      </c>
      <c r="B756" s="71" t="s">
        <v>2252</v>
      </c>
      <c r="C756" s="351" t="s">
        <v>499</v>
      </c>
      <c r="D756" s="71"/>
      <c r="E756" s="71"/>
      <c r="F756" s="32" t="s">
        <v>2253</v>
      </c>
      <c r="G756" s="32" t="s">
        <v>2254</v>
      </c>
      <c r="H756" s="32" t="s">
        <v>2242</v>
      </c>
      <c r="I756" s="32"/>
      <c r="J756" s="33">
        <v>200</v>
      </c>
      <c r="K756" s="34">
        <v>0.04</v>
      </c>
    </row>
    <row r="757" spans="1:11" x14ac:dyDescent="0.25">
      <c r="A757" s="31" t="s">
        <v>314</v>
      </c>
      <c r="B757" s="71" t="s">
        <v>2255</v>
      </c>
      <c r="C757" s="71"/>
      <c r="D757" s="71"/>
      <c r="E757" s="71"/>
      <c r="F757" s="32" t="s">
        <v>2256</v>
      </c>
      <c r="G757" s="32" t="s">
        <v>2257</v>
      </c>
      <c r="H757" s="32"/>
      <c r="I757" s="32"/>
      <c r="J757" s="33">
        <v>100</v>
      </c>
      <c r="K757" s="34">
        <v>0.04</v>
      </c>
    </row>
    <row r="758" spans="1:11" x14ac:dyDescent="0.25">
      <c r="A758" s="283" t="s">
        <v>314</v>
      </c>
      <c r="B758" s="284" t="s">
        <v>2234</v>
      </c>
      <c r="C758" s="284"/>
      <c r="D758" s="284"/>
      <c r="E758" s="284" t="s">
        <v>2235</v>
      </c>
      <c r="F758" s="285" t="s">
        <v>2236</v>
      </c>
      <c r="G758" s="285" t="s">
        <v>2237</v>
      </c>
      <c r="H758" s="285" t="s">
        <v>2238</v>
      </c>
      <c r="I758" s="285" t="s">
        <v>1040</v>
      </c>
      <c r="J758" s="286">
        <v>100</v>
      </c>
      <c r="K758" s="287">
        <v>0.04</v>
      </c>
    </row>
    <row r="759" spans="1:11" x14ac:dyDescent="0.25">
      <c r="A759" s="31" t="s">
        <v>314</v>
      </c>
      <c r="B759" s="71" t="s">
        <v>2258</v>
      </c>
      <c r="C759" s="71"/>
      <c r="D759" s="71">
        <v>1233525320100</v>
      </c>
      <c r="E759" s="71"/>
      <c r="F759" s="32" t="s">
        <v>2259</v>
      </c>
      <c r="G759" s="32" t="s">
        <v>2258</v>
      </c>
      <c r="H759" s="32" t="s">
        <v>1688</v>
      </c>
      <c r="I759" s="32" t="s">
        <v>1133</v>
      </c>
      <c r="J759" s="33">
        <v>5000</v>
      </c>
      <c r="K759" s="34">
        <v>0.03</v>
      </c>
    </row>
    <row r="760" spans="1:11" x14ac:dyDescent="0.25">
      <c r="A760" s="31" t="s">
        <v>314</v>
      </c>
      <c r="B760" s="71" t="s">
        <v>2260</v>
      </c>
      <c r="C760" s="71"/>
      <c r="D760" s="71"/>
      <c r="E760" s="71"/>
      <c r="F760" s="32" t="s">
        <v>2261</v>
      </c>
      <c r="G760" s="32" t="s">
        <v>2260</v>
      </c>
      <c r="H760" s="32" t="s">
        <v>1688</v>
      </c>
      <c r="I760" s="32" t="s">
        <v>1133</v>
      </c>
      <c r="J760" s="33">
        <v>4000</v>
      </c>
      <c r="K760" s="34">
        <v>0.03</v>
      </c>
    </row>
    <row r="761" spans="1:11" x14ac:dyDescent="0.25">
      <c r="A761" s="31" t="s">
        <v>314</v>
      </c>
      <c r="B761" s="71" t="s">
        <v>2262</v>
      </c>
      <c r="C761" s="353"/>
      <c r="D761" s="71">
        <v>1233525220900</v>
      </c>
      <c r="E761" s="71"/>
      <c r="F761" s="32" t="s">
        <v>2263</v>
      </c>
      <c r="G761" s="32" t="s">
        <v>2262</v>
      </c>
      <c r="H761" s="32" t="s">
        <v>1688</v>
      </c>
      <c r="I761" s="32" t="s">
        <v>1133</v>
      </c>
      <c r="J761" s="33">
        <v>4000</v>
      </c>
      <c r="K761" s="34">
        <v>0.03</v>
      </c>
    </row>
    <row r="762" spans="1:11" x14ac:dyDescent="0.25">
      <c r="A762" s="51" t="s">
        <v>27</v>
      </c>
      <c r="B762" s="51" t="s">
        <v>2264</v>
      </c>
      <c r="C762" s="196"/>
      <c r="D762" s="51"/>
      <c r="E762" s="51"/>
      <c r="F762" s="52" t="s">
        <v>2265</v>
      </c>
      <c r="G762" s="52" t="s">
        <v>2266</v>
      </c>
      <c r="H762" s="52" t="s">
        <v>1122</v>
      </c>
      <c r="I762" s="52" t="s">
        <v>1122</v>
      </c>
      <c r="J762" s="54">
        <v>4</v>
      </c>
      <c r="K762" s="38">
        <v>0.03</v>
      </c>
    </row>
    <row r="763" spans="1:11" x14ac:dyDescent="0.25">
      <c r="A763" s="51" t="s">
        <v>27</v>
      </c>
      <c r="B763" s="51" t="s">
        <v>2267</v>
      </c>
      <c r="C763" s="51"/>
      <c r="D763" s="51"/>
      <c r="E763" s="51"/>
      <c r="F763" s="52" t="s">
        <v>2268</v>
      </c>
      <c r="G763" s="52" t="s">
        <v>2269</v>
      </c>
      <c r="H763" s="52"/>
      <c r="I763" s="52"/>
      <c r="J763" s="54">
        <v>4</v>
      </c>
      <c r="K763" s="38">
        <v>0.03</v>
      </c>
    </row>
    <row r="764" spans="1:11" x14ac:dyDescent="0.25">
      <c r="A764" s="31" t="s">
        <v>314</v>
      </c>
      <c r="B764" s="71" t="s">
        <v>2270</v>
      </c>
      <c r="C764" s="71"/>
      <c r="D764" s="71"/>
      <c r="E764" s="71"/>
      <c r="F764" s="32" t="s">
        <v>2271</v>
      </c>
      <c r="G764" s="32" t="s">
        <v>2272</v>
      </c>
      <c r="H764" s="32" t="s">
        <v>519</v>
      </c>
      <c r="I764" s="32" t="s">
        <v>2273</v>
      </c>
      <c r="J764" s="33">
        <v>500</v>
      </c>
      <c r="K764" s="34">
        <v>0.02</v>
      </c>
    </row>
    <row r="765" spans="1:11" x14ac:dyDescent="0.25">
      <c r="A765" s="31" t="s">
        <v>314</v>
      </c>
      <c r="B765" s="71" t="s">
        <v>2274</v>
      </c>
      <c r="C765" s="71"/>
      <c r="D765" s="71" t="s">
        <v>2275</v>
      </c>
      <c r="E765" s="71"/>
      <c r="F765" s="32" t="s">
        <v>2276</v>
      </c>
      <c r="G765" s="32" t="s">
        <v>2277</v>
      </c>
      <c r="H765" s="32" t="s">
        <v>1730</v>
      </c>
      <c r="I765" s="32" t="s">
        <v>586</v>
      </c>
      <c r="J765" s="33">
        <v>400</v>
      </c>
      <c r="K765" s="34">
        <v>0.02</v>
      </c>
    </row>
    <row r="766" spans="1:11" x14ac:dyDescent="0.25">
      <c r="A766" s="31" t="s">
        <v>314</v>
      </c>
      <c r="B766" s="71" t="s">
        <v>2278</v>
      </c>
      <c r="C766" s="71"/>
      <c r="D766" s="71"/>
      <c r="E766" s="71"/>
      <c r="F766" s="32" t="s">
        <v>2279</v>
      </c>
      <c r="G766" s="32" t="s">
        <v>1194</v>
      </c>
      <c r="H766" s="32" t="s">
        <v>1730</v>
      </c>
      <c r="I766" s="32" t="s">
        <v>586</v>
      </c>
      <c r="J766" s="33">
        <v>400</v>
      </c>
      <c r="K766" s="34">
        <v>0.02</v>
      </c>
    </row>
    <row r="767" spans="1:11" x14ac:dyDescent="0.25">
      <c r="A767" s="31" t="s">
        <v>51</v>
      </c>
      <c r="B767" s="31"/>
      <c r="C767" s="31"/>
      <c r="D767" s="31"/>
      <c r="E767" s="31"/>
      <c r="F767" s="32" t="s">
        <v>2280</v>
      </c>
      <c r="G767" s="32"/>
      <c r="H767" s="32" t="s">
        <v>53</v>
      </c>
      <c r="I767" s="32" t="s">
        <v>53</v>
      </c>
      <c r="J767" s="33">
        <v>1</v>
      </c>
      <c r="K767" s="34">
        <v>0</v>
      </c>
    </row>
    <row r="768" spans="1:11" x14ac:dyDescent="0.25">
      <c r="A768" s="51" t="s">
        <v>298</v>
      </c>
      <c r="B768" s="51" t="s">
        <v>2281</v>
      </c>
      <c r="C768" s="51"/>
      <c r="D768" s="51"/>
      <c r="E768" s="51"/>
      <c r="F768" s="32" t="s">
        <v>2282</v>
      </c>
      <c r="G768" s="32" t="s">
        <v>2281</v>
      </c>
      <c r="H768" s="52"/>
      <c r="I768" s="32" t="s">
        <v>301</v>
      </c>
      <c r="J768" s="54">
        <v>1</v>
      </c>
      <c r="K768" s="38">
        <v>0</v>
      </c>
    </row>
    <row r="769" spans="1:11" x14ac:dyDescent="0.25">
      <c r="A769" s="51" t="s">
        <v>298</v>
      </c>
      <c r="B769" s="51" t="s">
        <v>70</v>
      </c>
      <c r="C769" s="51"/>
      <c r="D769" s="51"/>
      <c r="E769" s="51"/>
      <c r="F769" s="32" t="s">
        <v>2283</v>
      </c>
      <c r="G769" s="32" t="s">
        <v>70</v>
      </c>
      <c r="H769" s="52"/>
      <c r="I769" s="32" t="s">
        <v>301</v>
      </c>
      <c r="J769" s="54">
        <v>1</v>
      </c>
      <c r="K769" s="38">
        <v>0</v>
      </c>
    </row>
    <row r="770" spans="1:11" x14ac:dyDescent="0.25">
      <c r="A770" s="51" t="s">
        <v>298</v>
      </c>
      <c r="B770" s="51" t="s">
        <v>70</v>
      </c>
      <c r="C770" s="51"/>
      <c r="D770" s="51"/>
      <c r="E770" s="51"/>
      <c r="F770" s="32" t="s">
        <v>2284</v>
      </c>
      <c r="G770" s="32" t="s">
        <v>70</v>
      </c>
      <c r="H770" s="52"/>
      <c r="I770" s="32" t="s">
        <v>301</v>
      </c>
      <c r="J770" s="54">
        <v>1</v>
      </c>
      <c r="K770" s="38">
        <v>0</v>
      </c>
    </row>
    <row r="771" spans="1:11" x14ac:dyDescent="0.25">
      <c r="A771" s="31" t="s">
        <v>298</v>
      </c>
      <c r="B771" s="31" t="s">
        <v>70</v>
      </c>
      <c r="C771" s="31"/>
      <c r="D771" s="31"/>
      <c r="E771" s="31"/>
      <c r="F771" s="32" t="s">
        <v>2285</v>
      </c>
      <c r="G771" s="32" t="s">
        <v>70</v>
      </c>
      <c r="H771" s="52"/>
      <c r="I771" s="32" t="s">
        <v>301</v>
      </c>
      <c r="J771" s="54">
        <v>1</v>
      </c>
      <c r="K771" s="38">
        <v>0</v>
      </c>
    </row>
    <row r="772" spans="1:11" x14ac:dyDescent="0.25">
      <c r="A772" s="51" t="s">
        <v>298</v>
      </c>
      <c r="B772" s="51" t="s">
        <v>2286</v>
      </c>
      <c r="C772" s="51"/>
      <c r="D772" s="51"/>
      <c r="E772" s="51"/>
      <c r="F772" s="32" t="s">
        <v>2287</v>
      </c>
      <c r="G772" s="32" t="s">
        <v>2286</v>
      </c>
      <c r="H772" s="52"/>
      <c r="I772" s="32" t="s">
        <v>301</v>
      </c>
      <c r="J772" s="54">
        <v>1</v>
      </c>
      <c r="K772" s="38">
        <v>0</v>
      </c>
    </row>
    <row r="773" spans="1:11" x14ac:dyDescent="0.25">
      <c r="A773" s="9" t="s">
        <v>298</v>
      </c>
      <c r="B773" s="533" t="s">
        <v>70</v>
      </c>
      <c r="C773" s="533"/>
      <c r="D773" s="533"/>
      <c r="E773" s="533"/>
      <c r="F773" s="28" t="s">
        <v>2288</v>
      </c>
      <c r="G773" s="28" t="s">
        <v>70</v>
      </c>
      <c r="H773" s="9"/>
      <c r="I773" s="28" t="s">
        <v>301</v>
      </c>
      <c r="J773" s="61">
        <v>1</v>
      </c>
      <c r="K773" s="47">
        <v>0</v>
      </c>
    </row>
    <row r="774" spans="1:11" x14ac:dyDescent="0.25">
      <c r="A774" s="9" t="s">
        <v>298</v>
      </c>
      <c r="B774" s="533" t="s">
        <v>2289</v>
      </c>
      <c r="C774" s="533"/>
      <c r="D774" s="533"/>
      <c r="E774" s="533"/>
      <c r="F774" s="28" t="s">
        <v>2290</v>
      </c>
      <c r="G774" s="28" t="s">
        <v>2289</v>
      </c>
      <c r="H774" s="9"/>
      <c r="I774" s="28" t="s">
        <v>2291</v>
      </c>
      <c r="J774" s="61">
        <v>1</v>
      </c>
      <c r="K774" s="47">
        <v>0</v>
      </c>
    </row>
    <row r="775" spans="1:11" x14ac:dyDescent="0.25">
      <c r="A775" s="52" t="s">
        <v>298</v>
      </c>
      <c r="B775" s="69" t="s">
        <v>2292</v>
      </c>
      <c r="C775" s="69"/>
      <c r="D775" s="69"/>
      <c r="E775" s="69"/>
      <c r="F775" s="32" t="s">
        <v>2293</v>
      </c>
      <c r="G775" s="32" t="s">
        <v>2292</v>
      </c>
      <c r="H775" s="52"/>
      <c r="I775" s="32" t="s">
        <v>2291</v>
      </c>
      <c r="J775" s="54">
        <v>1</v>
      </c>
      <c r="K775" s="38">
        <v>0</v>
      </c>
    </row>
    <row r="776" spans="1:11" x14ac:dyDescent="0.25">
      <c r="A776" s="52" t="s">
        <v>298</v>
      </c>
      <c r="B776" s="69" t="s">
        <v>2294</v>
      </c>
      <c r="C776" s="69"/>
      <c r="D776" s="69"/>
      <c r="E776" s="69"/>
      <c r="F776" s="32" t="s">
        <v>2295</v>
      </c>
      <c r="G776" s="32" t="s">
        <v>2294</v>
      </c>
      <c r="H776" s="52"/>
      <c r="I776" s="32" t="s">
        <v>301</v>
      </c>
      <c r="J776" s="54">
        <v>2</v>
      </c>
      <c r="K776" s="38">
        <v>0</v>
      </c>
    </row>
    <row r="777" spans="1:11" x14ac:dyDescent="0.25">
      <c r="A777" s="52" t="s">
        <v>298</v>
      </c>
      <c r="B777" s="69" t="s">
        <v>2296</v>
      </c>
      <c r="C777" s="69"/>
      <c r="D777" s="69"/>
      <c r="E777" s="69"/>
      <c r="F777" s="32" t="s">
        <v>2297</v>
      </c>
      <c r="G777" s="32" t="s">
        <v>2296</v>
      </c>
      <c r="H777" s="52"/>
      <c r="I777" s="32" t="s">
        <v>2291</v>
      </c>
      <c r="J777" s="54">
        <v>1</v>
      </c>
      <c r="K777" s="38">
        <v>0</v>
      </c>
    </row>
    <row r="778" spans="1:11" x14ac:dyDescent="0.25">
      <c r="A778" s="52" t="s">
        <v>298</v>
      </c>
      <c r="B778" s="69" t="s">
        <v>2298</v>
      </c>
      <c r="C778" s="69"/>
      <c r="D778" s="69"/>
      <c r="E778" s="69"/>
      <c r="F778" s="32" t="s">
        <v>2299</v>
      </c>
      <c r="G778" s="32" t="s">
        <v>2298</v>
      </c>
      <c r="H778" s="52"/>
      <c r="I778" s="32" t="s">
        <v>2291</v>
      </c>
      <c r="J778" s="54">
        <v>1</v>
      </c>
      <c r="K778" s="38">
        <v>0</v>
      </c>
    </row>
    <row r="779" spans="1:11" x14ac:dyDescent="0.25">
      <c r="A779" s="51" t="s">
        <v>298</v>
      </c>
      <c r="B779" s="51" t="s">
        <v>2300</v>
      </c>
      <c r="C779" s="51"/>
      <c r="D779" s="51"/>
      <c r="E779" s="51"/>
      <c r="F779" s="32" t="s">
        <v>2301</v>
      </c>
      <c r="G779" s="51" t="s">
        <v>2300</v>
      </c>
      <c r="H779" s="52"/>
      <c r="I779" s="32" t="s">
        <v>1561</v>
      </c>
      <c r="J779" s="54">
        <v>5</v>
      </c>
      <c r="K779" s="38">
        <v>0</v>
      </c>
    </row>
    <row r="780" spans="1:11" x14ac:dyDescent="0.25">
      <c r="A780" s="221" t="s">
        <v>298</v>
      </c>
      <c r="B780" s="221" t="s">
        <v>2302</v>
      </c>
      <c r="C780" s="221"/>
      <c r="D780" s="221"/>
      <c r="E780" s="221"/>
      <c r="F780" s="118" t="s">
        <v>2303</v>
      </c>
      <c r="G780" s="118" t="s">
        <v>2302</v>
      </c>
      <c r="H780" s="209"/>
      <c r="I780" s="118" t="s">
        <v>301</v>
      </c>
      <c r="J780" s="222">
        <v>1</v>
      </c>
      <c r="K780" s="223">
        <v>0</v>
      </c>
    </row>
    <row r="781" spans="1:11" x14ac:dyDescent="0.25">
      <c r="A781" s="31" t="s">
        <v>108</v>
      </c>
      <c r="B781" s="51" t="s">
        <v>2304</v>
      </c>
      <c r="C781" s="51"/>
      <c r="D781" s="51"/>
      <c r="E781" s="51"/>
      <c r="F781" s="52" t="s">
        <v>2305</v>
      </c>
      <c r="G781" s="52" t="s">
        <v>2306</v>
      </c>
      <c r="H781" s="52"/>
      <c r="I781" s="52"/>
      <c r="J781" s="54">
        <v>1</v>
      </c>
      <c r="K781" s="38">
        <v>0</v>
      </c>
    </row>
    <row r="782" spans="1:11" x14ac:dyDescent="0.25">
      <c r="A782" s="530"/>
      <c r="B782" s="362"/>
      <c r="C782" s="530"/>
      <c r="D782" s="530"/>
      <c r="E782" s="530"/>
      <c r="F782" s="545"/>
      <c r="G782" s="472"/>
      <c r="H782" s="545"/>
      <c r="I782" s="545"/>
      <c r="J782" s="514"/>
      <c r="K782" s="551"/>
    </row>
    <row r="783" spans="1:11" x14ac:dyDescent="0.25">
      <c r="A783" s="51" t="s">
        <v>108</v>
      </c>
      <c r="B783" s="51" t="s">
        <v>2309</v>
      </c>
      <c r="C783" s="51"/>
      <c r="D783" s="253"/>
      <c r="E783" s="253" t="s">
        <v>2310</v>
      </c>
      <c r="F783" s="52" t="s">
        <v>2311</v>
      </c>
      <c r="G783" s="52" t="s">
        <v>2312</v>
      </c>
      <c r="H783" s="52" t="s">
        <v>112</v>
      </c>
      <c r="I783" s="52"/>
      <c r="J783" s="54">
        <v>1</v>
      </c>
      <c r="K783" s="38"/>
    </row>
    <row r="784" spans="1:11" x14ac:dyDescent="0.25">
      <c r="A784" s="51" t="s">
        <v>108</v>
      </c>
      <c r="B784" s="51" t="s">
        <v>2313</v>
      </c>
      <c r="C784" s="51"/>
      <c r="D784" s="253"/>
      <c r="E784" s="253" t="s">
        <v>2314</v>
      </c>
      <c r="F784" s="52" t="s">
        <v>2315</v>
      </c>
      <c r="G784" s="52" t="s">
        <v>2316</v>
      </c>
      <c r="H784" s="52" t="s">
        <v>112</v>
      </c>
      <c r="I784" s="52"/>
      <c r="J784" s="54">
        <v>1</v>
      </c>
      <c r="K784" s="38"/>
    </row>
    <row r="785" spans="1:11" x14ac:dyDescent="0.25">
      <c r="A785" s="31" t="s">
        <v>41</v>
      </c>
      <c r="B785" s="71" t="s">
        <v>2317</v>
      </c>
      <c r="C785" s="71"/>
      <c r="D785" s="71"/>
      <c r="E785" s="71"/>
      <c r="F785" s="32" t="s">
        <v>1197</v>
      </c>
      <c r="G785" s="32" t="s">
        <v>2318</v>
      </c>
      <c r="H785" s="32"/>
      <c r="I785" s="32" t="s">
        <v>461</v>
      </c>
      <c r="J785" s="33">
        <v>10</v>
      </c>
      <c r="K785" s="34"/>
    </row>
    <row r="786" spans="1:11" x14ac:dyDescent="0.25">
      <c r="A786" s="31" t="s">
        <v>41</v>
      </c>
      <c r="B786" s="71" t="s">
        <v>2319</v>
      </c>
      <c r="C786" s="71"/>
      <c r="D786" s="71"/>
      <c r="E786" s="71"/>
      <c r="F786" s="32" t="s">
        <v>2320</v>
      </c>
      <c r="G786" s="32" t="s">
        <v>2321</v>
      </c>
      <c r="H786" s="32"/>
      <c r="I786" s="32" t="s">
        <v>1084</v>
      </c>
      <c r="J786" s="33">
        <v>4</v>
      </c>
      <c r="K786" s="34"/>
    </row>
    <row r="787" spans="1:11" x14ac:dyDescent="0.25">
      <c r="A787" s="31" t="s">
        <v>314</v>
      </c>
      <c r="B787" s="71" t="s">
        <v>2322</v>
      </c>
      <c r="C787" s="71"/>
      <c r="D787" s="71"/>
      <c r="E787" s="71"/>
      <c r="F787" s="32" t="s">
        <v>2323</v>
      </c>
      <c r="G787" s="32" t="s">
        <v>2324</v>
      </c>
      <c r="H787" s="32"/>
      <c r="I787" s="32" t="s">
        <v>2325</v>
      </c>
      <c r="J787" s="33">
        <v>2</v>
      </c>
      <c r="K787" s="34"/>
    </row>
    <row r="788" spans="1:11" x14ac:dyDescent="0.25">
      <c r="A788" s="31" t="s">
        <v>314</v>
      </c>
      <c r="B788" s="71" t="s">
        <v>2326</v>
      </c>
      <c r="C788" s="71"/>
      <c r="D788" s="71"/>
      <c r="E788" s="71"/>
      <c r="F788" s="32" t="s">
        <v>2327</v>
      </c>
      <c r="G788" s="32" t="s">
        <v>2328</v>
      </c>
      <c r="H788" s="32"/>
      <c r="I788" s="32" t="s">
        <v>2325</v>
      </c>
      <c r="J788" s="33">
        <v>7</v>
      </c>
      <c r="K788" s="34"/>
    </row>
    <row r="789" spans="1:11" x14ac:dyDescent="0.25">
      <c r="A789" s="31" t="s">
        <v>314</v>
      </c>
      <c r="B789" s="71" t="s">
        <v>2329</v>
      </c>
      <c r="C789" s="71"/>
      <c r="D789" s="71"/>
      <c r="E789" s="71"/>
      <c r="F789" s="32" t="s">
        <v>2330</v>
      </c>
      <c r="G789" s="32" t="s">
        <v>2331</v>
      </c>
      <c r="H789" s="32"/>
      <c r="I789" s="32" t="s">
        <v>2325</v>
      </c>
      <c r="J789" s="33">
        <v>1</v>
      </c>
      <c r="K789" s="34"/>
    </row>
    <row r="790" spans="1:11" x14ac:dyDescent="0.25">
      <c r="A790" s="31" t="s">
        <v>314</v>
      </c>
      <c r="B790" s="71" t="s">
        <v>2332</v>
      </c>
      <c r="C790" s="71"/>
      <c r="D790" s="71"/>
      <c r="E790" s="71"/>
      <c r="F790" s="32" t="s">
        <v>2333</v>
      </c>
      <c r="G790" s="32" t="s">
        <v>2334</v>
      </c>
      <c r="H790" s="32"/>
      <c r="I790" s="32" t="s">
        <v>2325</v>
      </c>
      <c r="J790" s="33">
        <v>2</v>
      </c>
      <c r="K790" s="34"/>
    </row>
    <row r="791" spans="1:11" x14ac:dyDescent="0.25">
      <c r="A791" s="31" t="s">
        <v>314</v>
      </c>
      <c r="B791" s="71" t="s">
        <v>2335</v>
      </c>
      <c r="C791" s="71"/>
      <c r="D791" s="71"/>
      <c r="E791" s="71"/>
      <c r="F791" s="32" t="s">
        <v>2336</v>
      </c>
      <c r="G791" s="32" t="s">
        <v>2337</v>
      </c>
      <c r="H791" s="32"/>
      <c r="I791" s="32" t="s">
        <v>2325</v>
      </c>
      <c r="J791" s="33">
        <v>5</v>
      </c>
      <c r="K791" s="34"/>
    </row>
    <row r="792" spans="1:11" x14ac:dyDescent="0.25">
      <c r="A792" s="39" t="s">
        <v>314</v>
      </c>
      <c r="B792" s="331" t="s">
        <v>2338</v>
      </c>
      <c r="C792" s="331"/>
      <c r="D792" s="331"/>
      <c r="E792" s="331"/>
      <c r="F792" s="28" t="s">
        <v>2339</v>
      </c>
      <c r="G792" s="28" t="s">
        <v>2340</v>
      </c>
      <c r="H792" s="28"/>
      <c r="I792" s="28" t="s">
        <v>2325</v>
      </c>
      <c r="J792" s="40">
        <v>2</v>
      </c>
      <c r="K792" s="30"/>
    </row>
    <row r="793" spans="1:11" x14ac:dyDescent="0.25">
      <c r="A793" s="39" t="s">
        <v>314</v>
      </c>
      <c r="B793" s="331" t="s">
        <v>2341</v>
      </c>
      <c r="C793" s="331"/>
      <c r="D793" s="331"/>
      <c r="E793" s="331"/>
      <c r="F793" s="28" t="s">
        <v>2342</v>
      </c>
      <c r="G793" s="28" t="s">
        <v>2343</v>
      </c>
      <c r="H793" s="28"/>
      <c r="I793" s="28" t="s">
        <v>2325</v>
      </c>
      <c r="J793" s="40">
        <v>2</v>
      </c>
      <c r="K793" s="30"/>
    </row>
    <row r="794" spans="1:11" x14ac:dyDescent="0.25">
      <c r="A794" s="39" t="s">
        <v>108</v>
      </c>
      <c r="B794" s="28" t="s">
        <v>2344</v>
      </c>
      <c r="C794" s="28"/>
      <c r="D794" s="28"/>
      <c r="E794" s="28"/>
      <c r="F794" s="28" t="s">
        <v>2345</v>
      </c>
      <c r="G794" s="28" t="s">
        <v>2346</v>
      </c>
      <c r="H794" s="28"/>
      <c r="I794" s="28"/>
      <c r="J794" s="40">
        <v>1</v>
      </c>
      <c r="K794" s="30"/>
    </row>
    <row r="795" spans="1:11" x14ac:dyDescent="0.25">
      <c r="A795" s="39" t="s">
        <v>108</v>
      </c>
      <c r="B795" s="28" t="s">
        <v>2347</v>
      </c>
      <c r="C795" s="28"/>
      <c r="D795" s="28"/>
      <c r="E795" s="28"/>
      <c r="F795" s="28" t="s">
        <v>2348</v>
      </c>
      <c r="G795" s="28" t="s">
        <v>2349</v>
      </c>
      <c r="H795" s="28"/>
      <c r="I795" s="28"/>
      <c r="J795" s="40">
        <v>2</v>
      </c>
      <c r="K795" s="30"/>
    </row>
    <row r="796" spans="1:11" x14ac:dyDescent="0.25">
      <c r="A796" s="31" t="s">
        <v>108</v>
      </c>
      <c r="B796" s="32" t="s">
        <v>2350</v>
      </c>
      <c r="C796" s="32"/>
      <c r="D796" s="32"/>
      <c r="E796" s="32"/>
      <c r="F796" s="32" t="s">
        <v>2351</v>
      </c>
      <c r="G796" s="32" t="s">
        <v>2352</v>
      </c>
      <c r="H796" s="32"/>
      <c r="I796" s="32"/>
      <c r="J796" s="33">
        <v>1</v>
      </c>
      <c r="K796" s="34"/>
    </row>
    <row r="797" spans="1:11" x14ac:dyDescent="0.25">
      <c r="A797" s="31" t="s">
        <v>108</v>
      </c>
      <c r="B797" s="32" t="s">
        <v>2353</v>
      </c>
      <c r="C797" s="32"/>
      <c r="D797" s="32"/>
      <c r="E797" s="32"/>
      <c r="F797" s="32" t="s">
        <v>2354</v>
      </c>
      <c r="G797" s="32" t="s">
        <v>2355</v>
      </c>
      <c r="H797" s="32"/>
      <c r="I797" s="32"/>
      <c r="J797" s="33">
        <v>2</v>
      </c>
      <c r="K797" s="34"/>
    </row>
    <row r="798" spans="1:11" x14ac:dyDescent="0.25">
      <c r="A798" s="31" t="s">
        <v>1582</v>
      </c>
      <c r="B798" s="31" t="s">
        <v>2356</v>
      </c>
      <c r="C798" s="31"/>
      <c r="D798" s="31"/>
      <c r="E798" s="31"/>
      <c r="F798" s="31" t="s">
        <v>2357</v>
      </c>
      <c r="G798" s="31">
        <v>2094200</v>
      </c>
      <c r="H798" s="31"/>
      <c r="I798" s="31"/>
      <c r="J798" s="32">
        <v>5</v>
      </c>
      <c r="K798" s="38"/>
    </row>
    <row r="799" spans="1:11" x14ac:dyDescent="0.25">
      <c r="A799" s="51"/>
      <c r="B799" s="51" t="s">
        <v>2358</v>
      </c>
      <c r="C799" s="51"/>
      <c r="D799" s="51"/>
      <c r="E799" s="51"/>
      <c r="F799" s="316" t="s">
        <v>2359</v>
      </c>
      <c r="G799" s="374" t="s">
        <v>2360</v>
      </c>
      <c r="H799" s="52"/>
      <c r="I799" s="52"/>
      <c r="J799" s="54">
        <v>200</v>
      </c>
      <c r="K799" s="38"/>
    </row>
    <row r="800" spans="1:11" x14ac:dyDescent="0.25">
      <c r="A800" s="51"/>
      <c r="B800" s="51" t="s">
        <v>2361</v>
      </c>
      <c r="C800" s="51"/>
      <c r="D800" s="51"/>
      <c r="E800" s="51"/>
      <c r="F800" s="52" t="s">
        <v>2362</v>
      </c>
      <c r="G800" s="52"/>
      <c r="H800" s="52"/>
      <c r="I800" s="52"/>
      <c r="J800" s="54">
        <v>50</v>
      </c>
      <c r="K800" s="38"/>
    </row>
    <row r="801" spans="1:11" x14ac:dyDescent="0.25">
      <c r="A801" s="51"/>
      <c r="B801" s="51" t="s">
        <v>2363</v>
      </c>
      <c r="C801" s="51"/>
      <c r="D801" s="51"/>
      <c r="E801" s="51"/>
      <c r="F801" s="52" t="s">
        <v>2364</v>
      </c>
      <c r="G801" s="52"/>
      <c r="H801" s="52"/>
      <c r="I801" s="52"/>
      <c r="J801" s="54">
        <v>200</v>
      </c>
      <c r="K801" s="38"/>
    </row>
    <row r="802" spans="1:11" x14ac:dyDescent="0.25">
      <c r="A802" s="51"/>
      <c r="B802" s="51" t="s">
        <v>2365</v>
      </c>
      <c r="C802" s="351" t="s">
        <v>499</v>
      </c>
      <c r="D802" s="51"/>
      <c r="E802" s="51"/>
      <c r="F802" s="52" t="s">
        <v>2366</v>
      </c>
      <c r="G802" s="52"/>
      <c r="H802" s="52"/>
      <c r="I802" s="52"/>
      <c r="J802" s="54">
        <v>500</v>
      </c>
      <c r="K802" s="38"/>
    </row>
    <row r="803" spans="1:11" x14ac:dyDescent="0.25">
      <c r="A803" s="31" t="s">
        <v>314</v>
      </c>
      <c r="B803" s="71" t="s">
        <v>2367</v>
      </c>
      <c r="C803" s="71"/>
      <c r="D803" s="31"/>
      <c r="E803" s="31"/>
      <c r="F803" s="32" t="s">
        <v>2368</v>
      </c>
      <c r="G803" s="32" t="s">
        <v>2369</v>
      </c>
      <c r="H803" s="32" t="s">
        <v>488</v>
      </c>
      <c r="I803" s="32"/>
      <c r="J803" s="33">
        <v>2</v>
      </c>
      <c r="K803" s="34"/>
    </row>
    <row r="804" spans="1:11" x14ac:dyDescent="0.25">
      <c r="A804" s="31" t="s">
        <v>314</v>
      </c>
      <c r="B804" s="71" t="s">
        <v>2367</v>
      </c>
      <c r="C804" s="71"/>
      <c r="D804" s="322"/>
      <c r="E804" s="322"/>
      <c r="F804" s="271" t="s">
        <v>2368</v>
      </c>
      <c r="G804" s="271" t="s">
        <v>2369</v>
      </c>
      <c r="H804" s="271" t="s">
        <v>488</v>
      </c>
      <c r="I804" s="271"/>
      <c r="J804" s="272">
        <v>1</v>
      </c>
      <c r="K804" s="34"/>
    </row>
    <row r="805" spans="1:11" x14ac:dyDescent="0.25">
      <c r="A805" s="31" t="s">
        <v>314</v>
      </c>
      <c r="B805" s="71" t="s">
        <v>2370</v>
      </c>
      <c r="C805" s="71"/>
      <c r="D805" s="31"/>
      <c r="E805" s="446" t="s">
        <v>2371</v>
      </c>
      <c r="F805" s="32" t="s">
        <v>2372</v>
      </c>
      <c r="G805" s="32" t="s">
        <v>2373</v>
      </c>
      <c r="H805" s="32" t="s">
        <v>488</v>
      </c>
      <c r="I805" s="32"/>
      <c r="J805" s="33">
        <v>2</v>
      </c>
      <c r="K805" s="34"/>
    </row>
    <row r="806" spans="1:11" x14ac:dyDescent="0.25">
      <c r="A806" s="31" t="s">
        <v>314</v>
      </c>
      <c r="B806" s="71" t="s">
        <v>2374</v>
      </c>
      <c r="C806" s="71"/>
      <c r="D806" s="31"/>
      <c r="E806" s="360" t="s">
        <v>2375</v>
      </c>
      <c r="F806" s="32" t="s">
        <v>2376</v>
      </c>
      <c r="G806" s="32" t="s">
        <v>2377</v>
      </c>
      <c r="H806" s="32" t="s">
        <v>488</v>
      </c>
      <c r="I806" s="32"/>
      <c r="J806" s="33">
        <v>2</v>
      </c>
      <c r="K806" s="34"/>
    </row>
    <row r="807" spans="1:11" x14ac:dyDescent="0.25">
      <c r="A807" s="51" t="s">
        <v>108</v>
      </c>
      <c r="B807" s="51" t="s">
        <v>2378</v>
      </c>
      <c r="C807" s="51"/>
      <c r="D807" s="253"/>
      <c r="E807" s="253" t="s">
        <v>2379</v>
      </c>
      <c r="F807" s="52" t="s">
        <v>2380</v>
      </c>
      <c r="G807" s="52" t="s">
        <v>2381</v>
      </c>
      <c r="H807" s="52"/>
      <c r="I807" s="52"/>
      <c r="J807" s="54">
        <v>1</v>
      </c>
      <c r="K807" s="38"/>
    </row>
    <row r="808" spans="1:11" x14ac:dyDescent="0.25">
      <c r="A808" s="32" t="s">
        <v>169</v>
      </c>
      <c r="B808" s="70" t="s">
        <v>2382</v>
      </c>
      <c r="C808" s="70"/>
      <c r="D808" s="70"/>
      <c r="E808" s="70"/>
      <c r="F808" s="31" t="s">
        <v>2383</v>
      </c>
      <c r="G808" s="32" t="s">
        <v>2384</v>
      </c>
      <c r="H808" s="32"/>
      <c r="I808" s="32"/>
      <c r="J808" s="33">
        <v>50</v>
      </c>
      <c r="K808" s="34"/>
    </row>
    <row r="809" spans="1:11" x14ac:dyDescent="0.25">
      <c r="A809" s="31" t="s">
        <v>1582</v>
      </c>
      <c r="B809" s="71" t="s">
        <v>2385</v>
      </c>
      <c r="C809" s="351"/>
      <c r="D809" s="71"/>
      <c r="E809" s="71"/>
      <c r="F809" s="31" t="s">
        <v>2386</v>
      </c>
      <c r="G809" s="31" t="s">
        <v>2387</v>
      </c>
      <c r="H809" s="31"/>
      <c r="I809" s="32"/>
      <c r="J809" s="32">
        <v>200</v>
      </c>
      <c r="K809" s="38"/>
    </row>
    <row r="810" spans="1:11" x14ac:dyDescent="0.25">
      <c r="A810" s="39" t="s">
        <v>1582</v>
      </c>
      <c r="B810" s="331" t="s">
        <v>2388</v>
      </c>
      <c r="C810" s="484"/>
      <c r="D810" s="331"/>
      <c r="E810" s="331"/>
      <c r="F810" s="39" t="s">
        <v>2389</v>
      </c>
      <c r="G810" s="39" t="s">
        <v>2390</v>
      </c>
      <c r="H810" s="39"/>
      <c r="I810" s="28"/>
      <c r="J810" s="28">
        <v>200</v>
      </c>
      <c r="K810" s="47"/>
    </row>
    <row r="811" spans="1:11" x14ac:dyDescent="0.25">
      <c r="A811" s="39" t="s">
        <v>1582</v>
      </c>
      <c r="B811" s="126" t="s">
        <v>2391</v>
      </c>
      <c r="C811" s="126"/>
      <c r="D811" s="126"/>
      <c r="E811" s="126"/>
      <c r="F811" s="9" t="s">
        <v>2392</v>
      </c>
      <c r="G811" s="9"/>
      <c r="H811" s="9"/>
      <c r="I811" s="9"/>
      <c r="J811" s="61">
        <v>200</v>
      </c>
      <c r="K811" s="47"/>
    </row>
    <row r="812" spans="1:11" x14ac:dyDescent="0.25">
      <c r="A812" s="31" t="s">
        <v>1582</v>
      </c>
      <c r="B812" s="51" t="s">
        <v>2393</v>
      </c>
      <c r="C812" s="51"/>
      <c r="D812" s="51"/>
      <c r="E812" s="51"/>
      <c r="F812" s="52" t="s">
        <v>2394</v>
      </c>
      <c r="G812" s="52"/>
      <c r="H812" s="52"/>
      <c r="I812" s="52"/>
      <c r="J812" s="54">
        <v>100</v>
      </c>
      <c r="K812" s="38"/>
    </row>
    <row r="813" spans="1:11" x14ac:dyDescent="0.25">
      <c r="A813" s="31" t="s">
        <v>1582</v>
      </c>
      <c r="B813" s="51" t="s">
        <v>2395</v>
      </c>
      <c r="C813" s="51"/>
      <c r="D813" s="51"/>
      <c r="E813" s="51"/>
      <c r="F813" s="52" t="s">
        <v>2396</v>
      </c>
      <c r="G813" s="52"/>
      <c r="H813" s="52"/>
      <c r="I813" s="52"/>
      <c r="J813" s="54">
        <v>50</v>
      </c>
      <c r="K813" s="38"/>
    </row>
    <row r="814" spans="1:11" x14ac:dyDescent="0.25">
      <c r="A814" s="31" t="s">
        <v>1582</v>
      </c>
      <c r="B814" s="51" t="s">
        <v>2397</v>
      </c>
      <c r="C814" s="51"/>
      <c r="D814" s="51"/>
      <c r="E814" s="51"/>
      <c r="F814" s="52" t="s">
        <v>2398</v>
      </c>
      <c r="G814" s="52"/>
      <c r="H814" s="52"/>
      <c r="I814" s="52"/>
      <c r="J814" s="54">
        <v>50</v>
      </c>
      <c r="K814" s="38"/>
    </row>
    <row r="815" spans="1:11" x14ac:dyDescent="0.25">
      <c r="A815" s="31" t="s">
        <v>1582</v>
      </c>
      <c r="B815" s="71" t="s">
        <v>2399</v>
      </c>
      <c r="C815" s="71"/>
      <c r="D815" s="71"/>
      <c r="E815" s="71"/>
      <c r="F815" s="52" t="s">
        <v>2400</v>
      </c>
      <c r="G815" s="52" t="s">
        <v>2401</v>
      </c>
      <c r="H815" s="31"/>
      <c r="I815" s="52"/>
      <c r="J815" s="32">
        <v>200</v>
      </c>
      <c r="K815" s="38"/>
    </row>
    <row r="816" spans="1:11" x14ac:dyDescent="0.25">
      <c r="A816" s="31" t="s">
        <v>1582</v>
      </c>
      <c r="B816" s="51" t="s">
        <v>2402</v>
      </c>
      <c r="C816" s="351" t="s">
        <v>499</v>
      </c>
      <c r="D816" s="51"/>
      <c r="E816" s="51"/>
      <c r="F816" s="52" t="s">
        <v>2403</v>
      </c>
      <c r="G816" s="52"/>
      <c r="H816" s="52"/>
      <c r="I816" s="52"/>
      <c r="J816" s="54">
        <v>200</v>
      </c>
      <c r="K816" s="38"/>
    </row>
    <row r="817" spans="1:11" x14ac:dyDescent="0.25">
      <c r="A817" s="31" t="s">
        <v>1582</v>
      </c>
      <c r="B817" s="51" t="s">
        <v>2404</v>
      </c>
      <c r="C817" s="71"/>
      <c r="D817" s="51"/>
      <c r="E817" s="51"/>
      <c r="F817" s="52" t="s">
        <v>2405</v>
      </c>
      <c r="G817" s="52"/>
      <c r="H817" s="52"/>
      <c r="I817" s="52"/>
      <c r="J817" s="54">
        <v>300</v>
      </c>
      <c r="K817" s="38"/>
    </row>
    <row r="818" spans="1:11" x14ac:dyDescent="0.25">
      <c r="A818" s="31" t="s">
        <v>1582</v>
      </c>
      <c r="B818" s="51" t="s">
        <v>2404</v>
      </c>
      <c r="C818" s="71"/>
      <c r="D818" s="51"/>
      <c r="E818" s="51"/>
      <c r="F818" s="52" t="s">
        <v>2405</v>
      </c>
      <c r="G818" s="52"/>
      <c r="H818" s="52"/>
      <c r="I818" s="52"/>
      <c r="J818" s="54">
        <v>300</v>
      </c>
      <c r="K818" s="38"/>
    </row>
    <row r="819" spans="1:11" x14ac:dyDescent="0.25">
      <c r="A819" s="31" t="s">
        <v>1582</v>
      </c>
      <c r="B819" s="51" t="s">
        <v>2406</v>
      </c>
      <c r="C819" s="71"/>
      <c r="D819" s="51"/>
      <c r="E819" s="51"/>
      <c r="F819" s="52"/>
      <c r="G819" s="52" t="s">
        <v>2407</v>
      </c>
      <c r="H819" s="52"/>
      <c r="I819" s="52"/>
      <c r="J819" s="54">
        <v>100</v>
      </c>
      <c r="K819" s="38"/>
    </row>
    <row r="820" spans="1:11" x14ac:dyDescent="0.25">
      <c r="A820" s="31" t="s">
        <v>1582</v>
      </c>
      <c r="B820" s="51" t="s">
        <v>2408</v>
      </c>
      <c r="C820" s="71"/>
      <c r="D820" s="51"/>
      <c r="E820" s="51"/>
      <c r="F820" s="52"/>
      <c r="G820" s="52" t="s">
        <v>2409</v>
      </c>
      <c r="H820" s="52"/>
      <c r="I820" s="52"/>
      <c r="J820" s="54">
        <v>100</v>
      </c>
      <c r="K820" s="38"/>
    </row>
    <row r="821" spans="1:11" x14ac:dyDescent="0.25">
      <c r="A821" s="31" t="s">
        <v>1582</v>
      </c>
      <c r="B821" s="51" t="s">
        <v>2410</v>
      </c>
      <c r="C821" s="71"/>
      <c r="D821" s="51"/>
      <c r="E821" s="51"/>
      <c r="F821" s="52"/>
      <c r="G821" s="52" t="s">
        <v>2411</v>
      </c>
      <c r="H821" s="52"/>
      <c r="I821" s="52"/>
      <c r="J821" s="54">
        <v>100</v>
      </c>
      <c r="K821" s="38"/>
    </row>
    <row r="822" spans="1:11" x14ac:dyDescent="0.25">
      <c r="A822" s="31" t="s">
        <v>1582</v>
      </c>
      <c r="B822" s="51" t="s">
        <v>2412</v>
      </c>
      <c r="C822" s="71"/>
      <c r="D822" s="51"/>
      <c r="E822" s="51"/>
      <c r="F822" s="52"/>
      <c r="G822" s="52" t="s">
        <v>2413</v>
      </c>
      <c r="H822" s="52"/>
      <c r="I822" s="52"/>
      <c r="J822" s="54">
        <v>100</v>
      </c>
      <c r="K822" s="38"/>
    </row>
    <row r="823" spans="1:11" x14ac:dyDescent="0.25">
      <c r="A823" s="31" t="s">
        <v>1582</v>
      </c>
      <c r="B823" s="51" t="s">
        <v>1956</v>
      </c>
      <c r="C823" s="71"/>
      <c r="D823" s="51"/>
      <c r="E823" s="51"/>
      <c r="F823" s="52"/>
      <c r="G823" s="52" t="s">
        <v>2414</v>
      </c>
      <c r="H823" s="52"/>
      <c r="I823" s="52"/>
      <c r="J823" s="54">
        <v>100</v>
      </c>
      <c r="K823" s="38"/>
    </row>
    <row r="824" spans="1:11" x14ac:dyDescent="0.25">
      <c r="A824" s="31" t="s">
        <v>1582</v>
      </c>
      <c r="B824" s="51" t="s">
        <v>2415</v>
      </c>
      <c r="C824" s="71"/>
      <c r="D824" s="51"/>
      <c r="E824" s="51"/>
      <c r="F824" s="52" t="s">
        <v>2405</v>
      </c>
      <c r="G824" s="52"/>
      <c r="H824" s="52"/>
      <c r="I824" s="52"/>
      <c r="J824" s="54">
        <v>300</v>
      </c>
      <c r="K824" s="38"/>
    </row>
    <row r="825" spans="1:11" x14ac:dyDescent="0.25">
      <c r="A825" s="176" t="s">
        <v>41</v>
      </c>
      <c r="B825" s="176" t="s">
        <v>70</v>
      </c>
      <c r="C825" s="176"/>
      <c r="D825" s="176"/>
      <c r="E825" s="176"/>
      <c r="F825" s="130" t="s">
        <v>2416</v>
      </c>
      <c r="G825" s="130" t="s">
        <v>2417</v>
      </c>
      <c r="H825" s="130"/>
      <c r="I825" s="130" t="s">
        <v>461</v>
      </c>
      <c r="J825" s="177">
        <v>30</v>
      </c>
      <c r="K825" s="178"/>
    </row>
    <row r="826" spans="1:11" x14ac:dyDescent="0.25">
      <c r="A826" s="51"/>
      <c r="B826" s="51" t="s">
        <v>2418</v>
      </c>
      <c r="C826" s="351" t="s">
        <v>499</v>
      </c>
      <c r="D826" s="51"/>
      <c r="E826" s="51"/>
      <c r="F826" s="52" t="s">
        <v>2419</v>
      </c>
      <c r="G826" s="52" t="s">
        <v>2420</v>
      </c>
      <c r="H826" s="52" t="s">
        <v>2421</v>
      </c>
      <c r="I826" s="52"/>
      <c r="J826" s="54">
        <v>50</v>
      </c>
      <c r="K826" s="38"/>
    </row>
    <row r="827" spans="1:11" x14ac:dyDescent="0.25">
      <c r="A827" s="31" t="s">
        <v>41</v>
      </c>
      <c r="B827" s="71" t="s">
        <v>2422</v>
      </c>
      <c r="C827" s="71"/>
      <c r="D827" s="71"/>
      <c r="E827" s="71"/>
      <c r="F827" s="32" t="s">
        <v>2423</v>
      </c>
      <c r="G827" s="32" t="s">
        <v>2424</v>
      </c>
      <c r="H827" s="32"/>
      <c r="I827" s="32" t="s">
        <v>461</v>
      </c>
      <c r="J827" s="33">
        <v>200</v>
      </c>
      <c r="K827" s="34"/>
    </row>
    <row r="828" spans="1:11" x14ac:dyDescent="0.25">
      <c r="A828" s="32" t="s">
        <v>169</v>
      </c>
      <c r="B828" s="70" t="s">
        <v>2425</v>
      </c>
      <c r="C828" s="70"/>
      <c r="D828" s="70"/>
      <c r="E828" s="70"/>
      <c r="F828" s="31" t="s">
        <v>2426</v>
      </c>
      <c r="G828" s="32" t="s">
        <v>2427</v>
      </c>
      <c r="H828" s="32"/>
      <c r="I828" s="32"/>
      <c r="J828" s="33">
        <v>50</v>
      </c>
      <c r="K828" s="34"/>
    </row>
    <row r="829" spans="1:11" x14ac:dyDescent="0.25">
      <c r="A829" s="31" t="s">
        <v>314</v>
      </c>
      <c r="B829" s="284" t="s">
        <v>2428</v>
      </c>
      <c r="C829" s="284"/>
      <c r="D829" s="284"/>
      <c r="E829" s="284"/>
      <c r="F829" s="285" t="s">
        <v>2429</v>
      </c>
      <c r="G829" s="285">
        <v>9005608</v>
      </c>
      <c r="H829" s="285" t="s">
        <v>2122</v>
      </c>
      <c r="I829" s="285" t="s">
        <v>1040</v>
      </c>
      <c r="J829" s="286">
        <v>20</v>
      </c>
      <c r="K829" s="287"/>
    </row>
    <row r="830" spans="1:11" x14ac:dyDescent="0.25">
      <c r="A830" s="32" t="s">
        <v>169</v>
      </c>
      <c r="B830" s="70" t="s">
        <v>2430</v>
      </c>
      <c r="C830" s="70"/>
      <c r="D830" s="70"/>
      <c r="E830" s="70"/>
      <c r="F830" s="31" t="s">
        <v>2431</v>
      </c>
      <c r="G830" s="32" t="s">
        <v>2432</v>
      </c>
      <c r="H830" s="32"/>
      <c r="I830" s="32"/>
      <c r="J830" s="33">
        <v>50</v>
      </c>
      <c r="K830" s="34"/>
    </row>
    <row r="831" spans="1:11" x14ac:dyDescent="0.25">
      <c r="A831" s="32" t="s">
        <v>169</v>
      </c>
      <c r="B831" s="32" t="s">
        <v>70</v>
      </c>
      <c r="C831" s="32"/>
      <c r="D831" s="32"/>
      <c r="E831" s="32"/>
      <c r="F831" s="31" t="s">
        <v>2433</v>
      </c>
      <c r="G831" s="32" t="s">
        <v>2434</v>
      </c>
      <c r="H831" s="32"/>
      <c r="I831" s="32"/>
      <c r="J831" s="33">
        <v>20</v>
      </c>
      <c r="K831" s="34"/>
    </row>
    <row r="832" spans="1:11" x14ac:dyDescent="0.25">
      <c r="A832" s="31" t="s">
        <v>108</v>
      </c>
      <c r="B832" s="71" t="s">
        <v>2435</v>
      </c>
      <c r="C832" s="71"/>
      <c r="D832" s="71"/>
      <c r="E832" s="71"/>
      <c r="F832" s="32" t="s">
        <v>2436</v>
      </c>
      <c r="G832" s="32" t="s">
        <v>2437</v>
      </c>
      <c r="H832" s="32"/>
      <c r="I832" s="32"/>
      <c r="J832" s="33">
        <v>3</v>
      </c>
      <c r="K832" s="34"/>
    </row>
    <row r="833" spans="1:11" x14ac:dyDescent="0.25">
      <c r="A833" s="253" t="s">
        <v>2438</v>
      </c>
      <c r="B833" s="51" t="s">
        <v>2439</v>
      </c>
      <c r="C833" s="51"/>
      <c r="D833" s="253"/>
      <c r="E833" s="253"/>
      <c r="F833" s="32" t="s">
        <v>2440</v>
      </c>
      <c r="G833" s="32" t="s">
        <v>2441</v>
      </c>
      <c r="H833" s="52"/>
      <c r="I833" s="52"/>
      <c r="J833" s="54"/>
      <c r="K833" s="38"/>
    </row>
    <row r="834" spans="1:11" x14ac:dyDescent="0.25">
      <c r="A834" s="253" t="s">
        <v>2438</v>
      </c>
      <c r="B834" s="51" t="s">
        <v>2442</v>
      </c>
      <c r="C834" s="51"/>
      <c r="D834" s="253"/>
      <c r="E834" s="253"/>
      <c r="F834" s="32" t="s">
        <v>2443</v>
      </c>
      <c r="G834" s="32" t="s">
        <v>2444</v>
      </c>
      <c r="H834" s="52"/>
      <c r="I834" s="52"/>
      <c r="J834" s="54"/>
      <c r="K834" s="38"/>
    </row>
    <row r="835" spans="1:11" x14ac:dyDescent="0.25">
      <c r="A835" s="31" t="s">
        <v>41</v>
      </c>
      <c r="B835" s="71" t="s">
        <v>2445</v>
      </c>
      <c r="C835" s="71"/>
      <c r="D835" s="71"/>
      <c r="E835" s="71"/>
      <c r="F835" s="32" t="s">
        <v>2446</v>
      </c>
      <c r="G835" s="32" t="s">
        <v>2447</v>
      </c>
      <c r="H835" s="32"/>
      <c r="I835" s="32"/>
      <c r="J835" s="33">
        <v>100</v>
      </c>
      <c r="K835" s="34"/>
    </row>
    <row r="836" spans="1:11" x14ac:dyDescent="0.25">
      <c r="A836" s="32" t="s">
        <v>169</v>
      </c>
      <c r="B836" s="70" t="s">
        <v>2448</v>
      </c>
      <c r="C836" s="70"/>
      <c r="D836" s="70"/>
      <c r="E836" s="70"/>
      <c r="F836" s="31" t="s">
        <v>2449</v>
      </c>
      <c r="G836" s="32" t="s">
        <v>2450</v>
      </c>
      <c r="H836" s="32"/>
      <c r="I836" s="32"/>
      <c r="J836" s="33">
        <v>2</v>
      </c>
      <c r="K836" s="34"/>
    </row>
    <row r="837" spans="1:11" x14ac:dyDescent="0.25">
      <c r="A837" s="31" t="s">
        <v>41</v>
      </c>
      <c r="B837" s="71" t="s">
        <v>2451</v>
      </c>
      <c r="C837" s="71"/>
      <c r="D837" s="71"/>
      <c r="E837" s="71"/>
      <c r="F837" s="32" t="s">
        <v>2452</v>
      </c>
      <c r="G837" s="32" t="s">
        <v>2453</v>
      </c>
      <c r="H837" s="32"/>
      <c r="I837" s="32"/>
      <c r="J837" s="33">
        <v>100</v>
      </c>
      <c r="K837" s="34"/>
    </row>
    <row r="838" spans="1:11" x14ac:dyDescent="0.25">
      <c r="A838" s="31" t="s">
        <v>108</v>
      </c>
      <c r="B838" s="71" t="s">
        <v>2454</v>
      </c>
      <c r="C838" s="71"/>
      <c r="D838" s="71"/>
      <c r="E838" s="71"/>
      <c r="F838" s="32" t="s">
        <v>2455</v>
      </c>
      <c r="G838" s="32" t="s">
        <v>2456</v>
      </c>
      <c r="H838" s="32"/>
      <c r="I838" s="32"/>
      <c r="J838" s="33">
        <v>2</v>
      </c>
      <c r="K838" s="34"/>
    </row>
    <row r="839" spans="1:11" x14ac:dyDescent="0.25">
      <c r="A839" s="51" t="s">
        <v>27</v>
      </c>
      <c r="B839" s="51" t="s">
        <v>2458</v>
      </c>
      <c r="C839" s="51"/>
      <c r="D839" s="51"/>
      <c r="E839" s="51"/>
      <c r="F839" s="52" t="s">
        <v>2459</v>
      </c>
      <c r="G839" s="52"/>
      <c r="H839" s="52" t="s">
        <v>80</v>
      </c>
      <c r="I839" s="52" t="s">
        <v>80</v>
      </c>
      <c r="J839" s="54"/>
      <c r="K839" s="38"/>
    </row>
    <row r="840" spans="1:11" x14ac:dyDescent="0.25">
      <c r="A840" s="31" t="s">
        <v>108</v>
      </c>
      <c r="B840" s="70" t="s">
        <v>2460</v>
      </c>
      <c r="C840" s="32"/>
      <c r="D840" s="32"/>
      <c r="E840" s="32" t="s">
        <v>2461</v>
      </c>
      <c r="F840" s="32" t="s">
        <v>2462</v>
      </c>
      <c r="G840" s="32" t="s">
        <v>2461</v>
      </c>
      <c r="H840" s="32"/>
      <c r="I840" s="32" t="s">
        <v>461</v>
      </c>
      <c r="J840" s="33">
        <v>4</v>
      </c>
      <c r="K840" s="34"/>
    </row>
    <row r="841" spans="1:11" x14ac:dyDescent="0.25">
      <c r="A841" s="31" t="s">
        <v>108</v>
      </c>
      <c r="B841" s="70" t="s">
        <v>2463</v>
      </c>
      <c r="C841" s="32"/>
      <c r="D841" s="32"/>
      <c r="E841" s="32"/>
      <c r="F841" s="32" t="s">
        <v>2464</v>
      </c>
      <c r="G841" s="32"/>
      <c r="H841" s="32" t="s">
        <v>2465</v>
      </c>
      <c r="I841" s="32"/>
      <c r="J841" s="33">
        <v>2</v>
      </c>
      <c r="K841" s="34"/>
    </row>
    <row r="842" spans="1:11" x14ac:dyDescent="0.25">
      <c r="A842" s="51"/>
      <c r="B842" s="51" t="s">
        <v>2466</v>
      </c>
      <c r="C842" s="351" t="s">
        <v>499</v>
      </c>
      <c r="D842" s="51"/>
      <c r="E842" s="51"/>
      <c r="F842" s="52" t="s">
        <v>2467</v>
      </c>
      <c r="G842" s="52" t="s">
        <v>2468</v>
      </c>
      <c r="H842" s="52" t="s">
        <v>488</v>
      </c>
      <c r="I842" s="52"/>
      <c r="J842" s="54">
        <v>500</v>
      </c>
      <c r="K842" s="38"/>
    </row>
    <row r="843" spans="1:11" x14ac:dyDescent="0.25">
      <c r="A843" s="51"/>
      <c r="B843" s="51" t="s">
        <v>2466</v>
      </c>
      <c r="C843" s="351" t="s">
        <v>499</v>
      </c>
      <c r="D843" s="51"/>
      <c r="E843" s="51"/>
      <c r="F843" s="52" t="s">
        <v>2467</v>
      </c>
      <c r="G843" s="52" t="s">
        <v>2468</v>
      </c>
      <c r="H843" s="52" t="s">
        <v>488</v>
      </c>
      <c r="I843" s="52"/>
      <c r="J843" s="54">
        <v>500</v>
      </c>
      <c r="K843" s="38"/>
    </row>
    <row r="844" spans="1:11" x14ac:dyDescent="0.25">
      <c r="A844" s="31" t="s">
        <v>41</v>
      </c>
      <c r="B844" s="71" t="s">
        <v>2469</v>
      </c>
      <c r="C844" s="71"/>
      <c r="D844" s="71"/>
      <c r="E844" s="71"/>
      <c r="F844" s="32" t="s">
        <v>2470</v>
      </c>
      <c r="G844" s="32" t="s">
        <v>2471</v>
      </c>
      <c r="H844" s="32"/>
      <c r="I844" s="32" t="s">
        <v>461</v>
      </c>
      <c r="J844" s="33">
        <v>110</v>
      </c>
      <c r="K844" s="34"/>
    </row>
    <row r="845" spans="1:11" x14ac:dyDescent="0.25">
      <c r="A845" s="39" t="s">
        <v>108</v>
      </c>
      <c r="B845" s="331" t="s">
        <v>2472</v>
      </c>
      <c r="C845" s="331"/>
      <c r="D845" s="331"/>
      <c r="E845" s="331"/>
      <c r="F845" s="28" t="s">
        <v>2473</v>
      </c>
      <c r="G845" s="28">
        <v>1706130000</v>
      </c>
      <c r="H845" s="28"/>
      <c r="I845" s="28"/>
      <c r="J845" s="40">
        <v>1</v>
      </c>
      <c r="K845" s="30"/>
    </row>
    <row r="846" spans="1:11" x14ac:dyDescent="0.25">
      <c r="A846" s="31" t="s">
        <v>108</v>
      </c>
      <c r="B846" s="71" t="s">
        <v>2474</v>
      </c>
      <c r="C846" s="71"/>
      <c r="D846" s="71"/>
      <c r="E846" s="71"/>
      <c r="F846" s="32" t="s">
        <v>2475</v>
      </c>
      <c r="G846" s="32" t="s">
        <v>2476</v>
      </c>
      <c r="H846" s="32"/>
      <c r="I846" s="32"/>
      <c r="J846" s="33">
        <v>1</v>
      </c>
      <c r="K846" s="34"/>
    </row>
    <row r="847" spans="1:11" x14ac:dyDescent="0.25">
      <c r="A847" s="39" t="s">
        <v>108</v>
      </c>
      <c r="B847" s="331" t="s">
        <v>2477</v>
      </c>
      <c r="C847" s="331"/>
      <c r="D847" s="331"/>
      <c r="E847" s="331"/>
      <c r="F847" s="28" t="s">
        <v>2478</v>
      </c>
      <c r="G847" s="28" t="s">
        <v>2479</v>
      </c>
      <c r="H847" s="28" t="s">
        <v>113</v>
      </c>
      <c r="I847" s="28"/>
      <c r="J847" s="40">
        <v>1</v>
      </c>
      <c r="K847" s="30"/>
    </row>
    <row r="848" spans="1:11" x14ac:dyDescent="0.25">
      <c r="A848" s="126" t="s">
        <v>27</v>
      </c>
      <c r="B848" s="126" t="s">
        <v>2480</v>
      </c>
      <c r="C848" s="126"/>
      <c r="D848" s="126"/>
      <c r="E848" s="126"/>
      <c r="F848" s="9" t="s">
        <v>2481</v>
      </c>
      <c r="G848" s="126" t="s">
        <v>2480</v>
      </c>
      <c r="H848" s="9" t="s">
        <v>80</v>
      </c>
      <c r="I848" s="9" t="s">
        <v>80</v>
      </c>
      <c r="J848" s="61">
        <v>2</v>
      </c>
      <c r="K848" s="47"/>
    </row>
    <row r="849" spans="1:11" x14ac:dyDescent="0.25">
      <c r="A849" s="62" t="s">
        <v>2438</v>
      </c>
      <c r="B849" s="126" t="s">
        <v>2482</v>
      </c>
      <c r="C849" s="126"/>
      <c r="D849" s="62"/>
      <c r="E849" s="62"/>
      <c r="F849" s="28" t="s">
        <v>2483</v>
      </c>
      <c r="G849" s="28" t="s">
        <v>2484</v>
      </c>
      <c r="H849" s="9"/>
      <c r="I849" s="9"/>
      <c r="J849" s="61"/>
      <c r="K849" s="47"/>
    </row>
    <row r="850" spans="1:11" x14ac:dyDescent="0.25">
      <c r="A850" s="51" t="s">
        <v>108</v>
      </c>
      <c r="B850" s="51" t="s">
        <v>2485</v>
      </c>
      <c r="C850" s="51"/>
      <c r="D850" s="253"/>
      <c r="E850" s="253"/>
      <c r="F850" s="52" t="s">
        <v>2486</v>
      </c>
      <c r="G850" s="52">
        <v>17800</v>
      </c>
      <c r="H850" s="52" t="s">
        <v>2487</v>
      </c>
      <c r="I850" s="52"/>
      <c r="J850" s="54">
        <v>1</v>
      </c>
      <c r="K850" s="38"/>
    </row>
    <row r="851" spans="1:11" x14ac:dyDescent="0.25">
      <c r="A851" s="31" t="s">
        <v>227</v>
      </c>
      <c r="B851" s="71" t="s">
        <v>2488</v>
      </c>
      <c r="C851" s="71"/>
      <c r="D851" s="71"/>
      <c r="E851" s="71"/>
      <c r="F851" s="52" t="s">
        <v>2489</v>
      </c>
      <c r="G851" s="52" t="s">
        <v>2490</v>
      </c>
      <c r="H851" s="52" t="s">
        <v>600</v>
      </c>
      <c r="I851" s="32"/>
      <c r="J851" s="33">
        <v>1</v>
      </c>
      <c r="K851" s="34"/>
    </row>
    <row r="852" spans="1:11" x14ac:dyDescent="0.25">
      <c r="A852" s="31" t="s">
        <v>41</v>
      </c>
      <c r="B852" s="71" t="s">
        <v>2491</v>
      </c>
      <c r="C852" s="71"/>
      <c r="D852" s="71"/>
      <c r="E852" s="71"/>
      <c r="F852" s="32" t="s">
        <v>2492</v>
      </c>
      <c r="G852" s="32" t="s">
        <v>2493</v>
      </c>
      <c r="H852" s="32"/>
      <c r="I852" s="32" t="s">
        <v>461</v>
      </c>
      <c r="J852" s="33">
        <v>10</v>
      </c>
      <c r="K852" s="34"/>
    </row>
    <row r="853" spans="1:11" x14ac:dyDescent="0.25">
      <c r="A853" s="51"/>
      <c r="B853" s="51"/>
      <c r="C853" s="51" t="s">
        <v>2494</v>
      </c>
      <c r="D853" s="51"/>
      <c r="E853" s="51"/>
      <c r="F853" s="52" t="s">
        <v>1885</v>
      </c>
      <c r="G853" s="52"/>
      <c r="H853" s="52"/>
      <c r="I853" s="52"/>
      <c r="J853" s="54"/>
      <c r="K853" s="38"/>
    </row>
    <row r="854" spans="1:11" x14ac:dyDescent="0.25">
      <c r="A854" s="51"/>
      <c r="B854" s="51" t="s">
        <v>2495</v>
      </c>
      <c r="C854" s="51"/>
      <c r="D854" s="51"/>
      <c r="E854" s="51"/>
      <c r="F854" s="52" t="s">
        <v>2496</v>
      </c>
      <c r="G854" s="52"/>
      <c r="H854" s="52"/>
      <c r="I854" s="52"/>
      <c r="J854" s="54">
        <v>50</v>
      </c>
      <c r="K854" s="38"/>
    </row>
    <row r="855" spans="1:11" x14ac:dyDescent="0.25">
      <c r="A855" s="31" t="s">
        <v>108</v>
      </c>
      <c r="B855" s="71" t="s">
        <v>2497</v>
      </c>
      <c r="C855" s="71"/>
      <c r="D855" s="71"/>
      <c r="E855" s="71"/>
      <c r="F855" s="32" t="s">
        <v>2498</v>
      </c>
      <c r="G855" s="32" t="s">
        <v>2499</v>
      </c>
      <c r="H855" s="32" t="s">
        <v>113</v>
      </c>
      <c r="I855" s="32"/>
      <c r="J855" s="33">
        <v>1</v>
      </c>
      <c r="K855" s="34"/>
    </row>
    <row r="856" spans="1:11" x14ac:dyDescent="0.25">
      <c r="A856" s="51" t="s">
        <v>298</v>
      </c>
      <c r="B856" s="51" t="s">
        <v>2500</v>
      </c>
      <c r="C856" s="51"/>
      <c r="D856" s="51" t="s">
        <v>2501</v>
      </c>
      <c r="E856" s="51"/>
      <c r="F856" s="32" t="s">
        <v>2502</v>
      </c>
      <c r="G856" s="32" t="s">
        <v>2500</v>
      </c>
      <c r="H856" s="52"/>
      <c r="I856" s="32" t="s">
        <v>301</v>
      </c>
      <c r="J856" s="54">
        <v>1</v>
      </c>
      <c r="K856" s="38"/>
    </row>
    <row r="857" spans="1:11" x14ac:dyDescent="0.25">
      <c r="A857" s="31" t="s">
        <v>314</v>
      </c>
      <c r="B857" s="71" t="s">
        <v>2503</v>
      </c>
      <c r="C857" s="117"/>
      <c r="D857" s="117"/>
      <c r="E857" s="117"/>
      <c r="F857" s="32" t="s">
        <v>2504</v>
      </c>
      <c r="G857" s="32"/>
      <c r="H857" s="32" t="s">
        <v>2505</v>
      </c>
      <c r="I857" s="32"/>
      <c r="J857" s="32">
        <v>10</v>
      </c>
      <c r="K857" s="32"/>
    </row>
    <row r="858" spans="1:11" x14ac:dyDescent="0.25">
      <c r="A858" s="31" t="s">
        <v>314</v>
      </c>
      <c r="B858" s="71" t="s">
        <v>2506</v>
      </c>
      <c r="C858" s="71"/>
      <c r="D858" s="71"/>
      <c r="E858" s="71"/>
      <c r="F858" s="32" t="s">
        <v>2507</v>
      </c>
      <c r="G858" s="32" t="s">
        <v>2508</v>
      </c>
      <c r="H858" s="32" t="s">
        <v>1787</v>
      </c>
      <c r="I858" s="32"/>
      <c r="J858" s="33">
        <v>40</v>
      </c>
      <c r="K858" s="34"/>
    </row>
    <row r="859" spans="1:11" x14ac:dyDescent="0.25">
      <c r="A859" s="31" t="s">
        <v>314</v>
      </c>
      <c r="B859" s="71" t="s">
        <v>2509</v>
      </c>
      <c r="C859" s="71"/>
      <c r="D859" s="71"/>
      <c r="E859" s="71"/>
      <c r="F859" s="32" t="s">
        <v>2510</v>
      </c>
      <c r="G859" s="32" t="s">
        <v>2511</v>
      </c>
      <c r="H859" s="32" t="s">
        <v>1787</v>
      </c>
      <c r="I859" s="32"/>
      <c r="J859" s="33">
        <v>40</v>
      </c>
      <c r="K859" s="34"/>
    </row>
    <row r="860" spans="1:11" x14ac:dyDescent="0.25">
      <c r="A860" s="31" t="s">
        <v>314</v>
      </c>
      <c r="B860" s="71" t="s">
        <v>2512</v>
      </c>
      <c r="C860" s="71"/>
      <c r="D860" s="71"/>
      <c r="E860" s="71"/>
      <c r="F860" s="32" t="s">
        <v>2513</v>
      </c>
      <c r="G860" s="32" t="s">
        <v>2514</v>
      </c>
      <c r="H860" s="32" t="s">
        <v>1787</v>
      </c>
      <c r="I860" s="32"/>
      <c r="J860" s="33">
        <v>20</v>
      </c>
      <c r="K860" s="34"/>
    </row>
    <row r="861" spans="1:11" x14ac:dyDescent="0.25">
      <c r="A861" s="51"/>
      <c r="B861" s="51" t="s">
        <v>2515</v>
      </c>
      <c r="C861" s="351" t="s">
        <v>499</v>
      </c>
      <c r="D861" s="51"/>
      <c r="E861" s="51"/>
      <c r="F861" s="52" t="s">
        <v>2516</v>
      </c>
      <c r="G861" s="52"/>
      <c r="H861" s="52"/>
      <c r="I861" s="52"/>
      <c r="J861" s="54">
        <v>50</v>
      </c>
      <c r="K861" s="38"/>
    </row>
    <row r="862" spans="1:11" x14ac:dyDescent="0.25">
      <c r="A862" s="31" t="s">
        <v>314</v>
      </c>
      <c r="B862" s="71" t="s">
        <v>2517</v>
      </c>
      <c r="C862" s="71"/>
      <c r="D862" s="71"/>
      <c r="E862" s="71"/>
      <c r="F862" s="32" t="s">
        <v>2518</v>
      </c>
      <c r="G862" s="32" t="s">
        <v>2519</v>
      </c>
      <c r="H862" s="32" t="s">
        <v>1787</v>
      </c>
      <c r="I862" s="32"/>
      <c r="J862" s="33">
        <v>40</v>
      </c>
      <c r="K862" s="34"/>
    </row>
    <row r="863" spans="1:11" x14ac:dyDescent="0.25">
      <c r="A863" s="31" t="s">
        <v>314</v>
      </c>
      <c r="B863" s="71" t="s">
        <v>2520</v>
      </c>
      <c r="C863" s="71"/>
      <c r="D863" s="71"/>
      <c r="E863" s="71"/>
      <c r="F863" s="32" t="s">
        <v>2521</v>
      </c>
      <c r="G863" s="32" t="s">
        <v>2522</v>
      </c>
      <c r="H863" s="32" t="s">
        <v>1787</v>
      </c>
      <c r="I863" s="32"/>
      <c r="J863" s="33">
        <v>40</v>
      </c>
      <c r="K863" s="34"/>
    </row>
    <row r="864" spans="1:11" x14ac:dyDescent="0.25">
      <c r="A864" s="31" t="s">
        <v>314</v>
      </c>
      <c r="B864" s="71" t="s">
        <v>2523</v>
      </c>
      <c r="C864" s="71"/>
      <c r="D864" s="71"/>
      <c r="E864" s="71"/>
      <c r="F864" s="32" t="s">
        <v>2524</v>
      </c>
      <c r="G864" s="32" t="s">
        <v>2525</v>
      </c>
      <c r="H864" s="32"/>
      <c r="I864" s="32"/>
      <c r="J864" s="33">
        <v>20</v>
      </c>
      <c r="K864" s="34"/>
    </row>
    <row r="865" spans="1:11" x14ac:dyDescent="0.25">
      <c r="A865" s="31" t="s">
        <v>314</v>
      </c>
      <c r="B865" s="71" t="s">
        <v>2526</v>
      </c>
      <c r="C865" s="71"/>
      <c r="D865" s="71"/>
      <c r="E865" s="71"/>
      <c r="F865" s="32" t="s">
        <v>2527</v>
      </c>
      <c r="G865" s="32" t="s">
        <v>2528</v>
      </c>
      <c r="H865" s="32"/>
      <c r="I865" s="32"/>
      <c r="J865" s="33">
        <v>40</v>
      </c>
      <c r="K865" s="34"/>
    </row>
    <row r="866" spans="1:11" x14ac:dyDescent="0.25">
      <c r="A866" s="31" t="s">
        <v>314</v>
      </c>
      <c r="B866" s="71" t="s">
        <v>2529</v>
      </c>
      <c r="C866" s="71"/>
      <c r="D866" s="71"/>
      <c r="E866" s="71"/>
      <c r="F866" s="32" t="s">
        <v>2530</v>
      </c>
      <c r="G866" s="32" t="s">
        <v>2531</v>
      </c>
      <c r="H866" s="32"/>
      <c r="I866" s="32"/>
      <c r="J866" s="33">
        <v>40</v>
      </c>
      <c r="K866" s="34"/>
    </row>
    <row r="867" spans="1:11" x14ac:dyDescent="0.25">
      <c r="A867" s="221"/>
      <c r="B867" s="221" t="s">
        <v>2532</v>
      </c>
      <c r="C867" s="221"/>
      <c r="D867" s="221"/>
      <c r="E867" s="221"/>
      <c r="F867" s="209" t="s">
        <v>2533</v>
      </c>
      <c r="G867" s="209" t="s">
        <v>2532</v>
      </c>
      <c r="H867" s="209"/>
      <c r="I867" s="209"/>
      <c r="J867" s="222">
        <v>10</v>
      </c>
      <c r="K867" s="223"/>
    </row>
    <row r="868" spans="1:11" x14ac:dyDescent="0.25">
      <c r="A868" s="31" t="s">
        <v>314</v>
      </c>
      <c r="B868" s="71" t="s">
        <v>2534</v>
      </c>
      <c r="C868" s="71"/>
      <c r="D868" s="71"/>
      <c r="E868" s="71"/>
      <c r="F868" s="32" t="s">
        <v>2535</v>
      </c>
      <c r="G868" s="32" t="s">
        <v>2536</v>
      </c>
      <c r="H868" s="32"/>
      <c r="I868" s="32" t="s">
        <v>2325</v>
      </c>
      <c r="J868" s="33">
        <v>1</v>
      </c>
      <c r="K868" s="34"/>
    </row>
    <row r="869" spans="1:11" x14ac:dyDescent="0.25">
      <c r="A869" s="31" t="s">
        <v>314</v>
      </c>
      <c r="B869" s="71" t="s">
        <v>2537</v>
      </c>
      <c r="C869" s="71"/>
      <c r="D869" s="71"/>
      <c r="E869" s="71"/>
      <c r="F869" s="32" t="s">
        <v>2538</v>
      </c>
      <c r="G869" s="32" t="s">
        <v>2539</v>
      </c>
      <c r="H869" s="32"/>
      <c r="I869" s="32" t="s">
        <v>2325</v>
      </c>
      <c r="J869" s="33">
        <v>4</v>
      </c>
      <c r="K869" s="34"/>
    </row>
    <row r="870" spans="1:11" x14ac:dyDescent="0.25">
      <c r="A870" s="31" t="s">
        <v>314</v>
      </c>
      <c r="B870" s="71" t="s">
        <v>2540</v>
      </c>
      <c r="C870" s="71"/>
      <c r="D870" s="71"/>
      <c r="E870" s="71"/>
      <c r="F870" s="32" t="s">
        <v>2541</v>
      </c>
      <c r="G870" s="32" t="s">
        <v>2542</v>
      </c>
      <c r="H870" s="32"/>
      <c r="I870" s="32" t="s">
        <v>2325</v>
      </c>
      <c r="J870" s="33">
        <v>4</v>
      </c>
      <c r="K870" s="34"/>
    </row>
    <row r="871" spans="1:11" x14ac:dyDescent="0.25">
      <c r="A871" s="31" t="s">
        <v>314</v>
      </c>
      <c r="B871" s="71" t="s">
        <v>2543</v>
      </c>
      <c r="C871" s="71"/>
      <c r="D871" s="71"/>
      <c r="E871" s="71"/>
      <c r="F871" s="32" t="s">
        <v>2544</v>
      </c>
      <c r="G871" s="32" t="s">
        <v>2545</v>
      </c>
      <c r="H871" s="32"/>
      <c r="I871" s="32" t="s">
        <v>2325</v>
      </c>
      <c r="J871" s="33">
        <v>2</v>
      </c>
      <c r="K871" s="34"/>
    </row>
    <row r="872" spans="1:11" x14ac:dyDescent="0.25">
      <c r="A872" s="31" t="s">
        <v>314</v>
      </c>
      <c r="B872" s="71" t="s">
        <v>2546</v>
      </c>
      <c r="C872" s="71"/>
      <c r="D872" s="71"/>
      <c r="E872" s="71"/>
      <c r="F872" s="32" t="s">
        <v>2547</v>
      </c>
      <c r="G872" s="32" t="s">
        <v>2548</v>
      </c>
      <c r="H872" s="32"/>
      <c r="I872" s="32" t="s">
        <v>2325</v>
      </c>
      <c r="J872" s="33">
        <v>3</v>
      </c>
      <c r="K872" s="34"/>
    </row>
    <row r="873" spans="1:11" x14ac:dyDescent="0.25">
      <c r="A873" s="31" t="s">
        <v>314</v>
      </c>
      <c r="B873" s="71" t="s">
        <v>2549</v>
      </c>
      <c r="C873" s="71"/>
      <c r="D873" s="71"/>
      <c r="E873" s="71"/>
      <c r="F873" s="32" t="s">
        <v>2550</v>
      </c>
      <c r="G873" s="32" t="s">
        <v>2551</v>
      </c>
      <c r="H873" s="32"/>
      <c r="I873" s="32" t="s">
        <v>2325</v>
      </c>
      <c r="J873" s="33">
        <v>8</v>
      </c>
      <c r="K873" s="34"/>
    </row>
    <row r="874" spans="1:11" x14ac:dyDescent="0.25">
      <c r="A874" s="31" t="s">
        <v>314</v>
      </c>
      <c r="B874" s="71" t="s">
        <v>2552</v>
      </c>
      <c r="C874" s="71"/>
      <c r="D874" s="71"/>
      <c r="E874" s="71"/>
      <c r="F874" s="32" t="s">
        <v>2553</v>
      </c>
      <c r="G874" s="32" t="s">
        <v>2554</v>
      </c>
      <c r="H874" s="32"/>
      <c r="I874" s="32" t="s">
        <v>2325</v>
      </c>
      <c r="J874" s="33">
        <v>1</v>
      </c>
      <c r="K874" s="34"/>
    </row>
    <row r="875" spans="1:11" x14ac:dyDescent="0.25">
      <c r="A875" s="31" t="s">
        <v>314</v>
      </c>
      <c r="B875" s="71" t="s">
        <v>2555</v>
      </c>
      <c r="C875" s="71"/>
      <c r="D875" s="71"/>
      <c r="E875" s="71"/>
      <c r="F875" s="32" t="s">
        <v>2556</v>
      </c>
      <c r="G875" s="32" t="s">
        <v>2557</v>
      </c>
      <c r="H875" s="32"/>
      <c r="I875" s="32" t="s">
        <v>2325</v>
      </c>
      <c r="J875" s="33">
        <v>1</v>
      </c>
      <c r="K875" s="34"/>
    </row>
    <row r="876" spans="1:11" x14ac:dyDescent="0.25">
      <c r="A876" s="31" t="s">
        <v>314</v>
      </c>
      <c r="B876" s="71" t="s">
        <v>2558</v>
      </c>
      <c r="C876" s="71"/>
      <c r="D876" s="71"/>
      <c r="E876" s="71"/>
      <c r="F876" s="32" t="s">
        <v>2559</v>
      </c>
      <c r="G876" s="32" t="s">
        <v>2560</v>
      </c>
      <c r="H876" s="32"/>
      <c r="I876" s="32" t="s">
        <v>2325</v>
      </c>
      <c r="J876" s="33">
        <v>14</v>
      </c>
      <c r="K876" s="34"/>
    </row>
    <row r="877" spans="1:11" x14ac:dyDescent="0.25">
      <c r="A877" s="31" t="s">
        <v>314</v>
      </c>
      <c r="B877" s="71" t="s">
        <v>2561</v>
      </c>
      <c r="C877" s="71"/>
      <c r="D877" s="71"/>
      <c r="E877" s="71"/>
      <c r="F877" s="32" t="s">
        <v>2562</v>
      </c>
      <c r="G877" s="32" t="s">
        <v>2563</v>
      </c>
      <c r="H877" s="32"/>
      <c r="I877" s="32" t="s">
        <v>2325</v>
      </c>
      <c r="J877" s="33">
        <v>4</v>
      </c>
      <c r="K877" s="34"/>
    </row>
    <row r="878" spans="1:11" x14ac:dyDescent="0.25">
      <c r="A878" s="31" t="s">
        <v>314</v>
      </c>
      <c r="B878" s="71" t="s">
        <v>2564</v>
      </c>
      <c r="C878" s="71"/>
      <c r="D878" s="71"/>
      <c r="E878" s="71"/>
      <c r="F878" s="32" t="s">
        <v>2565</v>
      </c>
      <c r="G878" s="32" t="s">
        <v>2566</v>
      </c>
      <c r="H878" s="32"/>
      <c r="I878" s="32" t="s">
        <v>2325</v>
      </c>
      <c r="J878" s="33">
        <v>1</v>
      </c>
      <c r="K878" s="34"/>
    </row>
    <row r="879" spans="1:11" x14ac:dyDescent="0.25">
      <c r="A879" s="31" t="s">
        <v>41</v>
      </c>
      <c r="B879" s="71" t="s">
        <v>2567</v>
      </c>
      <c r="C879" s="351" t="s">
        <v>499</v>
      </c>
      <c r="D879" s="71"/>
      <c r="E879" s="71"/>
      <c r="F879" s="32" t="s">
        <v>2568</v>
      </c>
      <c r="G879" s="32" t="s">
        <v>2569</v>
      </c>
      <c r="H879" s="32"/>
      <c r="I879" s="32"/>
      <c r="J879" s="33">
        <v>40</v>
      </c>
      <c r="K879" s="34"/>
    </row>
    <row r="880" spans="1:11" x14ac:dyDescent="0.25">
      <c r="A880" s="31" t="s">
        <v>41</v>
      </c>
      <c r="B880" s="71" t="s">
        <v>2570</v>
      </c>
      <c r="C880" s="351" t="s">
        <v>499</v>
      </c>
      <c r="D880" s="71"/>
      <c r="E880" s="71"/>
      <c r="F880" s="32" t="s">
        <v>2571</v>
      </c>
      <c r="G880" s="32" t="s">
        <v>2572</v>
      </c>
      <c r="H880" s="32"/>
      <c r="I880" s="32"/>
      <c r="J880" s="33">
        <v>40</v>
      </c>
      <c r="K880" s="34"/>
    </row>
    <row r="881" spans="1:11" x14ac:dyDescent="0.25">
      <c r="A881" s="31" t="s">
        <v>41</v>
      </c>
      <c r="B881" s="71" t="s">
        <v>2573</v>
      </c>
      <c r="C881" s="71"/>
      <c r="D881" s="71">
        <v>1002548203009</v>
      </c>
      <c r="E881" s="71"/>
      <c r="F881" s="32" t="s">
        <v>2574</v>
      </c>
      <c r="G881" s="32"/>
      <c r="H881" s="32"/>
      <c r="I881" s="32"/>
      <c r="J881" s="33">
        <v>40</v>
      </c>
      <c r="K881" s="34"/>
    </row>
    <row r="882" spans="1:11" x14ac:dyDescent="0.25">
      <c r="A882" s="31" t="s">
        <v>41</v>
      </c>
      <c r="B882" s="71" t="s">
        <v>2575</v>
      </c>
      <c r="C882" s="71"/>
      <c r="D882" s="71"/>
      <c r="E882" s="71"/>
      <c r="F882" s="32" t="s">
        <v>2576</v>
      </c>
      <c r="G882" s="32"/>
      <c r="H882" s="32"/>
      <c r="I882" s="32"/>
      <c r="J882" s="33">
        <v>40</v>
      </c>
      <c r="K882" s="34"/>
    </row>
    <row r="883" spans="1:11" x14ac:dyDescent="0.25">
      <c r="A883" s="31" t="s">
        <v>314</v>
      </c>
      <c r="B883" s="31">
        <v>1000146811030</v>
      </c>
      <c r="C883" s="71"/>
      <c r="D883" s="71"/>
      <c r="E883" s="71"/>
      <c r="F883" s="32" t="s">
        <v>2577</v>
      </c>
      <c r="G883" s="509" t="s">
        <v>2578</v>
      </c>
      <c r="H883" s="32" t="s">
        <v>785</v>
      </c>
      <c r="I883" s="32"/>
      <c r="J883" s="33">
        <v>20</v>
      </c>
      <c r="K883" s="34"/>
    </row>
    <row r="884" spans="1:11" x14ac:dyDescent="0.25">
      <c r="A884" s="31" t="s">
        <v>314</v>
      </c>
      <c r="B884" s="71" t="s">
        <v>2579</v>
      </c>
      <c r="C884" s="71"/>
      <c r="D884" s="71"/>
      <c r="E884" s="71"/>
      <c r="F884" s="71" t="s">
        <v>2580</v>
      </c>
      <c r="G884" s="71" t="s">
        <v>2581</v>
      </c>
      <c r="H884" s="32" t="s">
        <v>1345</v>
      </c>
      <c r="I884" s="71"/>
      <c r="J884" s="33">
        <v>10</v>
      </c>
      <c r="K884" s="34"/>
    </row>
    <row r="885" spans="1:11" x14ac:dyDescent="0.25">
      <c r="A885" s="31" t="s">
        <v>314</v>
      </c>
      <c r="B885" s="71" t="s">
        <v>2582</v>
      </c>
      <c r="C885" s="71"/>
      <c r="D885" s="71"/>
      <c r="E885" s="71"/>
      <c r="F885" s="71" t="s">
        <v>2583</v>
      </c>
      <c r="G885" s="71" t="s">
        <v>2582</v>
      </c>
      <c r="H885" s="32"/>
      <c r="I885" s="71"/>
      <c r="J885" s="33">
        <v>20</v>
      </c>
      <c r="K885" s="34"/>
    </row>
    <row r="886" spans="1:11" x14ac:dyDescent="0.25">
      <c r="A886" s="31" t="s">
        <v>314</v>
      </c>
      <c r="B886" s="71" t="s">
        <v>2584</v>
      </c>
      <c r="C886" s="71"/>
      <c r="D886" s="71"/>
      <c r="E886" s="71"/>
      <c r="F886" s="71" t="s">
        <v>2585</v>
      </c>
      <c r="G886" s="71" t="s">
        <v>2586</v>
      </c>
      <c r="H886" s="32" t="s">
        <v>785</v>
      </c>
      <c r="I886" s="71"/>
      <c r="J886" s="33">
        <v>10</v>
      </c>
      <c r="K886" s="34"/>
    </row>
    <row r="887" spans="1:11" x14ac:dyDescent="0.25">
      <c r="A887" s="31" t="s">
        <v>41</v>
      </c>
      <c r="B887" s="71" t="s">
        <v>2587</v>
      </c>
      <c r="C887" s="71"/>
      <c r="D887" s="71"/>
      <c r="E887" s="71"/>
      <c r="F887" s="32" t="s">
        <v>2588</v>
      </c>
      <c r="G887" s="32" t="s">
        <v>2589</v>
      </c>
      <c r="H887" s="32"/>
      <c r="I887" s="32" t="s">
        <v>461</v>
      </c>
      <c r="J887" s="33">
        <v>5</v>
      </c>
      <c r="K887" s="34"/>
    </row>
    <row r="888" spans="1:11" x14ac:dyDescent="0.25">
      <c r="A888" s="31" t="s">
        <v>314</v>
      </c>
      <c r="B888" s="71" t="s">
        <v>2590</v>
      </c>
      <c r="C888" s="71"/>
      <c r="D888" s="71"/>
      <c r="E888" s="71"/>
      <c r="F888" s="71" t="s">
        <v>2591</v>
      </c>
      <c r="G888" s="71" t="s">
        <v>2592</v>
      </c>
      <c r="H888" s="32" t="s">
        <v>2593</v>
      </c>
      <c r="I888" s="71"/>
      <c r="J888" s="33">
        <v>10</v>
      </c>
      <c r="K888" s="34"/>
    </row>
    <row r="889" spans="1:11" x14ac:dyDescent="0.25">
      <c r="A889" s="31" t="s">
        <v>314</v>
      </c>
      <c r="B889" s="71" t="s">
        <v>2594</v>
      </c>
      <c r="C889" s="71"/>
      <c r="D889" s="71"/>
      <c r="E889" s="71"/>
      <c r="F889" s="71" t="s">
        <v>2595</v>
      </c>
      <c r="G889" s="71" t="s">
        <v>2596</v>
      </c>
      <c r="H889" s="32" t="s">
        <v>2597</v>
      </c>
      <c r="I889" s="71"/>
      <c r="J889" s="33">
        <v>10</v>
      </c>
      <c r="K889" s="34"/>
    </row>
    <row r="890" spans="1:11" x14ac:dyDescent="0.25">
      <c r="A890" s="31" t="s">
        <v>314</v>
      </c>
      <c r="B890" s="71" t="s">
        <v>2598</v>
      </c>
      <c r="C890" s="71"/>
      <c r="D890" s="31"/>
      <c r="E890" s="31"/>
      <c r="F890" s="31" t="s">
        <v>2599</v>
      </c>
      <c r="G890" s="31" t="s">
        <v>2600</v>
      </c>
      <c r="H890" s="31" t="s">
        <v>1054</v>
      </c>
      <c r="I890" s="32"/>
      <c r="J890" s="33">
        <v>25</v>
      </c>
      <c r="K890" s="34"/>
    </row>
    <row r="891" spans="1:11" x14ac:dyDescent="0.25">
      <c r="A891" s="31" t="s">
        <v>108</v>
      </c>
      <c r="B891" s="71" t="s">
        <v>2601</v>
      </c>
      <c r="C891" s="71"/>
      <c r="D891" s="71"/>
      <c r="E891" s="71"/>
      <c r="F891" s="32" t="s">
        <v>2602</v>
      </c>
      <c r="G891" s="32" t="s">
        <v>2603</v>
      </c>
      <c r="H891" s="32"/>
      <c r="I891" s="32"/>
      <c r="J891" s="33">
        <v>1</v>
      </c>
      <c r="K891" s="34"/>
    </row>
    <row r="892" spans="1:11" x14ac:dyDescent="0.25">
      <c r="A892" s="253" t="s">
        <v>2438</v>
      </c>
      <c r="B892" s="51" t="s">
        <v>2604</v>
      </c>
      <c r="C892" s="51"/>
      <c r="D892" s="253"/>
      <c r="E892" s="253"/>
      <c r="F892" s="32" t="s">
        <v>2602</v>
      </c>
      <c r="G892" s="32" t="s">
        <v>2605</v>
      </c>
      <c r="H892" s="52"/>
      <c r="I892" s="52"/>
      <c r="J892" s="54"/>
      <c r="K892" s="38"/>
    </row>
    <row r="893" spans="1:11" x14ac:dyDescent="0.25">
      <c r="A893" s="31" t="s">
        <v>108</v>
      </c>
      <c r="B893" s="71" t="s">
        <v>2606</v>
      </c>
      <c r="C893" s="71"/>
      <c r="D893" s="71"/>
      <c r="E893" s="71"/>
      <c r="F893" s="32" t="s">
        <v>2607</v>
      </c>
      <c r="G893" s="32">
        <v>1206586</v>
      </c>
      <c r="H893" s="32" t="s">
        <v>2608</v>
      </c>
      <c r="I893" s="32"/>
      <c r="J893" s="33">
        <v>1</v>
      </c>
      <c r="K893" s="34"/>
    </row>
    <row r="894" spans="1:11" x14ac:dyDescent="0.25">
      <c r="A894" s="31" t="s">
        <v>314</v>
      </c>
      <c r="B894" s="71" t="s">
        <v>2609</v>
      </c>
      <c r="C894" s="71"/>
      <c r="D894" s="71"/>
      <c r="E894" s="71"/>
      <c r="F894" s="32" t="s">
        <v>2610</v>
      </c>
      <c r="G894" s="32" t="s">
        <v>2611</v>
      </c>
      <c r="H894" s="32"/>
      <c r="I894" s="32"/>
      <c r="J894" s="33">
        <v>20</v>
      </c>
      <c r="K894" s="34"/>
    </row>
    <row r="895" spans="1:11" x14ac:dyDescent="0.25">
      <c r="A895" s="31" t="s">
        <v>314</v>
      </c>
      <c r="B895" s="71" t="s">
        <v>2612</v>
      </c>
      <c r="C895" s="71"/>
      <c r="D895" s="71"/>
      <c r="E895" s="71"/>
      <c r="F895" s="32" t="s">
        <v>2613</v>
      </c>
      <c r="G895" s="32"/>
      <c r="H895" s="32"/>
      <c r="I895" s="32"/>
      <c r="J895" s="33">
        <v>20</v>
      </c>
      <c r="K895" s="34"/>
    </row>
    <row r="896" spans="1:11" x14ac:dyDescent="0.25">
      <c r="A896" s="31" t="s">
        <v>314</v>
      </c>
      <c r="B896" s="71" t="s">
        <v>2614</v>
      </c>
      <c r="C896" s="71"/>
      <c r="D896" s="71"/>
      <c r="E896" s="71"/>
      <c r="F896" s="32" t="s">
        <v>2615</v>
      </c>
      <c r="G896" s="32"/>
      <c r="H896" s="32"/>
      <c r="I896" s="32"/>
      <c r="J896" s="33">
        <v>20</v>
      </c>
      <c r="K896" s="34"/>
    </row>
    <row r="897" spans="1:11" x14ac:dyDescent="0.25">
      <c r="A897" s="31" t="s">
        <v>314</v>
      </c>
      <c r="B897" s="71" t="s">
        <v>2616</v>
      </c>
      <c r="C897" s="71"/>
      <c r="D897" s="71"/>
      <c r="E897" s="71"/>
      <c r="F897" s="32" t="s">
        <v>2617</v>
      </c>
      <c r="G897" s="32"/>
      <c r="H897" s="32"/>
      <c r="I897" s="32"/>
      <c r="J897" s="33">
        <v>20</v>
      </c>
      <c r="K897" s="34"/>
    </row>
    <row r="898" spans="1:11" x14ac:dyDescent="0.25">
      <c r="A898" s="31" t="s">
        <v>169</v>
      </c>
      <c r="B898" s="71" t="s">
        <v>2618</v>
      </c>
      <c r="C898" s="71"/>
      <c r="D898" s="31"/>
      <c r="E898" s="31"/>
      <c r="F898" s="32" t="s">
        <v>2619</v>
      </c>
      <c r="G898" s="32" t="s">
        <v>2620</v>
      </c>
      <c r="H898" s="203" t="s">
        <v>2621</v>
      </c>
      <c r="I898" s="32"/>
      <c r="J898" s="33">
        <v>2</v>
      </c>
      <c r="K898" s="34"/>
    </row>
    <row r="899" spans="1:11" x14ac:dyDescent="0.25">
      <c r="A899" s="32"/>
      <c r="B899" s="70" t="s">
        <v>2622</v>
      </c>
      <c r="C899" s="70"/>
      <c r="D899" s="70"/>
      <c r="E899" s="70"/>
      <c r="F899" s="31" t="s">
        <v>2623</v>
      </c>
      <c r="G899" s="32" t="s">
        <v>2624</v>
      </c>
      <c r="H899" s="32" t="s">
        <v>2625</v>
      </c>
      <c r="I899" s="32"/>
      <c r="J899" s="33">
        <v>10</v>
      </c>
      <c r="K899" s="34"/>
    </row>
    <row r="900" spans="1:11" x14ac:dyDescent="0.25">
      <c r="A900" s="51"/>
      <c r="B900" s="51"/>
      <c r="C900" s="51"/>
      <c r="D900" s="51"/>
      <c r="E900" s="51"/>
      <c r="F900" s="52" t="s">
        <v>2627</v>
      </c>
      <c r="G900" s="52"/>
      <c r="H900" s="52"/>
      <c r="I900" s="52"/>
      <c r="J900" s="54"/>
      <c r="K900" s="38"/>
    </row>
    <row r="901" spans="1:11" x14ac:dyDescent="0.25">
      <c r="A901" s="31" t="s">
        <v>314</v>
      </c>
      <c r="B901" s="253">
        <v>1238510040000</v>
      </c>
      <c r="C901" s="253"/>
      <c r="D901" s="221"/>
      <c r="E901" s="221"/>
      <c r="F901" s="52" t="s">
        <v>2628</v>
      </c>
      <c r="G901" s="52" t="s">
        <v>2629</v>
      </c>
      <c r="H901" s="52" t="s">
        <v>2630</v>
      </c>
      <c r="I901" s="209"/>
      <c r="J901" s="54">
        <v>50</v>
      </c>
      <c r="K901" s="38"/>
    </row>
    <row r="902" spans="1:11" x14ac:dyDescent="0.25">
      <c r="A902" s="31" t="s">
        <v>41</v>
      </c>
      <c r="B902" s="71" t="s">
        <v>2631</v>
      </c>
      <c r="C902" s="71"/>
      <c r="D902" s="71"/>
      <c r="E902" s="71"/>
      <c r="F902" s="32" t="s">
        <v>2632</v>
      </c>
      <c r="G902" s="32" t="s">
        <v>2633</v>
      </c>
      <c r="H902" s="32"/>
      <c r="I902" s="32" t="s">
        <v>1084</v>
      </c>
      <c r="J902" s="33">
        <v>200</v>
      </c>
      <c r="K902" s="34"/>
    </row>
    <row r="903" spans="1:11" x14ac:dyDescent="0.25">
      <c r="A903" s="31" t="s">
        <v>41</v>
      </c>
      <c r="B903" s="71" t="s">
        <v>2634</v>
      </c>
      <c r="C903" s="71"/>
      <c r="D903" s="71"/>
      <c r="E903" s="71"/>
      <c r="F903" s="32" t="s">
        <v>2635</v>
      </c>
      <c r="G903" s="32" t="s">
        <v>2636</v>
      </c>
      <c r="H903" s="32"/>
      <c r="I903" s="32"/>
      <c r="J903" s="33">
        <v>1</v>
      </c>
      <c r="K903" s="34"/>
    </row>
    <row r="904" spans="1:11" x14ac:dyDescent="0.25">
      <c r="A904" s="31" t="s">
        <v>41</v>
      </c>
      <c r="B904" s="71" t="s">
        <v>2638</v>
      </c>
      <c r="C904" s="71"/>
      <c r="D904" s="71"/>
      <c r="E904" s="71"/>
      <c r="F904" s="32" t="s">
        <v>2639</v>
      </c>
      <c r="G904" s="32" t="s">
        <v>2640</v>
      </c>
      <c r="H904" s="32"/>
      <c r="I904" s="32"/>
      <c r="J904" s="33">
        <v>1</v>
      </c>
      <c r="K904" s="34"/>
    </row>
    <row r="905" spans="1:11" x14ac:dyDescent="0.25">
      <c r="A905" s="31" t="s">
        <v>227</v>
      </c>
      <c r="B905" s="71" t="s">
        <v>2641</v>
      </c>
      <c r="C905" s="71"/>
      <c r="D905" s="71"/>
      <c r="E905" s="71"/>
      <c r="F905" s="52" t="s">
        <v>2642</v>
      </c>
      <c r="G905" s="52" t="s">
        <v>2643</v>
      </c>
      <c r="H905" s="52" t="s">
        <v>2644</v>
      </c>
      <c r="I905" s="32"/>
      <c r="J905" s="33" t="s">
        <v>283</v>
      </c>
      <c r="K905" s="34"/>
    </row>
    <row r="906" spans="1:11" x14ac:dyDescent="0.25">
      <c r="A906" s="31" t="s">
        <v>227</v>
      </c>
      <c r="B906" s="71" t="s">
        <v>2645</v>
      </c>
      <c r="C906" s="71"/>
      <c r="D906" s="71"/>
      <c r="E906" s="71"/>
      <c r="F906" s="52" t="s">
        <v>2646</v>
      </c>
      <c r="G906" s="52" t="s">
        <v>2647</v>
      </c>
      <c r="H906" s="52" t="s">
        <v>600</v>
      </c>
      <c r="I906" s="32"/>
      <c r="J906" s="33">
        <v>1</v>
      </c>
      <c r="K906" s="34"/>
    </row>
    <row r="907" spans="1:11" x14ac:dyDescent="0.25">
      <c r="A907" s="51" t="s">
        <v>108</v>
      </c>
      <c r="B907" s="51" t="s">
        <v>2648</v>
      </c>
      <c r="C907" s="51"/>
      <c r="D907" s="253"/>
      <c r="E907" s="253"/>
      <c r="F907" s="52" t="s">
        <v>2649</v>
      </c>
      <c r="G907" s="52"/>
      <c r="H907" s="52" t="s">
        <v>2650</v>
      </c>
      <c r="I907" s="52" t="s">
        <v>2650</v>
      </c>
      <c r="J907" s="54">
        <v>1</v>
      </c>
      <c r="K907" s="38"/>
    </row>
    <row r="908" spans="1:11" x14ac:dyDescent="0.25">
      <c r="A908" s="31" t="s">
        <v>314</v>
      </c>
      <c r="B908" s="31" t="s">
        <v>2651</v>
      </c>
      <c r="C908" s="31"/>
      <c r="D908" s="31"/>
      <c r="E908" s="31"/>
      <c r="F908" s="31" t="s">
        <v>2652</v>
      </c>
      <c r="G908" s="31" t="s">
        <v>2653</v>
      </c>
      <c r="H908" s="31" t="s">
        <v>1345</v>
      </c>
      <c r="I908" s="31"/>
      <c r="J908" s="33">
        <v>10</v>
      </c>
      <c r="K908" s="34"/>
    </row>
    <row r="909" spans="1:11" x14ac:dyDescent="0.25">
      <c r="A909" s="31" t="s">
        <v>41</v>
      </c>
      <c r="B909" s="71" t="s">
        <v>2654</v>
      </c>
      <c r="C909" s="71"/>
      <c r="D909" s="71"/>
      <c r="E909" s="71"/>
      <c r="F909" s="32" t="s">
        <v>2655</v>
      </c>
      <c r="G909" s="32" t="s">
        <v>2656</v>
      </c>
      <c r="H909" s="32"/>
      <c r="I909" s="32" t="s">
        <v>461</v>
      </c>
      <c r="J909" s="33">
        <v>40</v>
      </c>
      <c r="K909" s="34"/>
    </row>
    <row r="910" spans="1:11" x14ac:dyDescent="0.25">
      <c r="A910" s="31" t="s">
        <v>314</v>
      </c>
      <c r="B910" s="349" t="s">
        <v>2657</v>
      </c>
      <c r="C910" s="71"/>
      <c r="D910" s="71"/>
      <c r="E910" s="71"/>
      <c r="F910" s="32" t="s">
        <v>2658</v>
      </c>
      <c r="G910" s="32" t="s">
        <v>2659</v>
      </c>
      <c r="H910" s="32" t="s">
        <v>719</v>
      </c>
      <c r="I910" s="32" t="s">
        <v>719</v>
      </c>
      <c r="J910" s="33">
        <v>200</v>
      </c>
      <c r="K910" s="34"/>
    </row>
    <row r="911" spans="1:11" x14ac:dyDescent="0.25">
      <c r="A911" s="31" t="s">
        <v>314</v>
      </c>
      <c r="B911" s="349" t="s">
        <v>2660</v>
      </c>
      <c r="C911" s="71"/>
      <c r="D911" s="71"/>
      <c r="E911" s="71"/>
      <c r="F911" s="32" t="s">
        <v>2661</v>
      </c>
      <c r="G911" s="32" t="s">
        <v>2662</v>
      </c>
      <c r="H911" s="32" t="s">
        <v>719</v>
      </c>
      <c r="I911" s="32" t="s">
        <v>719</v>
      </c>
      <c r="J911" s="33">
        <v>200</v>
      </c>
      <c r="K911" s="34"/>
    </row>
    <row r="912" spans="1:11" x14ac:dyDescent="0.25">
      <c r="A912" s="31" t="s">
        <v>314</v>
      </c>
      <c r="B912" s="71" t="s">
        <v>2275</v>
      </c>
      <c r="C912" s="71"/>
      <c r="D912" s="71"/>
      <c r="E912" s="71"/>
      <c r="F912" s="32" t="s">
        <v>2663</v>
      </c>
      <c r="G912" s="32" t="s">
        <v>2277</v>
      </c>
      <c r="H912" s="32" t="s">
        <v>2122</v>
      </c>
      <c r="I912" s="32"/>
      <c r="J912" s="33">
        <v>100</v>
      </c>
      <c r="K912" s="34"/>
    </row>
    <row r="913" spans="1:11" s="406" customFormat="1" x14ac:dyDescent="0.25">
      <c r="A913" s="31" t="s">
        <v>314</v>
      </c>
      <c r="B913" s="71" t="s">
        <v>2275</v>
      </c>
      <c r="C913" s="71"/>
      <c r="D913" s="71"/>
      <c r="E913" s="71"/>
      <c r="F913" s="32" t="s">
        <v>2663</v>
      </c>
      <c r="G913" s="32" t="s">
        <v>2277</v>
      </c>
      <c r="H913" s="32" t="s">
        <v>2122</v>
      </c>
      <c r="I913" s="32"/>
      <c r="J913" s="33">
        <v>100</v>
      </c>
      <c r="K913" s="34"/>
    </row>
    <row r="914" spans="1:11" s="406" customFormat="1" x14ac:dyDescent="0.25">
      <c r="A914" s="31" t="s">
        <v>169</v>
      </c>
      <c r="B914" s="71" t="s">
        <v>2664</v>
      </c>
      <c r="C914" s="71"/>
      <c r="D914" s="71"/>
      <c r="E914" s="71"/>
      <c r="F914" s="32" t="s">
        <v>2665</v>
      </c>
      <c r="G914" s="70" t="s">
        <v>2666</v>
      </c>
      <c r="H914" s="32" t="s">
        <v>200</v>
      </c>
      <c r="I914" s="32"/>
      <c r="J914" s="33">
        <v>1</v>
      </c>
      <c r="K914" s="34"/>
    </row>
    <row r="915" spans="1:11" s="406" customFormat="1" x14ac:dyDescent="0.25">
      <c r="A915" s="31" t="s">
        <v>314</v>
      </c>
      <c r="B915" s="71" t="s">
        <v>2667</v>
      </c>
      <c r="C915" s="71"/>
      <c r="D915" s="71"/>
      <c r="E915" s="71"/>
      <c r="F915" s="32" t="s">
        <v>2668</v>
      </c>
      <c r="G915" s="32" t="s">
        <v>2669</v>
      </c>
      <c r="H915" s="32" t="s">
        <v>2670</v>
      </c>
      <c r="I915" s="32"/>
      <c r="J915" s="33">
        <v>5</v>
      </c>
      <c r="K915" s="34"/>
    </row>
    <row r="916" spans="1:11" s="406" customFormat="1" x14ac:dyDescent="0.25">
      <c r="A916" s="31" t="s">
        <v>314</v>
      </c>
      <c r="B916" s="71" t="s">
        <v>2671</v>
      </c>
      <c r="C916" s="71"/>
      <c r="D916" s="71"/>
      <c r="E916" s="71"/>
      <c r="F916" s="32" t="s">
        <v>2672</v>
      </c>
      <c r="G916" s="32" t="s">
        <v>2673</v>
      </c>
      <c r="H916" s="32"/>
      <c r="I916" s="32" t="s">
        <v>2325</v>
      </c>
      <c r="J916" s="33">
        <v>2</v>
      </c>
      <c r="K916" s="34"/>
    </row>
    <row r="917" spans="1:11" s="406" customFormat="1" x14ac:dyDescent="0.25">
      <c r="A917" s="31" t="s">
        <v>314</v>
      </c>
      <c r="B917" s="71" t="s">
        <v>2674</v>
      </c>
      <c r="C917" s="71"/>
      <c r="D917" s="71"/>
      <c r="E917" s="71"/>
      <c r="F917" s="32" t="s">
        <v>2675</v>
      </c>
      <c r="G917" s="32" t="s">
        <v>2676</v>
      </c>
      <c r="H917" s="32"/>
      <c r="I917" s="32" t="s">
        <v>2325</v>
      </c>
      <c r="J917" s="33">
        <v>2</v>
      </c>
      <c r="K917" s="34"/>
    </row>
    <row r="918" spans="1:11" s="406" customFormat="1" x14ac:dyDescent="0.25">
      <c r="A918" s="31" t="s">
        <v>314</v>
      </c>
      <c r="B918" s="71" t="s">
        <v>2677</v>
      </c>
      <c r="C918" s="71"/>
      <c r="D918" s="71"/>
      <c r="E918" s="71"/>
      <c r="F918" s="32" t="s">
        <v>2678</v>
      </c>
      <c r="G918" s="32" t="s">
        <v>2679</v>
      </c>
      <c r="H918" s="32"/>
      <c r="I918" s="32" t="s">
        <v>2325</v>
      </c>
      <c r="J918" s="33">
        <v>2</v>
      </c>
      <c r="K918" s="34"/>
    </row>
    <row r="919" spans="1:11" s="406" customFormat="1" x14ac:dyDescent="0.25">
      <c r="A919" s="31" t="s">
        <v>108</v>
      </c>
      <c r="B919" s="32" t="s">
        <v>2680</v>
      </c>
      <c r="C919" s="32"/>
      <c r="D919" s="32"/>
      <c r="E919" s="32"/>
      <c r="F919" s="32" t="s">
        <v>2681</v>
      </c>
      <c r="G919" s="32" t="s">
        <v>2682</v>
      </c>
      <c r="H919" s="32"/>
      <c r="I919" s="32"/>
      <c r="J919" s="33">
        <v>2</v>
      </c>
      <c r="K919" s="34"/>
    </row>
    <row r="920" spans="1:11" s="406" customFormat="1" x14ac:dyDescent="0.25">
      <c r="A920" s="31" t="s">
        <v>108</v>
      </c>
      <c r="B920" s="71" t="s">
        <v>2683</v>
      </c>
      <c r="C920" s="71"/>
      <c r="D920" s="71"/>
      <c r="E920" s="71"/>
      <c r="F920" s="71" t="s">
        <v>2684</v>
      </c>
      <c r="G920" s="31" t="s">
        <v>2685</v>
      </c>
      <c r="H920" s="32"/>
      <c r="I920" s="32"/>
      <c r="J920" s="33">
        <v>1</v>
      </c>
      <c r="K920" s="34"/>
    </row>
    <row r="921" spans="1:11" x14ac:dyDescent="0.25">
      <c r="A921" s="51" t="s">
        <v>298</v>
      </c>
      <c r="B921" s="191" t="s">
        <v>2686</v>
      </c>
      <c r="C921" s="191"/>
      <c r="D921" s="51"/>
      <c r="E921" s="51"/>
      <c r="F921" s="52" t="s">
        <v>2687</v>
      </c>
      <c r="G921" s="51"/>
      <c r="H921" s="52"/>
      <c r="I921" s="52"/>
      <c r="J921" s="54">
        <v>1</v>
      </c>
      <c r="K921" s="38"/>
    </row>
    <row r="922" spans="1:11" s="317" customFormat="1" x14ac:dyDescent="0.25">
      <c r="A922" s="31" t="s">
        <v>314</v>
      </c>
      <c r="B922" s="71">
        <v>1239024459900</v>
      </c>
      <c r="C922" s="31"/>
      <c r="D922" s="31"/>
      <c r="E922" s="31"/>
      <c r="F922" s="32" t="s">
        <v>2689</v>
      </c>
      <c r="G922" s="32" t="s">
        <v>2690</v>
      </c>
      <c r="H922" s="32" t="s">
        <v>488</v>
      </c>
      <c r="I922" s="32"/>
      <c r="J922" s="33">
        <v>200</v>
      </c>
      <c r="K922" s="34"/>
    </row>
    <row r="923" spans="1:11" s="317" customFormat="1" x14ac:dyDescent="0.25">
      <c r="A923" s="31" t="s">
        <v>314</v>
      </c>
      <c r="B923" s="71" t="s">
        <v>2691</v>
      </c>
      <c r="C923" s="71"/>
      <c r="D923" s="31"/>
      <c r="E923" s="31"/>
      <c r="F923" s="31" t="s">
        <v>2692</v>
      </c>
      <c r="G923" s="31">
        <v>6267</v>
      </c>
      <c r="H923" s="31" t="s">
        <v>2693</v>
      </c>
      <c r="I923" s="31"/>
      <c r="J923" s="33">
        <v>1</v>
      </c>
      <c r="K923" s="34"/>
    </row>
    <row r="924" spans="1:11" s="317" customFormat="1" x14ac:dyDescent="0.25">
      <c r="A924" s="31" t="s">
        <v>314</v>
      </c>
      <c r="B924" s="71" t="s">
        <v>2694</v>
      </c>
      <c r="C924" s="71"/>
      <c r="D924" s="31"/>
      <c r="E924" s="31"/>
      <c r="F924" s="31" t="s">
        <v>2695</v>
      </c>
      <c r="G924" s="31" t="s">
        <v>2696</v>
      </c>
      <c r="H924" s="31" t="s">
        <v>2697</v>
      </c>
      <c r="I924" s="31"/>
      <c r="J924" s="33">
        <v>10</v>
      </c>
      <c r="K924" s="34"/>
    </row>
    <row r="925" spans="1:11" x14ac:dyDescent="0.25">
      <c r="A925" s="31" t="s">
        <v>314</v>
      </c>
      <c r="B925" s="471" t="s">
        <v>2698</v>
      </c>
      <c r="C925" s="71"/>
      <c r="D925" s="31"/>
      <c r="E925" s="31"/>
      <c r="F925" s="495" t="s">
        <v>2699</v>
      </c>
      <c r="G925" s="495" t="s">
        <v>2700</v>
      </c>
      <c r="H925" s="31" t="s">
        <v>2697</v>
      </c>
      <c r="I925" s="31"/>
      <c r="J925" s="33">
        <v>10</v>
      </c>
      <c r="K925" s="34"/>
    </row>
    <row r="926" spans="1:11" x14ac:dyDescent="0.25">
      <c r="A926" s="116" t="s">
        <v>314</v>
      </c>
      <c r="B926" s="116" t="s">
        <v>2701</v>
      </c>
      <c r="C926" s="116"/>
      <c r="D926" s="116" t="s">
        <v>2702</v>
      </c>
      <c r="E926" s="116"/>
      <c r="F926" s="116" t="s">
        <v>2703</v>
      </c>
      <c r="G926" s="116" t="s">
        <v>2704</v>
      </c>
      <c r="H926" s="116" t="s">
        <v>461</v>
      </c>
      <c r="I926" s="116"/>
      <c r="J926" s="300">
        <v>10</v>
      </c>
      <c r="K926" s="265"/>
    </row>
    <row r="927" spans="1:11" x14ac:dyDescent="0.25">
      <c r="A927" s="31" t="s">
        <v>314</v>
      </c>
      <c r="B927" s="71" t="s">
        <v>2706</v>
      </c>
      <c r="C927" s="71"/>
      <c r="D927" s="71"/>
      <c r="E927" s="71"/>
      <c r="F927" s="31" t="s">
        <v>2707</v>
      </c>
      <c r="G927" s="31" t="s">
        <v>2708</v>
      </c>
      <c r="H927" s="31" t="s">
        <v>2709</v>
      </c>
      <c r="I927" s="31"/>
      <c r="J927" s="33">
        <v>10</v>
      </c>
      <c r="K927" s="34"/>
    </row>
    <row r="928" spans="1:11" x14ac:dyDescent="0.25">
      <c r="A928" s="31" t="s">
        <v>314</v>
      </c>
      <c r="B928" s="71" t="s">
        <v>2710</v>
      </c>
      <c r="C928" s="71"/>
      <c r="D928" s="71"/>
      <c r="E928" s="71"/>
      <c r="F928" s="31" t="s">
        <v>2711</v>
      </c>
      <c r="G928" s="31" t="s">
        <v>2712</v>
      </c>
      <c r="H928" s="31" t="s">
        <v>2713</v>
      </c>
      <c r="I928" s="31"/>
      <c r="J928" s="33">
        <v>10</v>
      </c>
      <c r="K928" s="34"/>
    </row>
    <row r="929" spans="1:11" x14ac:dyDescent="0.25">
      <c r="A929" s="253" t="s">
        <v>2438</v>
      </c>
      <c r="B929" s="51" t="s">
        <v>2714</v>
      </c>
      <c r="C929" s="51"/>
      <c r="D929" s="253"/>
      <c r="E929" s="253"/>
      <c r="F929" s="32" t="s">
        <v>2715</v>
      </c>
      <c r="G929" s="32" t="s">
        <v>2716</v>
      </c>
      <c r="H929" s="52"/>
      <c r="I929" s="52"/>
      <c r="J929" s="54"/>
      <c r="K929" s="38"/>
    </row>
    <row r="930" spans="1:11" x14ac:dyDescent="0.25">
      <c r="A930" s="31" t="s">
        <v>108</v>
      </c>
      <c r="B930" s="71" t="s">
        <v>2717</v>
      </c>
      <c r="C930" s="71"/>
      <c r="D930" s="71"/>
      <c r="E930" s="71"/>
      <c r="F930" s="32" t="s">
        <v>2718</v>
      </c>
      <c r="G930" s="32" t="s">
        <v>2719</v>
      </c>
      <c r="H930" s="32" t="s">
        <v>113</v>
      </c>
      <c r="I930" s="32"/>
      <c r="J930" s="33">
        <v>1</v>
      </c>
      <c r="K930" s="34"/>
    </row>
    <row r="931" spans="1:11" x14ac:dyDescent="0.25">
      <c r="A931" s="31" t="s">
        <v>108</v>
      </c>
      <c r="B931" s="32" t="s">
        <v>2720</v>
      </c>
      <c r="C931" s="32"/>
      <c r="D931" s="32"/>
      <c r="E931" s="32"/>
      <c r="F931" s="32" t="s">
        <v>2721</v>
      </c>
      <c r="G931" s="32" t="s">
        <v>2722</v>
      </c>
      <c r="H931" s="32"/>
      <c r="I931" s="32"/>
      <c r="J931" s="33">
        <v>2</v>
      </c>
      <c r="K931" s="34"/>
    </row>
    <row r="932" spans="1:11" x14ac:dyDescent="0.25">
      <c r="A932" s="31" t="s">
        <v>169</v>
      </c>
      <c r="B932" s="71" t="s">
        <v>2723</v>
      </c>
      <c r="C932" s="71"/>
      <c r="D932" s="31"/>
      <c r="E932" s="31"/>
      <c r="F932" s="32" t="s">
        <v>2724</v>
      </c>
      <c r="G932" s="32" t="s">
        <v>2725</v>
      </c>
      <c r="H932" s="203" t="s">
        <v>2621</v>
      </c>
      <c r="I932" s="32"/>
      <c r="J932" s="33">
        <v>2</v>
      </c>
      <c r="K932" s="34"/>
    </row>
    <row r="933" spans="1:11" x14ac:dyDescent="0.25">
      <c r="A933" s="31" t="s">
        <v>108</v>
      </c>
      <c r="B933" s="71" t="s">
        <v>2726</v>
      </c>
      <c r="C933" s="71"/>
      <c r="D933" s="71"/>
      <c r="E933" s="71"/>
      <c r="F933" s="32" t="s">
        <v>2727</v>
      </c>
      <c r="G933" s="32">
        <v>1608860000</v>
      </c>
      <c r="H933" s="32"/>
      <c r="I933" s="32"/>
      <c r="J933" s="33">
        <v>1</v>
      </c>
      <c r="K933" s="34"/>
    </row>
    <row r="934" spans="1:11" x14ac:dyDescent="0.25">
      <c r="A934" s="31" t="s">
        <v>108</v>
      </c>
      <c r="B934" s="71" t="s">
        <v>2728</v>
      </c>
      <c r="C934" s="71"/>
      <c r="D934" s="71"/>
      <c r="E934" s="71"/>
      <c r="F934" s="32" t="s">
        <v>2729</v>
      </c>
      <c r="G934" s="32" t="s">
        <v>2730</v>
      </c>
      <c r="H934" s="32"/>
      <c r="I934" s="32"/>
      <c r="J934" s="33">
        <v>1</v>
      </c>
      <c r="K934" s="34"/>
    </row>
    <row r="935" spans="1:11" x14ac:dyDescent="0.25">
      <c r="A935" s="31" t="s">
        <v>108</v>
      </c>
      <c r="B935" s="71" t="s">
        <v>2732</v>
      </c>
      <c r="C935" s="71"/>
      <c r="D935" s="71"/>
      <c r="E935" s="71"/>
      <c r="F935" s="32" t="s">
        <v>2733</v>
      </c>
      <c r="G935" s="32" t="s">
        <v>2734</v>
      </c>
      <c r="H935" s="32"/>
      <c r="I935" s="32"/>
      <c r="J935" s="33" t="s">
        <v>283</v>
      </c>
      <c r="K935" s="34"/>
    </row>
    <row r="936" spans="1:11" x14ac:dyDescent="0.25">
      <c r="A936" s="31" t="s">
        <v>1582</v>
      </c>
      <c r="B936" s="71" t="s">
        <v>2736</v>
      </c>
      <c r="C936" s="71"/>
      <c r="D936" s="71"/>
      <c r="E936" s="71"/>
      <c r="F936" s="31" t="s">
        <v>2737</v>
      </c>
      <c r="G936" s="71" t="s">
        <v>2736</v>
      </c>
      <c r="H936" s="31" t="s">
        <v>1345</v>
      </c>
      <c r="I936" s="52" t="s">
        <v>301</v>
      </c>
      <c r="J936" s="32">
        <v>3</v>
      </c>
      <c r="K936" s="38"/>
    </row>
    <row r="937" spans="1:11" x14ac:dyDescent="0.25">
      <c r="A937" s="31" t="s">
        <v>41</v>
      </c>
      <c r="B937" s="71" t="s">
        <v>2738</v>
      </c>
      <c r="C937" s="71"/>
      <c r="D937" s="71"/>
      <c r="E937" s="71"/>
      <c r="F937" s="32" t="s">
        <v>2739</v>
      </c>
      <c r="G937" s="32" t="s">
        <v>2740</v>
      </c>
      <c r="H937" s="32"/>
      <c r="I937" s="32" t="s">
        <v>1084</v>
      </c>
      <c r="J937" s="33">
        <v>1</v>
      </c>
      <c r="K937" s="34"/>
    </row>
    <row r="938" spans="1:11" x14ac:dyDescent="0.25">
      <c r="A938" s="31" t="s">
        <v>314</v>
      </c>
      <c r="B938" s="71" t="s">
        <v>2741</v>
      </c>
      <c r="C938" s="71"/>
      <c r="D938" s="71"/>
      <c r="E938" s="71"/>
      <c r="F938" s="32" t="s">
        <v>2742</v>
      </c>
      <c r="G938" s="32" t="s">
        <v>2743</v>
      </c>
      <c r="H938" s="32" t="s">
        <v>1063</v>
      </c>
      <c r="I938" s="32"/>
      <c r="J938" s="33">
        <v>20</v>
      </c>
      <c r="K938" s="34"/>
    </row>
    <row r="939" spans="1:11" x14ac:dyDescent="0.25">
      <c r="A939" s="31" t="s">
        <v>314</v>
      </c>
      <c r="B939" s="71" t="s">
        <v>2744</v>
      </c>
      <c r="C939" s="71"/>
      <c r="D939" s="71"/>
      <c r="E939" s="71"/>
      <c r="F939" s="32" t="s">
        <v>2745</v>
      </c>
      <c r="G939" s="32" t="s">
        <v>2746</v>
      </c>
      <c r="H939" s="32" t="s">
        <v>1063</v>
      </c>
      <c r="I939" s="32"/>
      <c r="J939" s="33">
        <v>20</v>
      </c>
      <c r="K939" s="34"/>
    </row>
    <row r="940" spans="1:11" x14ac:dyDescent="0.25">
      <c r="A940" s="31" t="s">
        <v>41</v>
      </c>
      <c r="B940" s="71" t="s">
        <v>2747</v>
      </c>
      <c r="C940" s="71"/>
      <c r="D940" s="71"/>
      <c r="E940" s="71"/>
      <c r="F940" s="32" t="s">
        <v>2748</v>
      </c>
      <c r="G940" s="32" t="s">
        <v>2749</v>
      </c>
      <c r="H940" s="32"/>
      <c r="I940" s="32" t="s">
        <v>1084</v>
      </c>
      <c r="J940" s="33">
        <v>1</v>
      </c>
      <c r="K940" s="34"/>
    </row>
    <row r="941" spans="1:11" x14ac:dyDescent="0.25">
      <c r="A941" s="31" t="s">
        <v>314</v>
      </c>
      <c r="B941" s="71" t="s">
        <v>2750</v>
      </c>
      <c r="C941" s="71"/>
      <c r="D941" s="71"/>
      <c r="E941" s="71"/>
      <c r="F941" s="31" t="s">
        <v>2751</v>
      </c>
      <c r="G941" s="32" t="s">
        <v>2752</v>
      </c>
      <c r="H941" s="32"/>
      <c r="I941" s="32"/>
      <c r="J941" s="33">
        <v>6</v>
      </c>
      <c r="K941" s="34"/>
    </row>
    <row r="942" spans="1:11" x14ac:dyDescent="0.25">
      <c r="A942" s="283" t="s">
        <v>314</v>
      </c>
      <c r="B942" s="284" t="s">
        <v>2753</v>
      </c>
      <c r="C942" s="284"/>
      <c r="D942" s="284" t="s">
        <v>2754</v>
      </c>
      <c r="E942" s="284"/>
      <c r="F942" s="283" t="s">
        <v>2755</v>
      </c>
      <c r="G942" s="285" t="s">
        <v>2756</v>
      </c>
      <c r="H942" s="285"/>
      <c r="I942" s="285"/>
      <c r="J942" s="286">
        <v>6</v>
      </c>
      <c r="K942" s="287"/>
    </row>
    <row r="943" spans="1:11" x14ac:dyDescent="0.25">
      <c r="A943" s="31" t="s">
        <v>314</v>
      </c>
      <c r="B943" s="71" t="s">
        <v>2757</v>
      </c>
      <c r="C943" s="71"/>
      <c r="D943" s="71"/>
      <c r="E943" s="71"/>
      <c r="F943" s="32" t="s">
        <v>2758</v>
      </c>
      <c r="G943" s="32" t="s">
        <v>2759</v>
      </c>
      <c r="H943" s="32"/>
      <c r="I943" s="32" t="s">
        <v>2325</v>
      </c>
      <c r="J943" s="33">
        <v>3</v>
      </c>
      <c r="K943" s="34"/>
    </row>
    <row r="944" spans="1:11" x14ac:dyDescent="0.25">
      <c r="A944" s="31" t="s">
        <v>314</v>
      </c>
      <c r="B944" s="71" t="s">
        <v>2760</v>
      </c>
      <c r="C944" s="71"/>
      <c r="D944" s="71"/>
      <c r="E944" s="71"/>
      <c r="F944" s="32" t="s">
        <v>2761</v>
      </c>
      <c r="G944" s="32" t="s">
        <v>2762</v>
      </c>
      <c r="H944" s="32"/>
      <c r="I944" s="32" t="s">
        <v>2325</v>
      </c>
      <c r="J944" s="33">
        <v>1</v>
      </c>
      <c r="K944" s="34"/>
    </row>
    <row r="945" spans="1:11" x14ac:dyDescent="0.25">
      <c r="A945" s="31" t="s">
        <v>314</v>
      </c>
      <c r="B945" s="71" t="s">
        <v>2763</v>
      </c>
      <c r="C945" s="71"/>
      <c r="D945" s="71"/>
      <c r="E945" s="71"/>
      <c r="F945" s="32" t="s">
        <v>2764</v>
      </c>
      <c r="G945" s="32" t="s">
        <v>2765</v>
      </c>
      <c r="H945" s="32"/>
      <c r="I945" s="32" t="s">
        <v>2325</v>
      </c>
      <c r="J945" s="33">
        <v>3</v>
      </c>
      <c r="K945" s="34"/>
    </row>
    <row r="946" spans="1:11" x14ac:dyDescent="0.25">
      <c r="A946" s="51" t="s">
        <v>108</v>
      </c>
      <c r="B946" s="51" t="s">
        <v>2766</v>
      </c>
      <c r="C946" s="51"/>
      <c r="D946" s="253"/>
      <c r="E946" s="253"/>
      <c r="F946" s="52" t="s">
        <v>2767</v>
      </c>
      <c r="G946" s="52">
        <v>17500</v>
      </c>
      <c r="H946" s="52" t="s">
        <v>2487</v>
      </c>
      <c r="I946" s="52"/>
      <c r="J946" s="54">
        <v>1</v>
      </c>
      <c r="K946" s="38"/>
    </row>
    <row r="947" spans="1:11" x14ac:dyDescent="0.25">
      <c r="A947" s="196" t="s">
        <v>108</v>
      </c>
      <c r="B947" s="196" t="s">
        <v>2768</v>
      </c>
      <c r="C947" s="196"/>
      <c r="D947" s="544"/>
      <c r="E947" s="544"/>
      <c r="F947" s="9" t="s">
        <v>2769</v>
      </c>
      <c r="G947" s="513">
        <v>10850</v>
      </c>
      <c r="H947" s="513" t="s">
        <v>2487</v>
      </c>
      <c r="I947" s="513"/>
      <c r="J947" s="548">
        <v>1</v>
      </c>
      <c r="K947" s="197"/>
    </row>
    <row r="948" spans="1:11" s="246" customFormat="1" x14ac:dyDescent="0.25">
      <c r="A948" s="308" t="s">
        <v>108</v>
      </c>
      <c r="B948" s="212" t="s">
        <v>2770</v>
      </c>
      <c r="C948" s="212"/>
      <c r="D948" s="212"/>
      <c r="E948" s="212"/>
      <c r="F948" s="199" t="s">
        <v>2771</v>
      </c>
      <c r="G948" s="199" t="s">
        <v>2772</v>
      </c>
      <c r="H948" s="199"/>
      <c r="I948" s="199"/>
      <c r="J948" s="200">
        <v>1</v>
      </c>
      <c r="K948" s="293"/>
    </row>
    <row r="949" spans="1:11" x14ac:dyDescent="0.25">
      <c r="A949" s="39" t="s">
        <v>108</v>
      </c>
      <c r="B949" s="331" t="s">
        <v>2770</v>
      </c>
      <c r="C949" s="331"/>
      <c r="D949" s="331"/>
      <c r="E949" s="331"/>
      <c r="F949" s="28" t="s">
        <v>2771</v>
      </c>
      <c r="G949" s="28" t="s">
        <v>2773</v>
      </c>
      <c r="H949" s="28"/>
      <c r="I949" s="28"/>
      <c r="J949" s="40">
        <v>1</v>
      </c>
      <c r="K949" s="30"/>
    </row>
    <row r="950" spans="1:11" x14ac:dyDescent="0.25">
      <c r="A950" s="283" t="s">
        <v>314</v>
      </c>
      <c r="B950" s="284" t="s">
        <v>2774</v>
      </c>
      <c r="C950" s="284"/>
      <c r="D950" s="284"/>
      <c r="E950" s="284"/>
      <c r="F950" s="285" t="s">
        <v>2775</v>
      </c>
      <c r="G950" s="285"/>
      <c r="H950" s="285"/>
      <c r="I950" s="285"/>
      <c r="J950" s="286">
        <v>10</v>
      </c>
      <c r="K950" s="287"/>
    </row>
    <row r="951" spans="1:11" x14ac:dyDescent="0.25">
      <c r="A951" s="51" t="s">
        <v>108</v>
      </c>
      <c r="B951" s="51" t="s">
        <v>2776</v>
      </c>
      <c r="C951" s="196"/>
      <c r="D951" s="253"/>
      <c r="E951" s="253" t="s">
        <v>2777</v>
      </c>
      <c r="F951" s="52" t="s">
        <v>2778</v>
      </c>
      <c r="G951" s="54" t="s">
        <v>2779</v>
      </c>
      <c r="H951" s="52" t="s">
        <v>2780</v>
      </c>
      <c r="I951" s="52"/>
      <c r="J951" s="54">
        <v>1</v>
      </c>
      <c r="K951" s="38"/>
    </row>
    <row r="952" spans="1:11" x14ac:dyDescent="0.25">
      <c r="A952" s="51" t="s">
        <v>286</v>
      </c>
      <c r="B952" s="51" t="s">
        <v>2781</v>
      </c>
      <c r="C952" s="196"/>
      <c r="D952" s="51"/>
      <c r="E952" s="51"/>
      <c r="F952" s="52" t="s">
        <v>2782</v>
      </c>
      <c r="G952" s="52" t="s">
        <v>2783</v>
      </c>
      <c r="H952" s="52"/>
      <c r="I952" s="52"/>
      <c r="J952" s="54">
        <v>1</v>
      </c>
      <c r="K952" s="38"/>
    </row>
    <row r="953" spans="1:11" x14ac:dyDescent="0.25">
      <c r="A953" s="31" t="s">
        <v>314</v>
      </c>
      <c r="B953" s="71" t="s">
        <v>2784</v>
      </c>
      <c r="C953" s="353"/>
      <c r="D953" s="71"/>
      <c r="E953" s="71"/>
      <c r="F953" s="31" t="s">
        <v>2785</v>
      </c>
      <c r="G953" s="70" t="s">
        <v>2784</v>
      </c>
      <c r="H953" s="32"/>
      <c r="I953" s="32"/>
      <c r="J953" s="33">
        <v>7</v>
      </c>
      <c r="K953" s="34"/>
    </row>
    <row r="954" spans="1:11" x14ac:dyDescent="0.25">
      <c r="A954" s="31" t="s">
        <v>314</v>
      </c>
      <c r="B954" s="71" t="s">
        <v>2786</v>
      </c>
      <c r="C954" s="71"/>
      <c r="D954" s="71"/>
      <c r="E954" s="71"/>
      <c r="F954" s="32" t="s">
        <v>2787</v>
      </c>
      <c r="G954" s="32" t="s">
        <v>2788</v>
      </c>
      <c r="H954" s="32"/>
      <c r="I954" s="32"/>
      <c r="J954" s="33">
        <v>50</v>
      </c>
      <c r="K954" s="34"/>
    </row>
    <row r="955" spans="1:11" x14ac:dyDescent="0.25">
      <c r="A955" s="51"/>
      <c r="B955" s="51"/>
      <c r="C955" s="51"/>
      <c r="D955" s="51"/>
      <c r="E955" s="51"/>
      <c r="F955" s="52" t="s">
        <v>2787</v>
      </c>
      <c r="G955" s="52"/>
      <c r="H955" s="52"/>
      <c r="I955" s="52"/>
      <c r="J955" s="54"/>
      <c r="K955" s="38"/>
    </row>
    <row r="956" spans="1:11" x14ac:dyDescent="0.25">
      <c r="A956" s="31" t="s">
        <v>314</v>
      </c>
      <c r="B956" s="71" t="s">
        <v>2789</v>
      </c>
      <c r="C956" s="351" t="s">
        <v>499</v>
      </c>
      <c r="D956" s="71"/>
      <c r="E956" s="71"/>
      <c r="F956" s="32" t="s">
        <v>2790</v>
      </c>
      <c r="G956" s="32" t="s">
        <v>2791</v>
      </c>
      <c r="H956" s="32"/>
      <c r="I956" s="32"/>
      <c r="J956" s="33">
        <v>10</v>
      </c>
      <c r="K956" s="34"/>
    </row>
    <row r="957" spans="1:11" x14ac:dyDescent="0.25">
      <c r="A957" s="253" t="s">
        <v>2438</v>
      </c>
      <c r="B957" s="51" t="s">
        <v>2792</v>
      </c>
      <c r="C957" s="51"/>
      <c r="D957" s="253"/>
      <c r="E957" s="253"/>
      <c r="F957" s="32" t="s">
        <v>2793</v>
      </c>
      <c r="G957" s="32" t="s">
        <v>2794</v>
      </c>
      <c r="H957" s="52"/>
      <c r="I957" s="52"/>
      <c r="J957" s="54"/>
      <c r="K957" s="38"/>
    </row>
    <row r="958" spans="1:11" x14ac:dyDescent="0.25">
      <c r="A958" s="32" t="s">
        <v>169</v>
      </c>
      <c r="B958" s="70" t="s">
        <v>2795</v>
      </c>
      <c r="C958" s="346"/>
      <c r="D958" s="70"/>
      <c r="E958" s="70"/>
      <c r="F958" s="31" t="s">
        <v>2796</v>
      </c>
      <c r="G958" s="32" t="s">
        <v>2797</v>
      </c>
      <c r="H958" s="32"/>
      <c r="I958" s="32"/>
      <c r="J958" s="33">
        <v>7</v>
      </c>
      <c r="K958" s="34"/>
    </row>
    <row r="959" spans="1:11" ht="26.25" x14ac:dyDescent="0.25">
      <c r="A959" s="32" t="s">
        <v>169</v>
      </c>
      <c r="B959" s="70" t="s">
        <v>2798</v>
      </c>
      <c r="C959" s="346"/>
      <c r="D959" s="70"/>
      <c r="E959" s="307" t="s">
        <v>2799</v>
      </c>
      <c r="F959" s="31" t="s">
        <v>2800</v>
      </c>
      <c r="G959" s="32">
        <v>7094100</v>
      </c>
      <c r="H959" s="32" t="s">
        <v>200</v>
      </c>
      <c r="I959" s="32"/>
      <c r="J959" s="33">
        <v>5</v>
      </c>
      <c r="K959" s="34"/>
    </row>
    <row r="960" spans="1:11" x14ac:dyDescent="0.25">
      <c r="A960" s="32" t="s">
        <v>298</v>
      </c>
      <c r="B960" s="349" t="s">
        <v>2801</v>
      </c>
      <c r="C960" s="346"/>
      <c r="D960" s="70"/>
      <c r="E960" s="307"/>
      <c r="F960" s="497" t="s">
        <v>2802</v>
      </c>
      <c r="G960" s="349" t="s">
        <v>2801</v>
      </c>
      <c r="H960" s="32"/>
      <c r="I960" s="32"/>
      <c r="J960" s="33">
        <v>3</v>
      </c>
      <c r="K960" s="34"/>
    </row>
    <row r="961" spans="1:11" x14ac:dyDescent="0.25">
      <c r="A961" s="31" t="s">
        <v>169</v>
      </c>
      <c r="B961" s="71" t="s">
        <v>2803</v>
      </c>
      <c r="C961" s="71"/>
      <c r="D961" s="31"/>
      <c r="E961" s="31"/>
      <c r="F961" s="32" t="s">
        <v>2804</v>
      </c>
      <c r="G961" s="32" t="s">
        <v>2805</v>
      </c>
      <c r="H961" s="203" t="s">
        <v>2806</v>
      </c>
      <c r="I961" s="32"/>
      <c r="J961" s="33">
        <v>24</v>
      </c>
      <c r="K961" s="34"/>
    </row>
    <row r="962" spans="1:11" x14ac:dyDescent="0.25">
      <c r="A962" s="31" t="s">
        <v>314</v>
      </c>
      <c r="B962" s="71" t="s">
        <v>2807</v>
      </c>
      <c r="C962" s="71"/>
      <c r="D962" s="71"/>
      <c r="E962" s="71"/>
      <c r="F962" s="32" t="s">
        <v>2808</v>
      </c>
      <c r="G962" s="32" t="s">
        <v>2809</v>
      </c>
      <c r="H962" s="32" t="s">
        <v>1787</v>
      </c>
      <c r="I962" s="32"/>
      <c r="J962" s="33">
        <v>40</v>
      </c>
      <c r="K962" s="34"/>
    </row>
    <row r="963" spans="1:11" x14ac:dyDescent="0.25">
      <c r="A963" s="31" t="s">
        <v>41</v>
      </c>
      <c r="B963" s="71" t="s">
        <v>2810</v>
      </c>
      <c r="C963" s="71"/>
      <c r="D963" s="71"/>
      <c r="E963" s="71"/>
      <c r="F963" s="32" t="s">
        <v>2811</v>
      </c>
      <c r="G963" s="32" t="s">
        <v>2810</v>
      </c>
      <c r="H963" s="32"/>
      <c r="I963" s="32" t="s">
        <v>301</v>
      </c>
      <c r="J963" s="33">
        <v>1</v>
      </c>
      <c r="K963" s="34"/>
    </row>
    <row r="964" spans="1:11" x14ac:dyDescent="0.25">
      <c r="A964" s="116" t="s">
        <v>41</v>
      </c>
      <c r="B964" s="117" t="s">
        <v>2812</v>
      </c>
      <c r="C964" s="117"/>
      <c r="D964" s="117"/>
      <c r="E964" s="117"/>
      <c r="F964" s="118" t="s">
        <v>2813</v>
      </c>
      <c r="G964" s="299" t="s">
        <v>2812</v>
      </c>
      <c r="H964" s="118"/>
      <c r="I964" s="118" t="s">
        <v>301</v>
      </c>
      <c r="J964" s="300">
        <v>1</v>
      </c>
      <c r="K964" s="265"/>
    </row>
    <row r="965" spans="1:11" x14ac:dyDescent="0.25">
      <c r="A965" s="31" t="s">
        <v>41</v>
      </c>
      <c r="B965" s="71" t="s">
        <v>2814</v>
      </c>
      <c r="C965" s="353"/>
      <c r="D965" s="71"/>
      <c r="E965" s="71"/>
      <c r="F965" s="32" t="s">
        <v>2815</v>
      </c>
      <c r="G965" s="32" t="s">
        <v>2814</v>
      </c>
      <c r="H965" s="32"/>
      <c r="I965" s="32" t="s">
        <v>301</v>
      </c>
      <c r="J965" s="33">
        <v>1</v>
      </c>
      <c r="K965" s="34"/>
    </row>
    <row r="966" spans="1:11" x14ac:dyDescent="0.25">
      <c r="A966" s="122" t="s">
        <v>41</v>
      </c>
      <c r="B966" s="125" t="s">
        <v>2816</v>
      </c>
      <c r="C966" s="485"/>
      <c r="D966" s="125"/>
      <c r="E966" s="125"/>
      <c r="F966" s="115" t="s">
        <v>2817</v>
      </c>
      <c r="G966" s="204" t="s">
        <v>2816</v>
      </c>
      <c r="H966" s="115"/>
      <c r="I966" s="115" t="s">
        <v>301</v>
      </c>
      <c r="J966" s="128">
        <v>1</v>
      </c>
      <c r="K966" s="410"/>
    </row>
    <row r="967" spans="1:11" x14ac:dyDescent="0.25">
      <c r="A967" s="122" t="s">
        <v>41</v>
      </c>
      <c r="B967" s="125" t="s">
        <v>2818</v>
      </c>
      <c r="C967" s="485"/>
      <c r="D967" s="125"/>
      <c r="E967" s="125"/>
      <c r="F967" s="115" t="s">
        <v>2819</v>
      </c>
      <c r="G967" s="125" t="s">
        <v>2818</v>
      </c>
      <c r="H967" s="115"/>
      <c r="I967" s="115" t="s">
        <v>301</v>
      </c>
      <c r="J967" s="128">
        <v>1</v>
      </c>
      <c r="K967" s="410"/>
    </row>
    <row r="968" spans="1:11" x14ac:dyDescent="0.25">
      <c r="A968" s="122" t="s">
        <v>41</v>
      </c>
      <c r="B968" s="125" t="s">
        <v>2820</v>
      </c>
      <c r="C968" s="485"/>
      <c r="D968" s="125"/>
      <c r="E968" s="125"/>
      <c r="F968" s="115" t="s">
        <v>2821</v>
      </c>
      <c r="G968" s="204" t="s">
        <v>2820</v>
      </c>
      <c r="H968" s="115"/>
      <c r="I968" s="115" t="s">
        <v>301</v>
      </c>
      <c r="J968" s="128">
        <v>1</v>
      </c>
      <c r="K968" s="410"/>
    </row>
    <row r="969" spans="1:11" x14ac:dyDescent="0.25">
      <c r="A969" s="122" t="s">
        <v>41</v>
      </c>
      <c r="B969" s="125" t="s">
        <v>2822</v>
      </c>
      <c r="C969" s="125"/>
      <c r="D969" s="125"/>
      <c r="E969" s="125"/>
      <c r="F969" s="115" t="s">
        <v>2823</v>
      </c>
      <c r="G969" s="204" t="s">
        <v>2822</v>
      </c>
      <c r="H969" s="115"/>
      <c r="I969" s="115" t="s">
        <v>301</v>
      </c>
      <c r="J969" s="128">
        <v>1</v>
      </c>
      <c r="K969" s="410"/>
    </row>
    <row r="970" spans="1:11" x14ac:dyDescent="0.25">
      <c r="A970" s="31" t="s">
        <v>41</v>
      </c>
      <c r="B970" s="71" t="s">
        <v>2824</v>
      </c>
      <c r="C970" s="71"/>
      <c r="D970" s="71"/>
      <c r="E970" s="109" t="s">
        <v>2825</v>
      </c>
      <c r="F970" s="32" t="s">
        <v>2826</v>
      </c>
      <c r="G970" s="32" t="s">
        <v>2827</v>
      </c>
      <c r="H970" s="32"/>
      <c r="I970" s="32"/>
      <c r="J970" s="33">
        <v>8</v>
      </c>
      <c r="K970" s="34"/>
    </row>
    <row r="971" spans="1:11" x14ac:dyDescent="0.25">
      <c r="A971" s="31" t="s">
        <v>41</v>
      </c>
      <c r="B971" s="71" t="s">
        <v>2828</v>
      </c>
      <c r="C971" s="71"/>
      <c r="D971" s="31"/>
      <c r="E971" s="31"/>
      <c r="F971" s="32" t="s">
        <v>2829</v>
      </c>
      <c r="G971" s="32" t="s">
        <v>2830</v>
      </c>
      <c r="H971" s="32"/>
      <c r="I971" s="32" t="s">
        <v>1084</v>
      </c>
      <c r="J971" s="33">
        <v>1</v>
      </c>
      <c r="K971" s="34"/>
    </row>
    <row r="972" spans="1:11" x14ac:dyDescent="0.25">
      <c r="A972" s="31" t="s">
        <v>108</v>
      </c>
      <c r="B972" s="71" t="s">
        <v>2831</v>
      </c>
      <c r="C972" s="71"/>
      <c r="D972" s="71"/>
      <c r="E972" s="71"/>
      <c r="F972" s="32" t="s">
        <v>2832</v>
      </c>
      <c r="G972" s="32" t="s">
        <v>2833</v>
      </c>
      <c r="H972" s="32"/>
      <c r="I972" s="32"/>
      <c r="J972" s="33">
        <v>1</v>
      </c>
      <c r="K972" s="34"/>
    </row>
    <row r="973" spans="1:11" x14ac:dyDescent="0.25">
      <c r="A973" s="31" t="s">
        <v>108</v>
      </c>
      <c r="B973" s="71" t="s">
        <v>2835</v>
      </c>
      <c r="C973" s="353"/>
      <c r="D973" s="71"/>
      <c r="E973" s="71"/>
      <c r="F973" s="32" t="s">
        <v>2836</v>
      </c>
      <c r="G973" s="32" t="s">
        <v>2837</v>
      </c>
      <c r="H973" s="32"/>
      <c r="I973" s="32"/>
      <c r="J973" s="33" t="s">
        <v>283</v>
      </c>
      <c r="K973" s="34"/>
    </row>
    <row r="974" spans="1:11" x14ac:dyDescent="0.25">
      <c r="A974" s="31" t="s">
        <v>41</v>
      </c>
      <c r="B974" s="71" t="s">
        <v>2839</v>
      </c>
      <c r="C974" s="71"/>
      <c r="D974" s="71"/>
      <c r="E974" s="71"/>
      <c r="F974" s="32" t="s">
        <v>2840</v>
      </c>
      <c r="G974" s="32" t="s">
        <v>2841</v>
      </c>
      <c r="H974" s="32"/>
      <c r="I974" s="32" t="s">
        <v>461</v>
      </c>
      <c r="J974" s="33">
        <v>1</v>
      </c>
      <c r="K974" s="34"/>
    </row>
    <row r="975" spans="1:11" x14ac:dyDescent="0.25">
      <c r="A975" s="31" t="s">
        <v>41</v>
      </c>
      <c r="B975" s="71" t="s">
        <v>2843</v>
      </c>
      <c r="C975" s="71"/>
      <c r="D975" s="71"/>
      <c r="E975" s="71"/>
      <c r="F975" s="32" t="s">
        <v>2844</v>
      </c>
      <c r="G975" s="32" t="s">
        <v>2845</v>
      </c>
      <c r="H975" s="32"/>
      <c r="I975" s="32" t="s">
        <v>1084</v>
      </c>
      <c r="J975" s="33">
        <v>50</v>
      </c>
      <c r="K975" s="34"/>
    </row>
    <row r="976" spans="1:11" x14ac:dyDescent="0.25">
      <c r="A976" s="31" t="s">
        <v>41</v>
      </c>
      <c r="B976" s="71" t="s">
        <v>2846</v>
      </c>
      <c r="C976" s="71"/>
      <c r="D976" s="71"/>
      <c r="E976" s="71"/>
      <c r="F976" s="32" t="s">
        <v>2847</v>
      </c>
      <c r="G976" s="32" t="s">
        <v>2848</v>
      </c>
      <c r="H976" s="32"/>
      <c r="I976" s="32" t="s">
        <v>1084</v>
      </c>
      <c r="J976" s="33">
        <v>50</v>
      </c>
      <c r="K976" s="34"/>
    </row>
    <row r="977" spans="1:11" x14ac:dyDescent="0.25">
      <c r="A977" s="31" t="s">
        <v>108</v>
      </c>
      <c r="B977" s="71" t="s">
        <v>2849</v>
      </c>
      <c r="C977" s="71"/>
      <c r="D977" s="71"/>
      <c r="E977" s="71"/>
      <c r="F977" s="32" t="s">
        <v>2850</v>
      </c>
      <c r="G977" s="32" t="s">
        <v>2851</v>
      </c>
      <c r="H977" s="32"/>
      <c r="I977" s="32"/>
      <c r="J977" s="33">
        <v>1</v>
      </c>
      <c r="K977" s="34"/>
    </row>
    <row r="978" spans="1:11" x14ac:dyDescent="0.25">
      <c r="A978" s="51"/>
      <c r="B978" s="51" t="s">
        <v>2853</v>
      </c>
      <c r="C978" s="51"/>
      <c r="D978" s="51"/>
      <c r="E978" s="51"/>
      <c r="F978" s="52" t="s">
        <v>2854</v>
      </c>
      <c r="G978" s="205" t="s">
        <v>2855</v>
      </c>
      <c r="H978" s="52" t="s">
        <v>1319</v>
      </c>
      <c r="I978" s="52"/>
      <c r="J978" s="54">
        <v>10</v>
      </c>
      <c r="K978" s="38"/>
    </row>
    <row r="979" spans="1:11" x14ac:dyDescent="0.25">
      <c r="A979" s="31" t="s">
        <v>314</v>
      </c>
      <c r="B979" s="71" t="s">
        <v>2856</v>
      </c>
      <c r="C979" s="71"/>
      <c r="D979" s="71"/>
      <c r="E979" s="71"/>
      <c r="F979" s="32" t="s">
        <v>2857</v>
      </c>
      <c r="G979" s="32" t="s">
        <v>2858</v>
      </c>
      <c r="H979" s="32"/>
      <c r="I979" s="32"/>
      <c r="J979" s="33">
        <v>2</v>
      </c>
      <c r="K979" s="34"/>
    </row>
    <row r="980" spans="1:11" x14ac:dyDescent="0.25">
      <c r="A980" s="51" t="s">
        <v>227</v>
      </c>
      <c r="B980" s="51" t="s">
        <v>2859</v>
      </c>
      <c r="C980" s="196"/>
      <c r="D980" s="51"/>
      <c r="E980" s="51"/>
      <c r="F980" s="52" t="s">
        <v>2860</v>
      </c>
      <c r="G980" s="52">
        <v>1678000</v>
      </c>
      <c r="H980" s="52" t="s">
        <v>1568</v>
      </c>
      <c r="I980" s="52"/>
      <c r="J980" s="53">
        <v>2</v>
      </c>
      <c r="K980" s="38"/>
    </row>
    <row r="981" spans="1:11" x14ac:dyDescent="0.25">
      <c r="A981" s="51" t="s">
        <v>227</v>
      </c>
      <c r="B981" s="126" t="s">
        <v>2861</v>
      </c>
      <c r="C981" s="196"/>
      <c r="D981" s="51"/>
      <c r="E981" s="51"/>
      <c r="F981" s="52" t="s">
        <v>2862</v>
      </c>
      <c r="G981" s="52" t="s">
        <v>2863</v>
      </c>
      <c r="H981" s="52" t="s">
        <v>1399</v>
      </c>
      <c r="I981" s="52"/>
      <c r="J981" s="53">
        <v>10</v>
      </c>
      <c r="K981" s="38"/>
    </row>
    <row r="982" spans="1:11" x14ac:dyDescent="0.25">
      <c r="A982" s="51" t="s">
        <v>227</v>
      </c>
      <c r="B982" s="126" t="s">
        <v>2864</v>
      </c>
      <c r="C982" s="196"/>
      <c r="D982" s="51"/>
      <c r="E982" s="51"/>
      <c r="F982" s="52" t="s">
        <v>2862</v>
      </c>
      <c r="G982" s="52" t="s">
        <v>2865</v>
      </c>
      <c r="H982" s="52" t="s">
        <v>1399</v>
      </c>
      <c r="I982" s="52"/>
      <c r="J982" s="53">
        <v>10</v>
      </c>
      <c r="K982" s="38"/>
    </row>
    <row r="983" spans="1:11" x14ac:dyDescent="0.25">
      <c r="A983" s="51" t="s">
        <v>227</v>
      </c>
      <c r="B983" s="51" t="s">
        <v>2866</v>
      </c>
      <c r="C983" s="196"/>
      <c r="D983" s="51"/>
      <c r="E983" s="51"/>
      <c r="F983" s="52" t="s">
        <v>2867</v>
      </c>
      <c r="G983" s="52" t="s">
        <v>2868</v>
      </c>
      <c r="H983" s="52" t="s">
        <v>2869</v>
      </c>
      <c r="I983" s="52"/>
      <c r="J983" s="53">
        <v>5</v>
      </c>
      <c r="K983" s="38"/>
    </row>
    <row r="984" spans="1:11" x14ac:dyDescent="0.25">
      <c r="A984" s="51" t="s">
        <v>227</v>
      </c>
      <c r="B984" s="51" t="s">
        <v>2870</v>
      </c>
      <c r="C984" s="51"/>
      <c r="D984" s="51"/>
      <c r="E984" s="51"/>
      <c r="F984" s="52" t="s">
        <v>2871</v>
      </c>
      <c r="G984" s="52" t="s">
        <v>2872</v>
      </c>
      <c r="H984" s="52" t="s">
        <v>2869</v>
      </c>
      <c r="I984" s="52"/>
      <c r="J984" s="53">
        <v>5</v>
      </c>
      <c r="K984" s="38"/>
    </row>
    <row r="985" spans="1:11" x14ac:dyDescent="0.25">
      <c r="A985" s="51" t="s">
        <v>227</v>
      </c>
      <c r="B985" s="51" t="s">
        <v>2873</v>
      </c>
      <c r="C985" s="51"/>
      <c r="D985" s="51"/>
      <c r="E985" s="51"/>
      <c r="F985" s="52" t="s">
        <v>2874</v>
      </c>
      <c r="G985" s="52" t="s">
        <v>2875</v>
      </c>
      <c r="H985" s="52" t="s">
        <v>2876</v>
      </c>
      <c r="I985" s="52"/>
      <c r="J985" s="53">
        <v>5</v>
      </c>
      <c r="K985" s="38"/>
    </row>
    <row r="986" spans="1:11" x14ac:dyDescent="0.25">
      <c r="A986" s="51" t="s">
        <v>227</v>
      </c>
      <c r="B986" s="51" t="s">
        <v>2877</v>
      </c>
      <c r="C986" s="51"/>
      <c r="D986" s="51"/>
      <c r="E986" s="51"/>
      <c r="F986" s="52" t="s">
        <v>2878</v>
      </c>
      <c r="G986" s="52" t="s">
        <v>2879</v>
      </c>
      <c r="H986" s="52" t="s">
        <v>2869</v>
      </c>
      <c r="I986" s="52"/>
      <c r="J986" s="53">
        <v>1</v>
      </c>
      <c r="K986" s="38"/>
    </row>
    <row r="987" spans="1:11" x14ac:dyDescent="0.25">
      <c r="A987" s="51" t="s">
        <v>227</v>
      </c>
      <c r="B987" s="51" t="s">
        <v>2880</v>
      </c>
      <c r="C987" s="196"/>
      <c r="D987" s="51"/>
      <c r="E987" s="51"/>
      <c r="F987" s="52" t="s">
        <v>2881</v>
      </c>
      <c r="G987" s="52" t="s">
        <v>2882</v>
      </c>
      <c r="H987" s="52" t="s">
        <v>1122</v>
      </c>
      <c r="I987" s="52"/>
      <c r="J987" s="53">
        <v>20</v>
      </c>
      <c r="K987" s="38"/>
    </row>
    <row r="988" spans="1:11" x14ac:dyDescent="0.25">
      <c r="A988" s="51" t="s">
        <v>227</v>
      </c>
      <c r="B988" s="51" t="s">
        <v>2883</v>
      </c>
      <c r="C988" s="51"/>
      <c r="D988" s="51"/>
      <c r="E988" s="51"/>
      <c r="F988" s="52" t="s">
        <v>2884</v>
      </c>
      <c r="G988" s="52" t="s">
        <v>2885</v>
      </c>
      <c r="H988" s="52" t="s">
        <v>2869</v>
      </c>
      <c r="I988" s="52"/>
      <c r="J988" s="53">
        <v>20</v>
      </c>
      <c r="K988" s="38"/>
    </row>
    <row r="989" spans="1:11" x14ac:dyDescent="0.25">
      <c r="A989" s="51" t="s">
        <v>227</v>
      </c>
      <c r="B989" s="51" t="s">
        <v>2886</v>
      </c>
      <c r="C989" s="51"/>
      <c r="D989" s="51"/>
      <c r="E989" s="51"/>
      <c r="F989" s="52" t="s">
        <v>2887</v>
      </c>
      <c r="G989" s="52" t="s">
        <v>2888</v>
      </c>
      <c r="H989" s="52" t="s">
        <v>2869</v>
      </c>
      <c r="I989" s="52"/>
      <c r="J989" s="53">
        <v>25</v>
      </c>
      <c r="K989" s="38"/>
    </row>
    <row r="990" spans="1:11" x14ac:dyDescent="0.25">
      <c r="A990" s="51" t="s">
        <v>227</v>
      </c>
      <c r="B990" s="51" t="s">
        <v>2886</v>
      </c>
      <c r="C990" s="51"/>
      <c r="D990" s="51"/>
      <c r="E990" s="51"/>
      <c r="F990" s="52" t="s">
        <v>2887</v>
      </c>
      <c r="G990" s="52" t="s">
        <v>2888</v>
      </c>
      <c r="H990" s="52" t="s">
        <v>2869</v>
      </c>
      <c r="I990" s="52"/>
      <c r="J990" s="53">
        <v>2</v>
      </c>
      <c r="K990" s="38"/>
    </row>
    <row r="991" spans="1:11" x14ac:dyDescent="0.25">
      <c r="A991" s="51" t="s">
        <v>227</v>
      </c>
      <c r="B991" s="51" t="s">
        <v>2890</v>
      </c>
      <c r="C991" s="51"/>
      <c r="D991" s="51"/>
      <c r="E991" s="51"/>
      <c r="F991" s="52" t="s">
        <v>2891</v>
      </c>
      <c r="G991" s="52" t="s">
        <v>2892</v>
      </c>
      <c r="H991" s="52" t="s">
        <v>2869</v>
      </c>
      <c r="I991" s="52"/>
      <c r="J991" s="53">
        <v>10</v>
      </c>
      <c r="K991" s="38"/>
    </row>
    <row r="992" spans="1:11" x14ac:dyDescent="0.25">
      <c r="A992" s="51" t="s">
        <v>227</v>
      </c>
      <c r="B992" s="51" t="s">
        <v>2893</v>
      </c>
      <c r="C992" s="51"/>
      <c r="D992" s="51"/>
      <c r="E992" s="51"/>
      <c r="F992" s="52" t="s">
        <v>2894</v>
      </c>
      <c r="G992" s="52" t="s">
        <v>2895</v>
      </c>
      <c r="H992" s="52" t="s">
        <v>2869</v>
      </c>
      <c r="I992" s="52"/>
      <c r="J992" s="53">
        <v>35</v>
      </c>
      <c r="K992" s="38"/>
    </row>
    <row r="993" spans="1:11" x14ac:dyDescent="0.25">
      <c r="A993" s="31" t="s">
        <v>108</v>
      </c>
      <c r="B993" s="71" t="s">
        <v>2896</v>
      </c>
      <c r="C993" s="71"/>
      <c r="D993" s="71"/>
      <c r="E993" s="71"/>
      <c r="F993" s="32" t="s">
        <v>2897</v>
      </c>
      <c r="G993" s="32">
        <v>33</v>
      </c>
      <c r="H993" s="32"/>
      <c r="I993" s="32"/>
      <c r="J993" s="33">
        <v>1</v>
      </c>
      <c r="K993" s="34"/>
    </row>
    <row r="994" spans="1:11" x14ac:dyDescent="0.25">
      <c r="A994" s="31" t="s">
        <v>314</v>
      </c>
      <c r="B994" s="71" t="s">
        <v>2899</v>
      </c>
      <c r="C994" s="71"/>
      <c r="D994" s="31"/>
      <c r="E994" s="31"/>
      <c r="F994" s="31" t="s">
        <v>2900</v>
      </c>
      <c r="G994" s="31" t="s">
        <v>2901</v>
      </c>
      <c r="H994" s="31" t="s">
        <v>2902</v>
      </c>
      <c r="I994" s="32"/>
      <c r="J994" s="33">
        <v>2</v>
      </c>
      <c r="K994" s="34"/>
    </row>
    <row r="995" spans="1:11" x14ac:dyDescent="0.25">
      <c r="A995" s="31" t="s">
        <v>314</v>
      </c>
      <c r="B995" s="71" t="s">
        <v>2903</v>
      </c>
      <c r="C995" s="71"/>
      <c r="D995" s="31"/>
      <c r="E995" s="31"/>
      <c r="F995" s="31" t="s">
        <v>2904</v>
      </c>
      <c r="G995" s="31" t="s">
        <v>2905</v>
      </c>
      <c r="H995" s="31" t="s">
        <v>2902</v>
      </c>
      <c r="I995" s="32"/>
      <c r="J995" s="33">
        <v>8</v>
      </c>
      <c r="K995" s="34"/>
    </row>
    <row r="996" spans="1:11" x14ac:dyDescent="0.25">
      <c r="A996" s="31" t="s">
        <v>314</v>
      </c>
      <c r="B996" s="71" t="s">
        <v>2906</v>
      </c>
      <c r="C996" s="71"/>
      <c r="D996" s="31"/>
      <c r="E996" s="31"/>
      <c r="F996" s="31" t="s">
        <v>2907</v>
      </c>
      <c r="G996" s="31" t="s">
        <v>2908</v>
      </c>
      <c r="H996" s="31" t="s">
        <v>2902</v>
      </c>
      <c r="I996" s="32"/>
      <c r="J996" s="33">
        <v>3</v>
      </c>
      <c r="K996" s="34"/>
    </row>
    <row r="997" spans="1:11" x14ac:dyDescent="0.25">
      <c r="A997" s="31" t="s">
        <v>314</v>
      </c>
      <c r="B997" s="71" t="s">
        <v>2909</v>
      </c>
      <c r="C997" s="71"/>
      <c r="D997" s="31"/>
      <c r="E997" s="31"/>
      <c r="F997" s="31" t="s">
        <v>2910</v>
      </c>
      <c r="G997" s="31" t="s">
        <v>2911</v>
      </c>
      <c r="H997" s="39" t="s">
        <v>2902</v>
      </c>
      <c r="I997" s="32"/>
      <c r="J997" s="33">
        <v>1</v>
      </c>
      <c r="K997" s="34"/>
    </row>
    <row r="998" spans="1:11" x14ac:dyDescent="0.25">
      <c r="A998" s="31" t="s">
        <v>314</v>
      </c>
      <c r="B998" s="71" t="s">
        <v>2912</v>
      </c>
      <c r="C998" s="71"/>
      <c r="D998" s="31"/>
      <c r="E998" s="31"/>
      <c r="F998" s="31" t="s">
        <v>2913</v>
      </c>
      <c r="G998" s="31" t="s">
        <v>2914</v>
      </c>
      <c r="H998" s="31" t="s">
        <v>2902</v>
      </c>
      <c r="I998" s="32"/>
      <c r="J998" s="33">
        <v>1</v>
      </c>
      <c r="K998" s="34"/>
    </row>
    <row r="999" spans="1:11" x14ac:dyDescent="0.25">
      <c r="A999" s="31" t="s">
        <v>314</v>
      </c>
      <c r="B999" s="71" t="s">
        <v>2915</v>
      </c>
      <c r="C999" s="71"/>
      <c r="D999" s="31"/>
      <c r="E999" s="31"/>
      <c r="F999" s="31" t="s">
        <v>2916</v>
      </c>
      <c r="G999" s="31" t="s">
        <v>2917</v>
      </c>
      <c r="H999" s="31" t="s">
        <v>2902</v>
      </c>
      <c r="I999" s="32"/>
      <c r="J999" s="33">
        <v>1</v>
      </c>
      <c r="K999" s="34"/>
    </row>
    <row r="1000" spans="1:11" x14ac:dyDescent="0.25">
      <c r="A1000" s="31" t="s">
        <v>314</v>
      </c>
      <c r="B1000" s="71" t="s">
        <v>2918</v>
      </c>
      <c r="C1000" s="71"/>
      <c r="D1000" s="31"/>
      <c r="E1000" s="31"/>
      <c r="F1000" s="31" t="s">
        <v>2919</v>
      </c>
      <c r="G1000" s="31" t="s">
        <v>2920</v>
      </c>
      <c r="H1000" s="31" t="s">
        <v>2902</v>
      </c>
      <c r="I1000" s="32"/>
      <c r="J1000" s="33">
        <v>1</v>
      </c>
      <c r="K1000" s="34"/>
    </row>
    <row r="1001" spans="1:11" x14ac:dyDescent="0.25">
      <c r="A1001" s="31" t="s">
        <v>314</v>
      </c>
      <c r="B1001" s="71" t="s">
        <v>2921</v>
      </c>
      <c r="C1001" s="71"/>
      <c r="D1001" s="31"/>
      <c r="E1001" s="31"/>
      <c r="F1001" s="31" t="s">
        <v>2922</v>
      </c>
      <c r="G1001" s="31" t="s">
        <v>2923</v>
      </c>
      <c r="H1001" s="31" t="s">
        <v>2902</v>
      </c>
      <c r="I1001" s="32"/>
      <c r="J1001" s="33">
        <v>7</v>
      </c>
      <c r="K1001" s="34"/>
    </row>
    <row r="1002" spans="1:11" x14ac:dyDescent="0.25">
      <c r="A1002" s="31" t="s">
        <v>314</v>
      </c>
      <c r="B1002" s="71" t="s">
        <v>2924</v>
      </c>
      <c r="C1002" s="71"/>
      <c r="D1002" s="31"/>
      <c r="E1002" s="31"/>
      <c r="F1002" s="31" t="s">
        <v>2925</v>
      </c>
      <c r="G1002" s="31" t="s">
        <v>2926</v>
      </c>
      <c r="H1002" s="31" t="s">
        <v>2902</v>
      </c>
      <c r="I1002" s="32"/>
      <c r="J1002" s="33">
        <v>2</v>
      </c>
      <c r="K1002" s="34"/>
    </row>
    <row r="1003" spans="1:11" x14ac:dyDescent="0.25">
      <c r="A1003" s="31" t="s">
        <v>314</v>
      </c>
      <c r="B1003" s="71" t="s">
        <v>2927</v>
      </c>
      <c r="C1003" s="71"/>
      <c r="D1003" s="31"/>
      <c r="E1003" s="31"/>
      <c r="F1003" s="31" t="s">
        <v>2928</v>
      </c>
      <c r="G1003" s="31" t="s">
        <v>2929</v>
      </c>
      <c r="H1003" s="31" t="s">
        <v>2902</v>
      </c>
      <c r="I1003" s="32"/>
      <c r="J1003" s="33">
        <v>1</v>
      </c>
      <c r="K1003" s="34"/>
    </row>
    <row r="1004" spans="1:11" x14ac:dyDescent="0.25">
      <c r="A1004" s="31" t="s">
        <v>314</v>
      </c>
      <c r="B1004" s="71" t="s">
        <v>2930</v>
      </c>
      <c r="C1004" s="71"/>
      <c r="D1004" s="31"/>
      <c r="E1004" s="31"/>
      <c r="F1004" s="31" t="s">
        <v>2931</v>
      </c>
      <c r="G1004" s="31" t="s">
        <v>2932</v>
      </c>
      <c r="H1004" s="31" t="s">
        <v>2902</v>
      </c>
      <c r="I1004" s="32"/>
      <c r="J1004" s="33">
        <v>5</v>
      </c>
      <c r="K1004" s="34"/>
    </row>
    <row r="1005" spans="1:11" x14ac:dyDescent="0.25">
      <c r="A1005" s="31" t="s">
        <v>314</v>
      </c>
      <c r="B1005" s="71" t="s">
        <v>2933</v>
      </c>
      <c r="C1005" s="71"/>
      <c r="D1005" s="31"/>
      <c r="E1005" s="31"/>
      <c r="F1005" s="31" t="s">
        <v>2934</v>
      </c>
      <c r="G1005" s="31" t="s">
        <v>2935</v>
      </c>
      <c r="H1005" s="31" t="s">
        <v>2902</v>
      </c>
      <c r="I1005" s="32"/>
      <c r="J1005" s="33">
        <v>12</v>
      </c>
      <c r="K1005" s="34"/>
    </row>
    <row r="1006" spans="1:11" x14ac:dyDescent="0.25">
      <c r="A1006" s="31" t="s">
        <v>314</v>
      </c>
      <c r="B1006" s="71" t="s">
        <v>2936</v>
      </c>
      <c r="C1006" s="71"/>
      <c r="D1006" s="31"/>
      <c r="E1006" s="31"/>
      <c r="F1006" s="31" t="s">
        <v>2937</v>
      </c>
      <c r="G1006" s="31" t="s">
        <v>2938</v>
      </c>
      <c r="H1006" s="31" t="s">
        <v>2902</v>
      </c>
      <c r="I1006" s="32"/>
      <c r="J1006" s="33">
        <v>39</v>
      </c>
      <c r="K1006" s="34"/>
    </row>
    <row r="1007" spans="1:11" x14ac:dyDescent="0.25">
      <c r="A1007" s="31" t="s">
        <v>314</v>
      </c>
      <c r="B1007" s="71" t="s">
        <v>2939</v>
      </c>
      <c r="C1007" s="71"/>
      <c r="D1007" s="31"/>
      <c r="E1007" s="31"/>
      <c r="F1007" s="31" t="s">
        <v>2940</v>
      </c>
      <c r="G1007" s="31" t="s">
        <v>2941</v>
      </c>
      <c r="H1007" s="31" t="s">
        <v>2902</v>
      </c>
      <c r="I1007" s="32"/>
      <c r="J1007" s="33">
        <v>3</v>
      </c>
      <c r="K1007" s="34"/>
    </row>
    <row r="1008" spans="1:11" x14ac:dyDescent="0.25">
      <c r="A1008" s="31" t="s">
        <v>314</v>
      </c>
      <c r="B1008" s="71" t="s">
        <v>2942</v>
      </c>
      <c r="C1008" s="71"/>
      <c r="D1008" s="31"/>
      <c r="E1008" s="31"/>
      <c r="F1008" s="31" t="s">
        <v>2943</v>
      </c>
      <c r="G1008" s="31" t="s">
        <v>2944</v>
      </c>
      <c r="H1008" s="31" t="s">
        <v>2902</v>
      </c>
      <c r="I1008" s="32"/>
      <c r="J1008" s="33">
        <v>3</v>
      </c>
      <c r="K1008" s="34"/>
    </row>
    <row r="1009" spans="1:11" x14ac:dyDescent="0.25">
      <c r="A1009" s="32" t="s">
        <v>217</v>
      </c>
      <c r="B1009" s="71" t="s">
        <v>2945</v>
      </c>
      <c r="C1009" s="71"/>
      <c r="D1009" s="31"/>
      <c r="E1009" s="31"/>
      <c r="F1009" s="31" t="s">
        <v>2946</v>
      </c>
      <c r="G1009" s="31"/>
      <c r="H1009" s="31"/>
      <c r="I1009" s="32"/>
      <c r="J1009" s="33">
        <v>2</v>
      </c>
      <c r="K1009" s="34"/>
    </row>
    <row r="1010" spans="1:11" x14ac:dyDescent="0.25">
      <c r="A1010" s="51" t="s">
        <v>227</v>
      </c>
      <c r="B1010" s="51" t="s">
        <v>2947</v>
      </c>
      <c r="C1010" s="196"/>
      <c r="D1010" s="51"/>
      <c r="E1010" s="51"/>
      <c r="F1010" s="52" t="s">
        <v>2948</v>
      </c>
      <c r="G1010" s="52" t="s">
        <v>2949</v>
      </c>
      <c r="H1010" s="52" t="s">
        <v>1122</v>
      </c>
      <c r="I1010" s="52"/>
      <c r="J1010" s="53">
        <v>1</v>
      </c>
      <c r="K1010" s="38"/>
    </row>
    <row r="1011" spans="1:11" x14ac:dyDescent="0.25">
      <c r="A1011" s="31" t="s">
        <v>169</v>
      </c>
      <c r="B1011" s="71" t="s">
        <v>2950</v>
      </c>
      <c r="C1011" s="71"/>
      <c r="D1011" s="71"/>
      <c r="E1011" s="71"/>
      <c r="F1011" s="32" t="s">
        <v>2951</v>
      </c>
      <c r="G1011" s="32" t="s">
        <v>2952</v>
      </c>
      <c r="H1011" s="32" t="s">
        <v>394</v>
      </c>
      <c r="I1011" s="32"/>
      <c r="J1011" s="33">
        <v>2</v>
      </c>
      <c r="K1011" s="34"/>
    </row>
    <row r="1012" spans="1:11" x14ac:dyDescent="0.25">
      <c r="A1012" s="51" t="s">
        <v>227</v>
      </c>
      <c r="B1012" s="51" t="s">
        <v>2953</v>
      </c>
      <c r="C1012" s="51"/>
      <c r="D1012" s="51"/>
      <c r="E1012" s="51"/>
      <c r="F1012" s="52" t="s">
        <v>2954</v>
      </c>
      <c r="G1012" s="52" t="s">
        <v>2955</v>
      </c>
      <c r="H1012" s="52" t="s">
        <v>2956</v>
      </c>
      <c r="I1012" s="52"/>
      <c r="J1012" s="53">
        <v>1</v>
      </c>
      <c r="K1012" s="38"/>
    </row>
    <row r="1013" spans="1:11" x14ac:dyDescent="0.25">
      <c r="A1013" s="126" t="s">
        <v>227</v>
      </c>
      <c r="B1013" s="126" t="s">
        <v>2957</v>
      </c>
      <c r="C1013" s="126"/>
      <c r="D1013" s="126"/>
      <c r="E1013" s="126"/>
      <c r="F1013" s="9" t="s">
        <v>2958</v>
      </c>
      <c r="G1013" s="9" t="s">
        <v>2959</v>
      </c>
      <c r="H1013" s="9" t="s">
        <v>1122</v>
      </c>
      <c r="I1013" s="9"/>
      <c r="J1013" s="60">
        <v>2</v>
      </c>
      <c r="K1013" s="47"/>
    </row>
    <row r="1014" spans="1:11" x14ac:dyDescent="0.25">
      <c r="A1014" s="126" t="s">
        <v>227</v>
      </c>
      <c r="B1014" s="126" t="s">
        <v>2960</v>
      </c>
      <c r="C1014" s="126"/>
      <c r="D1014" s="126"/>
      <c r="E1014" s="126"/>
      <c r="F1014" s="9" t="s">
        <v>2961</v>
      </c>
      <c r="G1014" s="9" t="s">
        <v>2962</v>
      </c>
      <c r="H1014" s="9" t="s">
        <v>1540</v>
      </c>
      <c r="I1014" s="9"/>
      <c r="J1014" s="60">
        <v>500</v>
      </c>
      <c r="K1014" s="47"/>
    </row>
    <row r="1015" spans="1:11" x14ac:dyDescent="0.25">
      <c r="A1015" s="31" t="s">
        <v>41</v>
      </c>
      <c r="B1015" s="71" t="s">
        <v>2963</v>
      </c>
      <c r="C1015" s="71"/>
      <c r="D1015" s="71"/>
      <c r="E1015" s="71"/>
      <c r="F1015" s="32" t="s">
        <v>2964</v>
      </c>
      <c r="G1015" s="32" t="s">
        <v>2965</v>
      </c>
      <c r="H1015" s="32"/>
      <c r="I1015" s="32"/>
      <c r="J1015" s="33">
        <v>5</v>
      </c>
      <c r="K1015" s="34"/>
    </row>
    <row r="1016" spans="1:11" x14ac:dyDescent="0.25">
      <c r="A1016" s="51" t="s">
        <v>298</v>
      </c>
      <c r="B1016" s="191" t="s">
        <v>2966</v>
      </c>
      <c r="C1016" s="191"/>
      <c r="D1016" s="51"/>
      <c r="E1016" s="51"/>
      <c r="F1016" s="52" t="s">
        <v>2967</v>
      </c>
      <c r="G1016" s="191" t="s">
        <v>2966</v>
      </c>
      <c r="H1016" s="52"/>
      <c r="I1016" s="52"/>
      <c r="J1016" s="54">
        <v>2</v>
      </c>
      <c r="K1016" s="38"/>
    </row>
    <row r="1017" spans="1:11" x14ac:dyDescent="0.25">
      <c r="A1017" s="51" t="s">
        <v>298</v>
      </c>
      <c r="B1017" s="71" t="s">
        <v>2968</v>
      </c>
      <c r="C1017" s="71"/>
      <c r="D1017" s="51"/>
      <c r="E1017" s="51"/>
      <c r="F1017" s="52" t="s">
        <v>2967</v>
      </c>
      <c r="G1017" s="71" t="s">
        <v>2968</v>
      </c>
      <c r="H1017" s="52"/>
      <c r="I1017" s="52"/>
      <c r="J1017" s="54">
        <v>1</v>
      </c>
      <c r="K1017" s="38"/>
    </row>
    <row r="1018" spans="1:11" s="313" customFormat="1" x14ac:dyDescent="0.25">
      <c r="A1018" s="31" t="s">
        <v>227</v>
      </c>
      <c r="B1018" s="71" t="s">
        <v>2969</v>
      </c>
      <c r="C1018" s="71"/>
      <c r="D1018" s="71"/>
      <c r="E1018" s="71"/>
      <c r="F1018" s="52" t="s">
        <v>2970</v>
      </c>
      <c r="G1018" s="52" t="s">
        <v>2971</v>
      </c>
      <c r="H1018" s="52" t="s">
        <v>2972</v>
      </c>
      <c r="I1018" s="32"/>
      <c r="J1018" s="33" t="s">
        <v>283</v>
      </c>
      <c r="K1018" s="34"/>
    </row>
    <row r="1019" spans="1:11" s="313" customFormat="1" x14ac:dyDescent="0.25">
      <c r="A1019" s="31" t="s">
        <v>41</v>
      </c>
      <c r="B1019" s="71" t="s">
        <v>2973</v>
      </c>
      <c r="C1019" s="71"/>
      <c r="D1019" s="71"/>
      <c r="E1019" s="71"/>
      <c r="F1019" s="32" t="s">
        <v>2974</v>
      </c>
      <c r="G1019" s="32" t="s">
        <v>2975</v>
      </c>
      <c r="H1019" s="32"/>
      <c r="I1019" s="32" t="s">
        <v>1084</v>
      </c>
      <c r="J1019" s="33">
        <v>3</v>
      </c>
      <c r="K1019" s="34"/>
    </row>
    <row r="1020" spans="1:11" x14ac:dyDescent="0.25">
      <c r="A1020" s="39" t="s">
        <v>41</v>
      </c>
      <c r="B1020" s="331" t="s">
        <v>2976</v>
      </c>
      <c r="C1020" s="331"/>
      <c r="D1020" s="331"/>
      <c r="E1020" s="331"/>
      <c r="F1020" s="28" t="s">
        <v>2977</v>
      </c>
      <c r="G1020" s="28" t="s">
        <v>2978</v>
      </c>
      <c r="H1020" s="28"/>
      <c r="I1020" s="28" t="s">
        <v>1084</v>
      </c>
      <c r="J1020" s="40">
        <v>3</v>
      </c>
      <c r="K1020" s="30"/>
    </row>
    <row r="1021" spans="1:11" x14ac:dyDescent="0.25">
      <c r="A1021" s="31" t="s">
        <v>169</v>
      </c>
      <c r="B1021" s="71" t="s">
        <v>2979</v>
      </c>
      <c r="C1021" s="71"/>
      <c r="D1021" s="71"/>
      <c r="E1021" s="71"/>
      <c r="F1021" s="32" t="s">
        <v>2980</v>
      </c>
      <c r="G1021" s="32" t="s">
        <v>2981</v>
      </c>
      <c r="H1021" s="32"/>
      <c r="I1021" s="32"/>
      <c r="J1021" s="33">
        <v>2</v>
      </c>
      <c r="K1021" s="34"/>
    </row>
    <row r="1022" spans="1:11" s="313" customFormat="1" x14ac:dyDescent="0.25">
      <c r="A1022" s="31" t="s">
        <v>169</v>
      </c>
      <c r="B1022" s="71" t="s">
        <v>2982</v>
      </c>
      <c r="C1022" s="71"/>
      <c r="D1022" s="71"/>
      <c r="E1022" s="71"/>
      <c r="F1022" s="32" t="s">
        <v>2983</v>
      </c>
      <c r="G1022" s="32" t="s">
        <v>2984</v>
      </c>
      <c r="H1022" s="32"/>
      <c r="I1022" s="32"/>
      <c r="J1022" s="33">
        <v>1</v>
      </c>
      <c r="K1022" s="34"/>
    </row>
    <row r="1023" spans="1:11" s="313" customFormat="1" x14ac:dyDescent="0.25">
      <c r="A1023" s="31" t="s">
        <v>227</v>
      </c>
      <c r="B1023" s="71" t="s">
        <v>2985</v>
      </c>
      <c r="C1023" s="71"/>
      <c r="D1023" s="71"/>
      <c r="E1023" s="71"/>
      <c r="F1023" s="52" t="s">
        <v>2986</v>
      </c>
      <c r="G1023" s="52" t="s">
        <v>2987</v>
      </c>
      <c r="H1023" s="52" t="s">
        <v>600</v>
      </c>
      <c r="I1023" s="32"/>
      <c r="J1023" s="33">
        <v>1</v>
      </c>
      <c r="K1023" s="34"/>
    </row>
    <row r="1024" spans="1:11" x14ac:dyDescent="0.25">
      <c r="A1024" s="39" t="s">
        <v>314</v>
      </c>
      <c r="B1024" s="331" t="s">
        <v>2988</v>
      </c>
      <c r="C1024" s="331"/>
      <c r="D1024" s="331"/>
      <c r="E1024" s="331"/>
      <c r="F1024" s="28" t="s">
        <v>2989</v>
      </c>
      <c r="G1024" s="28" t="s">
        <v>2990</v>
      </c>
      <c r="H1024" s="28"/>
      <c r="I1024" s="28"/>
      <c r="J1024" s="40">
        <v>4</v>
      </c>
      <c r="K1024" s="30"/>
    </row>
    <row r="1025" spans="1:11" x14ac:dyDescent="0.25">
      <c r="A1025" s="31" t="s">
        <v>314</v>
      </c>
      <c r="B1025" s="71" t="s">
        <v>2991</v>
      </c>
      <c r="C1025" s="71"/>
      <c r="D1025" s="71"/>
      <c r="E1025" s="71"/>
      <c r="F1025" s="32" t="s">
        <v>2992</v>
      </c>
      <c r="G1025" s="32" t="s">
        <v>2993</v>
      </c>
      <c r="H1025" s="32"/>
      <c r="I1025" s="32"/>
      <c r="J1025" s="40">
        <v>4</v>
      </c>
      <c r="K1025" s="34"/>
    </row>
    <row r="1026" spans="1:11" x14ac:dyDescent="0.25">
      <c r="A1026" s="51" t="s">
        <v>227</v>
      </c>
      <c r="B1026" s="51" t="s">
        <v>2994</v>
      </c>
      <c r="C1026" s="51"/>
      <c r="D1026" s="51"/>
      <c r="E1026" s="51"/>
      <c r="F1026" s="52" t="s">
        <v>2995</v>
      </c>
      <c r="G1026" s="52" t="s">
        <v>2996</v>
      </c>
      <c r="H1026" s="52" t="s">
        <v>1540</v>
      </c>
      <c r="I1026" s="52"/>
      <c r="J1026" s="60">
        <v>15</v>
      </c>
      <c r="K1026" s="38"/>
    </row>
    <row r="1027" spans="1:11" x14ac:dyDescent="0.25">
      <c r="A1027" s="31" t="s">
        <v>314</v>
      </c>
      <c r="B1027" s="31" t="s">
        <v>70</v>
      </c>
      <c r="C1027" s="31"/>
      <c r="D1027" s="31"/>
      <c r="E1027" s="31"/>
      <c r="F1027" s="32" t="s">
        <v>2997</v>
      </c>
      <c r="G1027" s="32" t="s">
        <v>2998</v>
      </c>
      <c r="H1027" s="32"/>
      <c r="I1027" s="32"/>
      <c r="J1027" s="40">
        <v>5</v>
      </c>
      <c r="K1027" s="34"/>
    </row>
    <row r="1028" spans="1:11" x14ac:dyDescent="0.25">
      <c r="A1028" s="31" t="s">
        <v>41</v>
      </c>
      <c r="B1028" s="71" t="s">
        <v>2999</v>
      </c>
      <c r="C1028" s="71"/>
      <c r="D1028" s="71"/>
      <c r="E1028" s="71"/>
      <c r="F1028" s="32" t="s">
        <v>3000</v>
      </c>
      <c r="G1028" s="32" t="s">
        <v>3001</v>
      </c>
      <c r="H1028" s="32"/>
      <c r="I1028" s="32" t="s">
        <v>1084</v>
      </c>
      <c r="J1028" s="40">
        <v>6</v>
      </c>
      <c r="K1028" s="34"/>
    </row>
    <row r="1029" spans="1:11" x14ac:dyDescent="0.25">
      <c r="A1029" s="31" t="s">
        <v>41</v>
      </c>
      <c r="B1029" s="71" t="s">
        <v>3002</v>
      </c>
      <c r="C1029" s="71"/>
      <c r="D1029" s="31"/>
      <c r="E1029" s="31"/>
      <c r="F1029" s="32" t="s">
        <v>3003</v>
      </c>
      <c r="G1029" s="32" t="s">
        <v>3004</v>
      </c>
      <c r="H1029" s="32"/>
      <c r="I1029" s="32" t="s">
        <v>1084</v>
      </c>
      <c r="J1029" s="40">
        <v>1</v>
      </c>
      <c r="K1029" s="34"/>
    </row>
    <row r="1030" spans="1:11" x14ac:dyDescent="0.25">
      <c r="A1030" s="51" t="s">
        <v>298</v>
      </c>
      <c r="B1030" s="191" t="s">
        <v>3005</v>
      </c>
      <c r="C1030" s="191"/>
      <c r="D1030" s="51"/>
      <c r="E1030" s="51"/>
      <c r="F1030" s="52" t="s">
        <v>3006</v>
      </c>
      <c r="G1030" s="51" t="s">
        <v>3005</v>
      </c>
      <c r="H1030" s="52"/>
      <c r="I1030" s="52"/>
      <c r="J1030" s="61">
        <v>12</v>
      </c>
      <c r="K1030" s="38"/>
    </row>
    <row r="1031" spans="1:11" x14ac:dyDescent="0.25">
      <c r="A1031" s="31" t="s">
        <v>314</v>
      </c>
      <c r="B1031" s="125" t="s">
        <v>3007</v>
      </c>
      <c r="C1031" s="125"/>
      <c r="D1031" s="71"/>
      <c r="E1031" s="71"/>
      <c r="F1031" s="32" t="s">
        <v>3008</v>
      </c>
      <c r="G1031" s="32" t="s">
        <v>3009</v>
      </c>
      <c r="H1031" s="32" t="s">
        <v>1349</v>
      </c>
      <c r="I1031" s="32" t="s">
        <v>586</v>
      </c>
      <c r="J1031" s="40">
        <v>6</v>
      </c>
      <c r="K1031" s="34"/>
    </row>
    <row r="1032" spans="1:11" x14ac:dyDescent="0.25">
      <c r="A1032" s="51"/>
      <c r="B1032" s="51" t="s">
        <v>3010</v>
      </c>
      <c r="C1032" s="51"/>
      <c r="D1032" s="166" t="s">
        <v>3011</v>
      </c>
      <c r="E1032" s="166"/>
      <c r="F1032" s="52" t="s">
        <v>3012</v>
      </c>
      <c r="G1032" s="52" t="s">
        <v>3013</v>
      </c>
      <c r="H1032" s="52" t="s">
        <v>1349</v>
      </c>
      <c r="I1032" s="52"/>
      <c r="J1032" s="61">
        <v>5</v>
      </c>
      <c r="K1032" s="38"/>
    </row>
    <row r="1033" spans="1:11" x14ac:dyDescent="0.25">
      <c r="A1033" s="31" t="s">
        <v>108</v>
      </c>
      <c r="B1033" s="71" t="s">
        <v>3014</v>
      </c>
      <c r="C1033" s="71"/>
      <c r="D1033" s="71"/>
      <c r="E1033" s="71"/>
      <c r="F1033" s="32" t="s">
        <v>3015</v>
      </c>
      <c r="G1033" s="32">
        <v>3211480</v>
      </c>
      <c r="H1033" s="32"/>
      <c r="I1033" s="32"/>
      <c r="J1033" s="40">
        <v>7</v>
      </c>
      <c r="K1033" s="34"/>
    </row>
    <row r="1034" spans="1:11" x14ac:dyDescent="0.25">
      <c r="A1034" s="31" t="s">
        <v>108</v>
      </c>
      <c r="B1034" s="71" t="s">
        <v>3016</v>
      </c>
      <c r="C1034" s="71"/>
      <c r="D1034" s="71"/>
      <c r="E1034" s="71"/>
      <c r="F1034" s="32" t="s">
        <v>3017</v>
      </c>
      <c r="G1034" s="32" t="s">
        <v>3018</v>
      </c>
      <c r="H1034" s="32"/>
      <c r="I1034" s="32"/>
      <c r="J1034" s="40" t="s">
        <v>283</v>
      </c>
      <c r="K1034" s="34"/>
    </row>
    <row r="1035" spans="1:11" x14ac:dyDescent="0.25">
      <c r="A1035" s="39" t="s">
        <v>108</v>
      </c>
      <c r="B1035" s="331" t="s">
        <v>3019</v>
      </c>
      <c r="C1035" s="331"/>
      <c r="D1035" s="331"/>
      <c r="E1035" s="331"/>
      <c r="F1035" s="28" t="s">
        <v>3020</v>
      </c>
      <c r="G1035" s="28" t="s">
        <v>3021</v>
      </c>
      <c r="H1035" s="28"/>
      <c r="I1035" s="28"/>
      <c r="J1035" s="40" t="s">
        <v>283</v>
      </c>
      <c r="K1035" s="30"/>
    </row>
    <row r="1036" spans="1:11" x14ac:dyDescent="0.25">
      <c r="A1036" s="39" t="s">
        <v>108</v>
      </c>
      <c r="B1036" s="331" t="s">
        <v>3023</v>
      </c>
      <c r="C1036" s="331"/>
      <c r="D1036" s="331"/>
      <c r="E1036" s="331"/>
      <c r="F1036" s="28" t="s">
        <v>3024</v>
      </c>
      <c r="G1036" s="28">
        <v>1706010000</v>
      </c>
      <c r="H1036" s="28"/>
      <c r="I1036" s="28"/>
      <c r="J1036" s="40">
        <v>7</v>
      </c>
      <c r="K1036" s="30"/>
    </row>
    <row r="1037" spans="1:11" x14ac:dyDescent="0.25">
      <c r="A1037" s="31" t="s">
        <v>108</v>
      </c>
      <c r="B1037" s="71" t="s">
        <v>3026</v>
      </c>
      <c r="C1037" s="71"/>
      <c r="D1037" s="71"/>
      <c r="E1037" s="71"/>
      <c r="F1037" s="32" t="s">
        <v>3027</v>
      </c>
      <c r="G1037" s="32" t="s">
        <v>3028</v>
      </c>
      <c r="H1037" s="32"/>
      <c r="I1037" s="32"/>
      <c r="J1037" s="33">
        <v>4</v>
      </c>
      <c r="K1037" s="34"/>
    </row>
    <row r="1038" spans="1:11" s="301" customFormat="1" x14ac:dyDescent="0.25">
      <c r="A1038" s="31" t="s">
        <v>108</v>
      </c>
      <c r="B1038" s="71" t="s">
        <v>3029</v>
      </c>
      <c r="C1038" s="71"/>
      <c r="D1038" s="71"/>
      <c r="E1038" s="71" t="s">
        <v>3030</v>
      </c>
      <c r="F1038" s="32" t="s">
        <v>3031</v>
      </c>
      <c r="G1038" s="32" t="s">
        <v>3032</v>
      </c>
      <c r="H1038" s="32"/>
      <c r="I1038" s="32"/>
      <c r="J1038" s="33">
        <v>20</v>
      </c>
      <c r="K1038" s="34"/>
    </row>
    <row r="1039" spans="1:11" x14ac:dyDescent="0.25">
      <c r="A1039" s="31" t="s">
        <v>314</v>
      </c>
      <c r="B1039" s="71" t="s">
        <v>3033</v>
      </c>
      <c r="C1039" s="71"/>
      <c r="D1039" s="71"/>
      <c r="E1039" s="71"/>
      <c r="F1039" s="32" t="s">
        <v>3034</v>
      </c>
      <c r="G1039" s="32" t="s">
        <v>3035</v>
      </c>
      <c r="H1039" s="32"/>
      <c r="I1039" s="32" t="s">
        <v>2325</v>
      </c>
      <c r="J1039" s="33">
        <v>1</v>
      </c>
      <c r="K1039" s="34"/>
    </row>
    <row r="1040" spans="1:11" x14ac:dyDescent="0.25">
      <c r="A1040" s="31" t="s">
        <v>314</v>
      </c>
      <c r="B1040" s="71" t="s">
        <v>3036</v>
      </c>
      <c r="C1040" s="71"/>
      <c r="D1040" s="71"/>
      <c r="E1040" s="71"/>
      <c r="F1040" s="32" t="s">
        <v>3037</v>
      </c>
      <c r="G1040" s="32" t="s">
        <v>3038</v>
      </c>
      <c r="H1040" s="32" t="s">
        <v>2325</v>
      </c>
      <c r="I1040" s="32" t="s">
        <v>2325</v>
      </c>
      <c r="J1040" s="33">
        <v>2</v>
      </c>
      <c r="K1040" s="34"/>
    </row>
    <row r="1041" spans="1:11" x14ac:dyDescent="0.25">
      <c r="A1041" s="31" t="s">
        <v>314</v>
      </c>
      <c r="B1041" s="71" t="s">
        <v>3039</v>
      </c>
      <c r="C1041" s="71"/>
      <c r="D1041" s="71"/>
      <c r="E1041" s="71"/>
      <c r="F1041" s="32" t="s">
        <v>3040</v>
      </c>
      <c r="G1041" s="32" t="s">
        <v>3041</v>
      </c>
      <c r="H1041" s="32"/>
      <c r="I1041" s="32" t="s">
        <v>2325</v>
      </c>
      <c r="J1041" s="33">
        <v>2</v>
      </c>
      <c r="K1041" s="34"/>
    </row>
    <row r="1042" spans="1:11" x14ac:dyDescent="0.25">
      <c r="A1042" s="31" t="s">
        <v>27</v>
      </c>
      <c r="B1042" s="71" t="s">
        <v>3042</v>
      </c>
      <c r="C1042" s="71"/>
      <c r="D1042" s="71"/>
      <c r="E1042" s="71"/>
      <c r="F1042" s="32" t="s">
        <v>3043</v>
      </c>
      <c r="G1042" s="32" t="s">
        <v>3044</v>
      </c>
      <c r="H1042" s="32" t="s">
        <v>2325</v>
      </c>
      <c r="I1042" s="32" t="s">
        <v>2325</v>
      </c>
      <c r="J1042" s="33">
        <v>5</v>
      </c>
      <c r="K1042" s="34"/>
    </row>
    <row r="1043" spans="1:11" x14ac:dyDescent="0.25">
      <c r="A1043" s="31" t="s">
        <v>314</v>
      </c>
      <c r="B1043" s="71" t="s">
        <v>3045</v>
      </c>
      <c r="C1043" s="71"/>
      <c r="D1043" s="71"/>
      <c r="E1043" s="71"/>
      <c r="F1043" s="32" t="s">
        <v>3046</v>
      </c>
      <c r="G1043" s="32" t="s">
        <v>3047</v>
      </c>
      <c r="H1043" s="32"/>
      <c r="I1043" s="32" t="s">
        <v>2325</v>
      </c>
      <c r="J1043" s="33">
        <v>2</v>
      </c>
      <c r="K1043" s="34"/>
    </row>
    <row r="1044" spans="1:11" s="301" customFormat="1" x14ac:dyDescent="0.25">
      <c r="A1044" s="31" t="s">
        <v>314</v>
      </c>
      <c r="B1044" s="71" t="s">
        <v>3048</v>
      </c>
      <c r="C1044" s="71"/>
      <c r="D1044" s="71"/>
      <c r="E1044" s="71"/>
      <c r="F1044" s="32" t="s">
        <v>3049</v>
      </c>
      <c r="G1044" s="32" t="s">
        <v>3050</v>
      </c>
      <c r="H1044" s="32" t="s">
        <v>2325</v>
      </c>
      <c r="I1044" s="32" t="s">
        <v>2325</v>
      </c>
      <c r="J1044" s="33">
        <v>2</v>
      </c>
      <c r="K1044" s="34"/>
    </row>
    <row r="1045" spans="1:11" s="301" customFormat="1" x14ac:dyDescent="0.25">
      <c r="A1045" s="31" t="s">
        <v>314</v>
      </c>
      <c r="B1045" s="71" t="s">
        <v>3051</v>
      </c>
      <c r="C1045" s="71"/>
      <c r="D1045" s="71"/>
      <c r="E1045" s="71"/>
      <c r="F1045" s="32" t="s">
        <v>3052</v>
      </c>
      <c r="G1045" s="32" t="s">
        <v>3053</v>
      </c>
      <c r="H1045" s="32"/>
      <c r="I1045" s="32" t="s">
        <v>2325</v>
      </c>
      <c r="J1045" s="33">
        <v>7</v>
      </c>
      <c r="K1045" s="34"/>
    </row>
    <row r="1046" spans="1:11" x14ac:dyDescent="0.25">
      <c r="A1046" s="31" t="s">
        <v>314</v>
      </c>
      <c r="B1046" s="71" t="s">
        <v>3054</v>
      </c>
      <c r="C1046" s="71"/>
      <c r="D1046" s="71"/>
      <c r="E1046" s="71"/>
      <c r="F1046" s="32" t="s">
        <v>3055</v>
      </c>
      <c r="G1046" s="32" t="s">
        <v>3056</v>
      </c>
      <c r="H1046" s="32" t="s">
        <v>2325</v>
      </c>
      <c r="I1046" s="32" t="s">
        <v>2325</v>
      </c>
      <c r="J1046" s="33">
        <v>5</v>
      </c>
      <c r="K1046" s="34"/>
    </row>
    <row r="1047" spans="1:11" x14ac:dyDescent="0.25">
      <c r="A1047" s="31" t="s">
        <v>314</v>
      </c>
      <c r="B1047" s="71" t="s">
        <v>3057</v>
      </c>
      <c r="C1047" s="71"/>
      <c r="D1047" s="71"/>
      <c r="E1047" s="71"/>
      <c r="F1047" s="32" t="s">
        <v>3058</v>
      </c>
      <c r="G1047" s="32" t="s">
        <v>3059</v>
      </c>
      <c r="H1047" s="32"/>
      <c r="I1047" s="32" t="s">
        <v>2325</v>
      </c>
      <c r="J1047" s="33">
        <v>26</v>
      </c>
      <c r="K1047" s="34"/>
    </row>
    <row r="1048" spans="1:11" x14ac:dyDescent="0.25">
      <c r="A1048" s="31" t="s">
        <v>314</v>
      </c>
      <c r="B1048" s="71" t="s">
        <v>3060</v>
      </c>
      <c r="C1048" s="71"/>
      <c r="D1048" s="71"/>
      <c r="E1048" s="71"/>
      <c r="F1048" s="32" t="s">
        <v>3061</v>
      </c>
      <c r="G1048" s="32" t="s">
        <v>3062</v>
      </c>
      <c r="H1048" s="32" t="s">
        <v>2325</v>
      </c>
      <c r="I1048" s="32" t="s">
        <v>2325</v>
      </c>
      <c r="J1048" s="33">
        <v>8</v>
      </c>
      <c r="K1048" s="34"/>
    </row>
    <row r="1049" spans="1:11" x14ac:dyDescent="0.25">
      <c r="A1049" s="31" t="s">
        <v>314</v>
      </c>
      <c r="B1049" s="71" t="s">
        <v>3063</v>
      </c>
      <c r="C1049" s="71"/>
      <c r="D1049" s="31"/>
      <c r="E1049" s="31"/>
      <c r="F1049" s="32" t="s">
        <v>3064</v>
      </c>
      <c r="G1049" s="32" t="s">
        <v>3065</v>
      </c>
      <c r="H1049" s="32"/>
      <c r="I1049" s="32" t="s">
        <v>2325</v>
      </c>
      <c r="J1049" s="33">
        <v>3</v>
      </c>
      <c r="K1049" s="34"/>
    </row>
    <row r="1050" spans="1:11" x14ac:dyDescent="0.25">
      <c r="A1050" s="39" t="s">
        <v>314</v>
      </c>
      <c r="B1050" s="331" t="s">
        <v>3066</v>
      </c>
      <c r="C1050" s="331"/>
      <c r="D1050" s="331"/>
      <c r="E1050" s="331"/>
      <c r="F1050" s="28" t="s">
        <v>3067</v>
      </c>
      <c r="G1050" s="28" t="s">
        <v>3068</v>
      </c>
      <c r="H1050" s="28" t="s">
        <v>2325</v>
      </c>
      <c r="I1050" s="28" t="s">
        <v>2325</v>
      </c>
      <c r="J1050" s="40">
        <v>8</v>
      </c>
      <c r="K1050" s="30"/>
    </row>
    <row r="1051" spans="1:11" x14ac:dyDescent="0.25">
      <c r="A1051" s="39" t="s">
        <v>314</v>
      </c>
      <c r="B1051" s="331" t="s">
        <v>3069</v>
      </c>
      <c r="C1051" s="331"/>
      <c r="D1051" s="331"/>
      <c r="E1051" s="331"/>
      <c r="F1051" s="28" t="s">
        <v>3070</v>
      </c>
      <c r="G1051" s="28" t="s">
        <v>3071</v>
      </c>
      <c r="H1051" s="28"/>
      <c r="I1051" s="28" t="s">
        <v>2325</v>
      </c>
      <c r="J1051" s="40">
        <v>6</v>
      </c>
      <c r="K1051" s="30"/>
    </row>
    <row r="1052" spans="1:11" x14ac:dyDescent="0.25">
      <c r="A1052" s="31" t="s">
        <v>108</v>
      </c>
      <c r="B1052" s="71" t="s">
        <v>3072</v>
      </c>
      <c r="C1052" s="71"/>
      <c r="D1052" s="71"/>
      <c r="E1052" s="71"/>
      <c r="F1052" s="32" t="s">
        <v>3073</v>
      </c>
      <c r="G1052" s="32" t="s">
        <v>3074</v>
      </c>
      <c r="H1052" s="32" t="s">
        <v>113</v>
      </c>
      <c r="I1052" s="32"/>
      <c r="J1052" s="33">
        <v>0</v>
      </c>
      <c r="K1052" s="34"/>
    </row>
    <row r="1053" spans="1:11" x14ac:dyDescent="0.25">
      <c r="A1053" s="31" t="s">
        <v>169</v>
      </c>
      <c r="B1053" s="71" t="s">
        <v>3075</v>
      </c>
      <c r="C1053" s="71"/>
      <c r="D1053" s="71"/>
      <c r="E1053" s="71"/>
      <c r="F1053" s="32" t="s">
        <v>3076</v>
      </c>
      <c r="G1053" s="32" t="s">
        <v>3077</v>
      </c>
      <c r="H1053" s="32"/>
      <c r="I1053" s="32"/>
      <c r="J1053" s="33">
        <v>1</v>
      </c>
      <c r="K1053" s="34"/>
    </row>
    <row r="1054" spans="1:11" x14ac:dyDescent="0.25">
      <c r="A1054" s="39" t="s">
        <v>169</v>
      </c>
      <c r="B1054" s="331" t="s">
        <v>3078</v>
      </c>
      <c r="C1054" s="331"/>
      <c r="D1054" s="331"/>
      <c r="E1054" s="331"/>
      <c r="F1054" s="28" t="s">
        <v>3079</v>
      </c>
      <c r="G1054" s="28" t="s">
        <v>3080</v>
      </c>
      <c r="H1054" s="28"/>
      <c r="I1054" s="28"/>
      <c r="J1054" s="40">
        <v>15</v>
      </c>
      <c r="K1054" s="30"/>
    </row>
    <row r="1055" spans="1:11" x14ac:dyDescent="0.25">
      <c r="A1055" s="126" t="s">
        <v>298</v>
      </c>
      <c r="B1055" s="474" t="s">
        <v>3081</v>
      </c>
      <c r="C1055" s="474"/>
      <c r="D1055" s="126"/>
      <c r="E1055" s="126"/>
      <c r="F1055" s="9" t="s">
        <v>3082</v>
      </c>
      <c r="G1055" s="126" t="s">
        <v>3083</v>
      </c>
      <c r="H1055" s="9"/>
      <c r="I1055" s="9"/>
      <c r="J1055" s="61">
        <v>1</v>
      </c>
      <c r="K1055" s="47"/>
    </row>
    <row r="1056" spans="1:11" x14ac:dyDescent="0.25">
      <c r="A1056" s="51" t="s">
        <v>298</v>
      </c>
      <c r="B1056" s="191" t="s">
        <v>3084</v>
      </c>
      <c r="C1056" s="191"/>
      <c r="D1056" s="51"/>
      <c r="E1056" s="51"/>
      <c r="F1056" s="52" t="s">
        <v>3085</v>
      </c>
      <c r="G1056" s="51" t="s">
        <v>3086</v>
      </c>
      <c r="H1056" s="52"/>
      <c r="I1056" s="52"/>
      <c r="J1056" s="54">
        <v>1</v>
      </c>
      <c r="K1056" s="38"/>
    </row>
    <row r="1057" spans="1:11" x14ac:dyDescent="0.25">
      <c r="A1057" s="39" t="s">
        <v>314</v>
      </c>
      <c r="B1057" s="331" t="s">
        <v>3087</v>
      </c>
      <c r="C1057" s="331"/>
      <c r="D1057" s="331"/>
      <c r="E1057" s="331"/>
      <c r="F1057" s="28" t="s">
        <v>3088</v>
      </c>
      <c r="G1057" s="28" t="s">
        <v>3089</v>
      </c>
      <c r="H1057" s="28"/>
      <c r="I1057" s="28" t="s">
        <v>2325</v>
      </c>
      <c r="J1057" s="40">
        <v>4</v>
      </c>
      <c r="K1057" s="30"/>
    </row>
    <row r="1058" spans="1:11" x14ac:dyDescent="0.25">
      <c r="A1058" s="39" t="s">
        <v>314</v>
      </c>
      <c r="B1058" s="331" t="s">
        <v>3090</v>
      </c>
      <c r="C1058" s="331"/>
      <c r="D1058" s="331"/>
      <c r="E1058" s="331"/>
      <c r="F1058" s="28" t="s">
        <v>3091</v>
      </c>
      <c r="G1058" s="28" t="s">
        <v>3092</v>
      </c>
      <c r="H1058" s="28"/>
      <c r="I1058" s="28" t="s">
        <v>2325</v>
      </c>
      <c r="J1058" s="40">
        <v>2</v>
      </c>
      <c r="K1058" s="30"/>
    </row>
    <row r="1059" spans="1:11" x14ac:dyDescent="0.25">
      <c r="A1059" s="71" t="s">
        <v>314</v>
      </c>
      <c r="B1059" s="71" t="s">
        <v>3093</v>
      </c>
      <c r="C1059" s="71"/>
      <c r="D1059" s="71"/>
      <c r="E1059" s="71"/>
      <c r="F1059" s="32" t="s">
        <v>3094</v>
      </c>
      <c r="G1059" s="32" t="s">
        <v>3095</v>
      </c>
      <c r="H1059" s="32"/>
      <c r="I1059" s="32" t="s">
        <v>2325</v>
      </c>
      <c r="J1059" s="33">
        <v>14</v>
      </c>
      <c r="K1059" s="34"/>
    </row>
    <row r="1060" spans="1:11" x14ac:dyDescent="0.25">
      <c r="A1060" s="31" t="s">
        <v>314</v>
      </c>
      <c r="B1060" s="71" t="s">
        <v>3096</v>
      </c>
      <c r="C1060" s="71"/>
      <c r="D1060" s="71"/>
      <c r="E1060" s="71"/>
      <c r="F1060" s="32" t="s">
        <v>3097</v>
      </c>
      <c r="G1060" s="32" t="s">
        <v>3098</v>
      </c>
      <c r="H1060" s="32"/>
      <c r="I1060" s="32" t="s">
        <v>2325</v>
      </c>
      <c r="J1060" s="33">
        <v>1</v>
      </c>
      <c r="K1060" s="34"/>
    </row>
    <row r="1061" spans="1:11" x14ac:dyDescent="0.25">
      <c r="A1061" s="31" t="s">
        <v>314</v>
      </c>
      <c r="B1061" s="71" t="s">
        <v>3099</v>
      </c>
      <c r="C1061" s="71"/>
      <c r="D1061" s="71"/>
      <c r="E1061" s="71"/>
      <c r="F1061" s="32" t="s">
        <v>3100</v>
      </c>
      <c r="G1061" s="32" t="s">
        <v>3101</v>
      </c>
      <c r="H1061" s="32"/>
      <c r="I1061" s="32" t="s">
        <v>2325</v>
      </c>
      <c r="J1061" s="33">
        <v>1</v>
      </c>
      <c r="K1061" s="34"/>
    </row>
    <row r="1062" spans="1:11" x14ac:dyDescent="0.25">
      <c r="A1062" s="39" t="s">
        <v>314</v>
      </c>
      <c r="B1062" s="331" t="s">
        <v>3102</v>
      </c>
      <c r="C1062" s="331"/>
      <c r="D1062" s="331"/>
      <c r="E1062" s="331"/>
      <c r="F1062" s="28" t="s">
        <v>3103</v>
      </c>
      <c r="G1062" s="28" t="s">
        <v>3104</v>
      </c>
      <c r="H1062" s="28"/>
      <c r="I1062" s="28" t="s">
        <v>2325</v>
      </c>
      <c r="J1062" s="40">
        <v>16</v>
      </c>
      <c r="K1062" s="30"/>
    </row>
    <row r="1063" spans="1:11" x14ac:dyDescent="0.25">
      <c r="A1063" s="39" t="s">
        <v>314</v>
      </c>
      <c r="B1063" s="331" t="s">
        <v>3105</v>
      </c>
      <c r="C1063" s="331"/>
      <c r="D1063" s="331"/>
      <c r="E1063" s="331"/>
      <c r="F1063" s="28" t="s">
        <v>3106</v>
      </c>
      <c r="G1063" s="28" t="s">
        <v>3107</v>
      </c>
      <c r="H1063" s="28"/>
      <c r="I1063" s="28" t="s">
        <v>2325</v>
      </c>
      <c r="J1063" s="40">
        <v>4</v>
      </c>
      <c r="K1063" s="30"/>
    </row>
    <row r="1064" spans="1:11" x14ac:dyDescent="0.25">
      <c r="A1064" s="31" t="s">
        <v>314</v>
      </c>
      <c r="B1064" s="71" t="s">
        <v>3108</v>
      </c>
      <c r="C1064" s="71"/>
      <c r="D1064" s="71"/>
      <c r="E1064" s="71"/>
      <c r="F1064" s="32" t="s">
        <v>3109</v>
      </c>
      <c r="G1064" s="32" t="s">
        <v>3110</v>
      </c>
      <c r="H1064" s="32"/>
      <c r="I1064" s="32" t="s">
        <v>2325</v>
      </c>
      <c r="J1064" s="33">
        <v>3</v>
      </c>
      <c r="K1064" s="34"/>
    </row>
    <row r="1065" spans="1:11" s="301" customFormat="1" x14ac:dyDescent="0.25">
      <c r="A1065" s="51" t="s">
        <v>298</v>
      </c>
      <c r="B1065" s="191" t="s">
        <v>3111</v>
      </c>
      <c r="C1065" s="428"/>
      <c r="D1065" s="253"/>
      <c r="E1065" s="253"/>
      <c r="F1065" s="52" t="s">
        <v>3112</v>
      </c>
      <c r="G1065" s="191" t="s">
        <v>3111</v>
      </c>
      <c r="H1065" s="52"/>
      <c r="I1065" s="52"/>
      <c r="J1065" s="54">
        <v>1</v>
      </c>
      <c r="K1065" s="38"/>
    </row>
    <row r="1066" spans="1:11" s="301" customFormat="1" x14ac:dyDescent="0.25">
      <c r="A1066" s="31" t="s">
        <v>108</v>
      </c>
      <c r="B1066" s="71" t="s">
        <v>3113</v>
      </c>
      <c r="C1066" s="71"/>
      <c r="D1066" s="71"/>
      <c r="E1066" s="71"/>
      <c r="F1066" s="32" t="s">
        <v>3114</v>
      </c>
      <c r="G1066" s="32" t="s">
        <v>3115</v>
      </c>
      <c r="H1066" s="32" t="s">
        <v>113</v>
      </c>
      <c r="I1066" s="32"/>
      <c r="J1066" s="33">
        <v>1</v>
      </c>
      <c r="K1066" s="34"/>
    </row>
    <row r="1067" spans="1:11" x14ac:dyDescent="0.25">
      <c r="A1067" s="31" t="s">
        <v>41</v>
      </c>
      <c r="B1067" s="71" t="s">
        <v>3116</v>
      </c>
      <c r="C1067" s="71"/>
      <c r="D1067" s="71"/>
      <c r="E1067" s="71"/>
      <c r="F1067" s="32" t="s">
        <v>3117</v>
      </c>
      <c r="G1067" s="32" t="s">
        <v>3118</v>
      </c>
      <c r="H1067" s="32"/>
      <c r="I1067" s="32" t="s">
        <v>461</v>
      </c>
      <c r="J1067" s="33">
        <v>1</v>
      </c>
      <c r="K1067" s="34"/>
    </row>
    <row r="1068" spans="1:11" s="301" customFormat="1" x14ac:dyDescent="0.25">
      <c r="A1068" s="51" t="s">
        <v>108</v>
      </c>
      <c r="B1068" s="51" t="s">
        <v>3119</v>
      </c>
      <c r="C1068" s="51"/>
      <c r="D1068" s="253"/>
      <c r="E1068" s="253" t="s">
        <v>3120</v>
      </c>
      <c r="F1068" s="52" t="s">
        <v>2315</v>
      </c>
      <c r="G1068" s="52" t="s">
        <v>3121</v>
      </c>
      <c r="H1068" s="52" t="s">
        <v>3122</v>
      </c>
      <c r="I1068" s="52"/>
      <c r="J1068" s="54">
        <v>1</v>
      </c>
      <c r="K1068" s="38"/>
    </row>
    <row r="1069" spans="1:11" x14ac:dyDescent="0.25">
      <c r="A1069" s="51"/>
      <c r="B1069" s="51">
        <v>1540113000002</v>
      </c>
      <c r="C1069" s="51"/>
      <c r="D1069" s="51"/>
      <c r="E1069" s="51"/>
      <c r="F1069" s="52" t="s">
        <v>3123</v>
      </c>
      <c r="G1069" s="52" t="s">
        <v>3124</v>
      </c>
      <c r="H1069" s="52"/>
      <c r="I1069" s="52"/>
      <c r="J1069" s="54">
        <v>200</v>
      </c>
      <c r="K1069" s="38"/>
    </row>
    <row r="1070" spans="1:11" s="301" customFormat="1" x14ac:dyDescent="0.25">
      <c r="A1070" s="51"/>
      <c r="B1070" s="51" t="s">
        <v>3125</v>
      </c>
      <c r="C1070" s="351" t="s">
        <v>499</v>
      </c>
      <c r="D1070" s="51"/>
      <c r="E1070" s="51"/>
      <c r="F1070" s="52" t="s">
        <v>3126</v>
      </c>
      <c r="G1070" s="52"/>
      <c r="H1070" s="52"/>
      <c r="I1070" s="52"/>
      <c r="J1070" s="54">
        <v>150</v>
      </c>
      <c r="K1070" s="38"/>
    </row>
    <row r="1071" spans="1:11" s="301" customFormat="1" x14ac:dyDescent="0.25">
      <c r="A1071" s="51"/>
      <c r="B1071" s="51" t="s">
        <v>3127</v>
      </c>
      <c r="C1071" s="51"/>
      <c r="D1071" s="51"/>
      <c r="E1071" s="51"/>
      <c r="F1071" s="52" t="s">
        <v>3128</v>
      </c>
      <c r="G1071" s="52"/>
      <c r="H1071" s="52"/>
      <c r="I1071" s="52"/>
      <c r="J1071" s="54">
        <v>1000</v>
      </c>
      <c r="K1071" s="38"/>
    </row>
    <row r="1072" spans="1:11" x14ac:dyDescent="0.25">
      <c r="A1072" s="126"/>
      <c r="B1072" s="126" t="s">
        <v>3129</v>
      </c>
      <c r="C1072" s="126"/>
      <c r="D1072" s="126"/>
      <c r="E1072" s="126"/>
      <c r="F1072" s="9" t="s">
        <v>3130</v>
      </c>
      <c r="G1072" s="9"/>
      <c r="H1072" s="9"/>
      <c r="I1072" s="9"/>
      <c r="J1072" s="61">
        <v>150</v>
      </c>
      <c r="K1072" s="47"/>
    </row>
    <row r="1073" spans="1:11" x14ac:dyDescent="0.25">
      <c r="A1073" s="126"/>
      <c r="B1073" s="126" t="s">
        <v>3131</v>
      </c>
      <c r="C1073" s="126"/>
      <c r="D1073" s="126"/>
      <c r="E1073" s="126"/>
      <c r="F1073" s="9" t="s">
        <v>3132</v>
      </c>
      <c r="G1073" s="9"/>
      <c r="H1073" s="9"/>
      <c r="I1073" s="9"/>
      <c r="J1073" s="61">
        <v>150</v>
      </c>
      <c r="K1073" s="47"/>
    </row>
    <row r="1074" spans="1:11" x14ac:dyDescent="0.25">
      <c r="A1074" s="126"/>
      <c r="B1074" s="126" t="s">
        <v>3133</v>
      </c>
      <c r="C1074" s="126"/>
      <c r="D1074" s="126"/>
      <c r="E1074" s="126"/>
      <c r="F1074" s="9" t="s">
        <v>3134</v>
      </c>
      <c r="G1074" s="9"/>
      <c r="H1074" s="9"/>
      <c r="I1074" s="9"/>
      <c r="J1074" s="61">
        <v>150</v>
      </c>
      <c r="K1074" s="47"/>
    </row>
    <row r="1075" spans="1:11" x14ac:dyDescent="0.25">
      <c r="A1075" s="126"/>
      <c r="B1075" s="126" t="s">
        <v>3135</v>
      </c>
      <c r="C1075" s="484" t="s">
        <v>499</v>
      </c>
      <c r="D1075" s="126"/>
      <c r="E1075" s="126"/>
      <c r="F1075" s="9" t="s">
        <v>3136</v>
      </c>
      <c r="G1075" s="9"/>
      <c r="H1075" s="9"/>
      <c r="I1075" s="9"/>
      <c r="J1075" s="61">
        <v>500</v>
      </c>
      <c r="K1075" s="47"/>
    </row>
    <row r="1076" spans="1:11" x14ac:dyDescent="0.25">
      <c r="A1076" s="51"/>
      <c r="B1076" s="51" t="s">
        <v>3137</v>
      </c>
      <c r="C1076" s="51"/>
      <c r="D1076" s="51"/>
      <c r="E1076" s="51"/>
      <c r="F1076" s="52" t="s">
        <v>3138</v>
      </c>
      <c r="G1076" s="52"/>
      <c r="H1076" s="52"/>
      <c r="I1076" s="52"/>
      <c r="J1076" s="54">
        <v>200</v>
      </c>
      <c r="K1076" s="38"/>
    </row>
    <row r="1077" spans="1:11" x14ac:dyDescent="0.25">
      <c r="A1077" s="51"/>
      <c r="B1077" s="51" t="s">
        <v>3139</v>
      </c>
      <c r="C1077" s="51"/>
      <c r="D1077" s="51"/>
      <c r="E1077" s="51"/>
      <c r="F1077" s="52" t="s">
        <v>3140</v>
      </c>
      <c r="G1077" s="52"/>
      <c r="H1077" s="52"/>
      <c r="I1077" s="52"/>
      <c r="J1077" s="54">
        <v>150</v>
      </c>
      <c r="K1077" s="38"/>
    </row>
    <row r="1078" spans="1:11" x14ac:dyDescent="0.25">
      <c r="A1078" s="32" t="s">
        <v>169</v>
      </c>
      <c r="B1078" s="70" t="s">
        <v>3141</v>
      </c>
      <c r="C1078" s="70"/>
      <c r="D1078" s="70"/>
      <c r="E1078" s="70"/>
      <c r="F1078" s="31" t="s">
        <v>3142</v>
      </c>
      <c r="G1078" s="32" t="s">
        <v>3143</v>
      </c>
      <c r="H1078" s="32" t="s">
        <v>358</v>
      </c>
      <c r="I1078" s="32" t="s">
        <v>260</v>
      </c>
      <c r="J1078" s="33">
        <v>16</v>
      </c>
      <c r="K1078" s="34"/>
    </row>
    <row r="1079" spans="1:11" x14ac:dyDescent="0.25">
      <c r="A1079" s="206" t="s">
        <v>227</v>
      </c>
      <c r="B1079" s="207" t="s">
        <v>3144</v>
      </c>
      <c r="C1079" s="207"/>
      <c r="D1079" s="207"/>
      <c r="E1079" s="207"/>
      <c r="F1079" s="208" t="s">
        <v>3145</v>
      </c>
      <c r="G1079" s="209" t="s">
        <v>3144</v>
      </c>
      <c r="H1079" s="209" t="s">
        <v>1345</v>
      </c>
      <c r="I1079" s="118"/>
      <c r="J1079" s="210">
        <v>2</v>
      </c>
      <c r="K1079" s="211"/>
    </row>
    <row r="1080" spans="1:11" x14ac:dyDescent="0.25">
      <c r="A1080" s="31" t="s">
        <v>314</v>
      </c>
      <c r="B1080" s="71" t="s">
        <v>3146</v>
      </c>
      <c r="C1080" s="71"/>
      <c r="D1080" s="71"/>
      <c r="E1080" s="71"/>
      <c r="F1080" s="32" t="s">
        <v>3147</v>
      </c>
      <c r="G1080" s="32" t="s">
        <v>3148</v>
      </c>
      <c r="H1080" s="32"/>
      <c r="I1080" s="32" t="s">
        <v>2325</v>
      </c>
      <c r="J1080" s="33">
        <v>1</v>
      </c>
      <c r="K1080" s="34"/>
    </row>
    <row r="1081" spans="1:11" x14ac:dyDescent="0.25">
      <c r="A1081" s="31" t="s">
        <v>314</v>
      </c>
      <c r="B1081" s="71" t="s">
        <v>3149</v>
      </c>
      <c r="C1081" s="71"/>
      <c r="D1081" s="71"/>
      <c r="E1081" s="71"/>
      <c r="F1081" s="32" t="s">
        <v>3150</v>
      </c>
      <c r="G1081" s="32" t="s">
        <v>3151</v>
      </c>
      <c r="H1081" s="32"/>
      <c r="I1081" s="32" t="s">
        <v>2325</v>
      </c>
      <c r="J1081" s="33">
        <v>5</v>
      </c>
      <c r="K1081" s="34"/>
    </row>
    <row r="1082" spans="1:11" x14ac:dyDescent="0.25">
      <c r="A1082" s="31" t="s">
        <v>314</v>
      </c>
      <c r="B1082" s="71" t="s">
        <v>3152</v>
      </c>
      <c r="C1082" s="71"/>
      <c r="D1082" s="71"/>
      <c r="E1082" s="71"/>
      <c r="F1082" s="32" t="s">
        <v>3153</v>
      </c>
      <c r="G1082" s="32" t="s">
        <v>3154</v>
      </c>
      <c r="H1082" s="32"/>
      <c r="I1082" s="32" t="s">
        <v>2325</v>
      </c>
      <c r="J1082" s="33">
        <v>1</v>
      </c>
      <c r="K1082" s="34"/>
    </row>
    <row r="1083" spans="1:11" x14ac:dyDescent="0.25">
      <c r="A1083" s="72" t="s">
        <v>314</v>
      </c>
      <c r="B1083" s="109" t="s">
        <v>3155</v>
      </c>
      <c r="C1083" s="109"/>
      <c r="D1083" s="109"/>
      <c r="E1083" s="109"/>
      <c r="F1083" s="32" t="s">
        <v>3156</v>
      </c>
      <c r="G1083" s="32" t="s">
        <v>3157</v>
      </c>
      <c r="H1083" s="32"/>
      <c r="I1083" s="32" t="s">
        <v>2325</v>
      </c>
      <c r="J1083" s="33">
        <v>1</v>
      </c>
      <c r="K1083" s="34"/>
    </row>
    <row r="1084" spans="1:11" x14ac:dyDescent="0.25">
      <c r="A1084" s="31" t="s">
        <v>314</v>
      </c>
      <c r="B1084" s="71" t="s">
        <v>3158</v>
      </c>
      <c r="C1084" s="71"/>
      <c r="D1084" s="71"/>
      <c r="E1084" s="71"/>
      <c r="F1084" s="32" t="s">
        <v>3159</v>
      </c>
      <c r="G1084" s="32" t="s">
        <v>3160</v>
      </c>
      <c r="H1084" s="32"/>
      <c r="I1084" s="32" t="s">
        <v>2325</v>
      </c>
      <c r="J1084" s="33">
        <v>1</v>
      </c>
      <c r="K1084" s="34"/>
    </row>
    <row r="1085" spans="1:11" x14ac:dyDescent="0.25">
      <c r="A1085" s="31" t="s">
        <v>227</v>
      </c>
      <c r="B1085" s="71" t="s">
        <v>3161</v>
      </c>
      <c r="C1085" s="71"/>
      <c r="D1085" s="71"/>
      <c r="E1085" s="71"/>
      <c r="F1085" s="52" t="s">
        <v>3162</v>
      </c>
      <c r="G1085" s="52" t="s">
        <v>3163</v>
      </c>
      <c r="H1085" s="52" t="s">
        <v>600</v>
      </c>
      <c r="I1085" s="32"/>
      <c r="J1085" s="33">
        <v>1</v>
      </c>
      <c r="K1085" s="34"/>
    </row>
    <row r="1086" spans="1:11" x14ac:dyDescent="0.25">
      <c r="A1086" s="51"/>
      <c r="B1086" s="51" t="s">
        <v>3164</v>
      </c>
      <c r="C1086" s="351" t="s">
        <v>499</v>
      </c>
      <c r="D1086" s="51" t="s">
        <v>1840</v>
      </c>
      <c r="E1086" s="51"/>
      <c r="F1086" s="52" t="s">
        <v>3165</v>
      </c>
      <c r="G1086" s="52" t="s">
        <v>3166</v>
      </c>
      <c r="H1086" s="52"/>
      <c r="I1086" s="52"/>
      <c r="J1086" s="54">
        <v>300</v>
      </c>
      <c r="K1086" s="38"/>
    </row>
    <row r="1087" spans="1:11" x14ac:dyDescent="0.25">
      <c r="A1087" s="32" t="s">
        <v>169</v>
      </c>
      <c r="B1087" s="204" t="s">
        <v>3167</v>
      </c>
      <c r="C1087" s="204"/>
      <c r="D1087" s="204" t="s">
        <v>3168</v>
      </c>
      <c r="E1087" s="70"/>
      <c r="F1087" s="31" t="s">
        <v>3169</v>
      </c>
      <c r="G1087" s="32" t="s">
        <v>2626</v>
      </c>
      <c r="H1087" s="32"/>
      <c r="I1087" s="32"/>
      <c r="J1087" s="33">
        <v>6</v>
      </c>
      <c r="K1087" s="34"/>
    </row>
    <row r="1088" spans="1:11" x14ac:dyDescent="0.25">
      <c r="A1088" s="51"/>
      <c r="B1088" s="51" t="s">
        <v>3170</v>
      </c>
      <c r="C1088" s="51"/>
      <c r="D1088" s="51"/>
      <c r="E1088" s="51"/>
      <c r="F1088" s="52" t="s">
        <v>3171</v>
      </c>
      <c r="G1088" s="52" t="s">
        <v>3172</v>
      </c>
      <c r="H1088" s="52"/>
      <c r="I1088" s="52"/>
      <c r="J1088" s="54">
        <v>32</v>
      </c>
      <c r="K1088" s="38"/>
    </row>
    <row r="1089" spans="1:11" x14ac:dyDescent="0.25">
      <c r="A1089" s="51"/>
      <c r="B1089" s="51" t="s">
        <v>3173</v>
      </c>
      <c r="C1089" s="51"/>
      <c r="D1089" s="51"/>
      <c r="E1089" s="51"/>
      <c r="F1089" s="52" t="s">
        <v>3174</v>
      </c>
      <c r="G1089" s="52"/>
      <c r="H1089" s="52"/>
      <c r="I1089" s="52"/>
      <c r="J1089" s="54">
        <v>50</v>
      </c>
      <c r="K1089" s="38"/>
    </row>
    <row r="1090" spans="1:11" x14ac:dyDescent="0.25">
      <c r="A1090" s="51"/>
      <c r="B1090" s="51" t="s">
        <v>3175</v>
      </c>
      <c r="C1090" s="51"/>
      <c r="D1090" s="51"/>
      <c r="E1090" s="51"/>
      <c r="F1090" s="52" t="s">
        <v>3176</v>
      </c>
      <c r="G1090" s="52"/>
      <c r="H1090" s="52"/>
      <c r="I1090" s="52"/>
      <c r="J1090" s="54">
        <v>100</v>
      </c>
      <c r="K1090" s="38"/>
    </row>
    <row r="1091" spans="1:11" x14ac:dyDescent="0.25">
      <c r="A1091" s="31" t="s">
        <v>108</v>
      </c>
      <c r="B1091" s="71" t="s">
        <v>3177</v>
      </c>
      <c r="C1091" s="71"/>
      <c r="D1091" s="71"/>
      <c r="E1091" s="71"/>
      <c r="F1091" s="32" t="s">
        <v>3178</v>
      </c>
      <c r="G1091" s="32" t="s">
        <v>2605</v>
      </c>
      <c r="H1091" s="32"/>
      <c r="I1091" s="32"/>
      <c r="J1091" s="33">
        <v>1</v>
      </c>
      <c r="K1091" s="34"/>
    </row>
    <row r="1092" spans="1:11" ht="26.25" x14ac:dyDescent="0.25">
      <c r="A1092" s="31" t="s">
        <v>314</v>
      </c>
      <c r="B1092" s="71" t="s">
        <v>3179</v>
      </c>
      <c r="C1092" s="71"/>
      <c r="D1092" s="71"/>
      <c r="E1092" s="71"/>
      <c r="F1092" s="103" t="s">
        <v>3180</v>
      </c>
      <c r="G1092" s="32" t="s">
        <v>3181</v>
      </c>
      <c r="H1092" s="32" t="s">
        <v>1787</v>
      </c>
      <c r="I1092" s="32"/>
      <c r="J1092" s="33">
        <v>40</v>
      </c>
      <c r="K1092" s="34"/>
    </row>
    <row r="1093" spans="1:11" x14ac:dyDescent="0.25">
      <c r="A1093" s="283" t="s">
        <v>314</v>
      </c>
      <c r="B1093" s="283">
        <v>1000141500000</v>
      </c>
      <c r="C1093" s="283"/>
      <c r="D1093" s="283"/>
      <c r="E1093" s="283"/>
      <c r="F1093" s="285" t="s">
        <v>3182</v>
      </c>
      <c r="G1093" s="285" t="s">
        <v>3183</v>
      </c>
      <c r="H1093" s="285" t="s">
        <v>1787</v>
      </c>
      <c r="I1093" s="285"/>
      <c r="J1093" s="286">
        <v>40</v>
      </c>
      <c r="K1093" s="287"/>
    </row>
    <row r="1094" spans="1:11" ht="26.25" x14ac:dyDescent="0.25">
      <c r="A1094" s="330" t="s">
        <v>3184</v>
      </c>
      <c r="B1094" s="73" t="s">
        <v>3185</v>
      </c>
      <c r="C1094" s="73"/>
      <c r="D1094" s="73"/>
      <c r="E1094" s="73"/>
      <c r="F1094" s="32"/>
      <c r="G1094" s="32"/>
      <c r="H1094" s="32"/>
      <c r="I1094" s="32"/>
      <c r="J1094" s="33"/>
      <c r="K1094" s="34"/>
    </row>
    <row r="1095" spans="1:11" x14ac:dyDescent="0.25">
      <c r="A1095" s="39"/>
      <c r="B1095" s="331"/>
      <c r="C1095" s="331"/>
      <c r="D1095" s="331"/>
      <c r="E1095" s="331"/>
      <c r="F1095" s="28"/>
      <c r="G1095" s="28"/>
      <c r="H1095" s="28"/>
      <c r="I1095" s="28"/>
      <c r="J1095" s="40"/>
      <c r="K1095" s="30"/>
    </row>
    <row r="1096" spans="1:11" x14ac:dyDescent="0.25">
      <c r="A1096" s="126"/>
      <c r="B1096" s="126"/>
      <c r="C1096" s="126"/>
      <c r="D1096" s="126"/>
      <c r="E1096" s="126"/>
      <c r="F1096" s="9"/>
      <c r="G1096" s="9"/>
      <c r="H1096" s="9"/>
      <c r="I1096" s="9"/>
      <c r="J1096" s="61"/>
      <c r="K1096" s="47"/>
    </row>
    <row r="1097" spans="1:11" x14ac:dyDescent="0.25">
      <c r="A1097" s="73"/>
      <c r="B1097" s="73" t="s">
        <v>3186</v>
      </c>
      <c r="C1097" s="73"/>
      <c r="D1097" s="73"/>
      <c r="E1097" s="73"/>
      <c r="F1097" s="32"/>
      <c r="G1097" s="32"/>
      <c r="H1097" s="32"/>
      <c r="I1097" s="32"/>
      <c r="J1097" s="33"/>
      <c r="K1097" s="34"/>
    </row>
    <row r="1098" spans="1:11" x14ac:dyDescent="0.25">
      <c r="A1098" s="51" t="s">
        <v>108</v>
      </c>
      <c r="B1098" s="71" t="s">
        <v>1196</v>
      </c>
      <c r="C1098" s="71"/>
      <c r="D1098" s="71"/>
      <c r="E1098" s="71"/>
      <c r="F1098" s="32" t="s">
        <v>1197</v>
      </c>
      <c r="G1098" s="32"/>
      <c r="H1098" s="32"/>
      <c r="I1098" s="32"/>
      <c r="J1098" s="33"/>
      <c r="K1098" s="34"/>
    </row>
    <row r="1099" spans="1:11" x14ac:dyDescent="0.25">
      <c r="A1099" s="31" t="s">
        <v>41</v>
      </c>
      <c r="B1099" s="71" t="s">
        <v>2319</v>
      </c>
      <c r="C1099" s="71"/>
      <c r="D1099" s="71"/>
      <c r="E1099" s="71"/>
      <c r="F1099" s="32" t="s">
        <v>2320</v>
      </c>
      <c r="G1099" s="32" t="s">
        <v>2321</v>
      </c>
      <c r="H1099" s="32"/>
      <c r="I1099" s="32"/>
      <c r="J1099" s="33"/>
      <c r="K1099" s="34"/>
    </row>
    <row r="1100" spans="1:11" x14ac:dyDescent="0.25">
      <c r="A1100" s="31" t="s">
        <v>37</v>
      </c>
      <c r="B1100" s="125" t="s">
        <v>3187</v>
      </c>
      <c r="C1100" s="125"/>
      <c r="D1100" s="122"/>
      <c r="E1100" s="122"/>
      <c r="F1100" s="115" t="s">
        <v>3188</v>
      </c>
      <c r="G1100" s="115" t="s">
        <v>3189</v>
      </c>
      <c r="H1100" s="32"/>
      <c r="I1100" s="32"/>
      <c r="J1100" s="33">
        <v>1</v>
      </c>
      <c r="K1100" s="34"/>
    </row>
    <row r="1101" spans="1:11" x14ac:dyDescent="0.25">
      <c r="A1101" s="32" t="s">
        <v>217</v>
      </c>
      <c r="B1101" s="70" t="s">
        <v>1088</v>
      </c>
      <c r="C1101" s="70"/>
      <c r="D1101" s="70"/>
      <c r="E1101" s="70"/>
      <c r="F1101" s="31" t="s">
        <v>1089</v>
      </c>
      <c r="G1101" s="32" t="s">
        <v>1090</v>
      </c>
      <c r="H1101" s="32"/>
      <c r="I1101" s="32"/>
      <c r="J1101" s="33"/>
      <c r="K1101" s="34"/>
    </row>
    <row r="1102" spans="1:11" x14ac:dyDescent="0.25">
      <c r="A1102" s="31" t="s">
        <v>169</v>
      </c>
      <c r="B1102" s="71" t="s">
        <v>453</v>
      </c>
      <c r="C1102" s="71"/>
      <c r="D1102" s="71"/>
      <c r="E1102" s="71"/>
      <c r="F1102" s="203" t="s">
        <v>454</v>
      </c>
      <c r="G1102" s="203" t="s">
        <v>455</v>
      </c>
      <c r="H1102" s="203" t="s">
        <v>456</v>
      </c>
      <c r="I1102" s="203"/>
      <c r="J1102" s="224">
        <v>4</v>
      </c>
      <c r="K1102" s="34"/>
    </row>
    <row r="1103" spans="1:11" x14ac:dyDescent="0.25">
      <c r="A1103" s="51" t="s">
        <v>27</v>
      </c>
      <c r="B1103" s="51" t="s">
        <v>2188</v>
      </c>
      <c r="C1103" s="51"/>
      <c r="D1103" s="51"/>
      <c r="E1103" s="51"/>
      <c r="F1103" s="151" t="s">
        <v>2189</v>
      </c>
      <c r="G1103" s="51" t="s">
        <v>2190</v>
      </c>
      <c r="H1103" s="52" t="s">
        <v>1356</v>
      </c>
      <c r="I1103" s="52"/>
      <c r="J1103" s="54"/>
      <c r="K1103" s="38"/>
    </row>
    <row r="1104" spans="1:11" x14ac:dyDescent="0.25">
      <c r="A1104" s="51" t="s">
        <v>27</v>
      </c>
      <c r="B1104" s="51" t="s">
        <v>2191</v>
      </c>
      <c r="C1104" s="51"/>
      <c r="D1104" s="51"/>
      <c r="E1104" s="51"/>
      <c r="F1104" s="151" t="s">
        <v>2192</v>
      </c>
      <c r="G1104" s="52" t="s">
        <v>2193</v>
      </c>
      <c r="H1104" s="52" t="s">
        <v>1356</v>
      </c>
      <c r="I1104" s="52"/>
      <c r="J1104" s="54"/>
      <c r="K1104" s="38"/>
    </row>
    <row r="1105" spans="1:11" x14ac:dyDescent="0.25">
      <c r="A1105" s="31" t="s">
        <v>169</v>
      </c>
      <c r="B1105" s="71" t="s">
        <v>3190</v>
      </c>
      <c r="C1105" s="71"/>
      <c r="D1105" s="31"/>
      <c r="E1105" s="31"/>
      <c r="F1105" s="103" t="s">
        <v>3191</v>
      </c>
      <c r="G1105" s="70" t="s">
        <v>3192</v>
      </c>
      <c r="H1105" s="70" t="s">
        <v>297</v>
      </c>
      <c r="I1105" s="32"/>
      <c r="J1105" s="33">
        <v>1</v>
      </c>
      <c r="K1105" s="34"/>
    </row>
    <row r="1106" spans="1:11" x14ac:dyDescent="0.25">
      <c r="A1106" s="31"/>
      <c r="B1106" s="71"/>
      <c r="C1106" s="351"/>
      <c r="D1106" s="71"/>
      <c r="E1106" s="71"/>
      <c r="F1106" s="32"/>
      <c r="G1106" s="32"/>
      <c r="H1106" s="32"/>
      <c r="I1106" s="32"/>
      <c r="J1106" s="33"/>
      <c r="K1106" s="34"/>
    </row>
    <row r="1107" spans="1:11" x14ac:dyDescent="0.25">
      <c r="A1107" s="31" t="s">
        <v>108</v>
      </c>
      <c r="B1107" s="71" t="s">
        <v>3193</v>
      </c>
      <c r="C1107" s="71"/>
      <c r="D1107" s="71"/>
      <c r="E1107" s="71"/>
      <c r="F1107" s="32" t="s">
        <v>3194</v>
      </c>
      <c r="G1107" s="32">
        <v>3030417</v>
      </c>
      <c r="H1107" s="32"/>
      <c r="I1107" s="32"/>
      <c r="J1107" s="33">
        <v>5</v>
      </c>
      <c r="K1107" s="34"/>
    </row>
    <row r="1108" spans="1:11" x14ac:dyDescent="0.25">
      <c r="A1108" s="31" t="s">
        <v>108</v>
      </c>
      <c r="B1108" s="71" t="s">
        <v>3195</v>
      </c>
      <c r="C1108" s="71"/>
      <c r="D1108" s="71"/>
      <c r="E1108" s="71"/>
      <c r="F1108" s="32" t="s">
        <v>2475</v>
      </c>
      <c r="G1108" s="32">
        <v>3211634</v>
      </c>
      <c r="H1108" s="32"/>
      <c r="I1108" s="32"/>
      <c r="J1108" s="33">
        <v>5</v>
      </c>
      <c r="K1108" s="34"/>
    </row>
    <row r="1109" spans="1:11" x14ac:dyDescent="0.25">
      <c r="A1109" s="31" t="s">
        <v>37</v>
      </c>
      <c r="B1109" s="71" t="s">
        <v>1153</v>
      </c>
      <c r="C1109" s="71"/>
      <c r="D1109" s="71"/>
      <c r="E1109" s="71"/>
      <c r="F1109" s="32" t="s">
        <v>1154</v>
      </c>
      <c r="G1109" s="32" t="s">
        <v>1155</v>
      </c>
      <c r="H1109" s="32" t="s">
        <v>1151</v>
      </c>
      <c r="I1109" s="32" t="s">
        <v>1152</v>
      </c>
      <c r="J1109" s="33"/>
      <c r="K1109" s="34"/>
    </row>
    <row r="1110" spans="1:11" x14ac:dyDescent="0.25">
      <c r="A1110" s="31" t="s">
        <v>37</v>
      </c>
      <c r="B1110" s="71" t="s">
        <v>1162</v>
      </c>
      <c r="C1110" s="71"/>
      <c r="D1110" s="71"/>
      <c r="E1110" s="71"/>
      <c r="F1110" s="32" t="s">
        <v>1163</v>
      </c>
      <c r="G1110" s="32" t="s">
        <v>1164</v>
      </c>
      <c r="H1110" s="32" t="s">
        <v>1151</v>
      </c>
      <c r="I1110" s="32" t="s">
        <v>1152</v>
      </c>
      <c r="J1110" s="33"/>
      <c r="K1110" s="34"/>
    </row>
    <row r="1111" spans="1:11" x14ac:dyDescent="0.25">
      <c r="A1111" s="31" t="s">
        <v>37</v>
      </c>
      <c r="B1111" s="71" t="s">
        <v>1171</v>
      </c>
      <c r="C1111" s="71"/>
      <c r="D1111" s="71"/>
      <c r="E1111" s="71"/>
      <c r="F1111" s="32" t="s">
        <v>1172</v>
      </c>
      <c r="G1111" s="32" t="s">
        <v>1173</v>
      </c>
      <c r="H1111" s="32" t="s">
        <v>1151</v>
      </c>
      <c r="I1111" s="32" t="s">
        <v>1152</v>
      </c>
      <c r="J1111" s="33"/>
      <c r="K1111" s="34"/>
    </row>
    <row r="1112" spans="1:11" x14ac:dyDescent="0.25">
      <c r="A1112" s="31" t="s">
        <v>314</v>
      </c>
      <c r="B1112" s="71" t="s">
        <v>2146</v>
      </c>
      <c r="C1112" s="71"/>
      <c r="D1112" s="71"/>
      <c r="E1112" s="71"/>
      <c r="F1112" s="32" t="s">
        <v>2147</v>
      </c>
      <c r="G1112" s="103" t="s">
        <v>2148</v>
      </c>
      <c r="H1112" s="32"/>
      <c r="I1112" s="32"/>
      <c r="J1112" s="33"/>
      <c r="K1112" s="34"/>
    </row>
    <row r="1113" spans="1:11" x14ac:dyDescent="0.25">
      <c r="A1113" s="31" t="s">
        <v>108</v>
      </c>
      <c r="B1113" s="31">
        <v>1264011789400</v>
      </c>
      <c r="C1113" s="31"/>
      <c r="D1113" s="71"/>
      <c r="E1113" s="71"/>
      <c r="F1113" s="32" t="s">
        <v>3196</v>
      </c>
      <c r="G1113" s="32" t="s">
        <v>3197</v>
      </c>
      <c r="H1113" s="32" t="s">
        <v>113</v>
      </c>
      <c r="I1113" s="32"/>
      <c r="J1113" s="33">
        <v>1</v>
      </c>
      <c r="K1113" s="34"/>
    </row>
    <row r="1114" spans="1:11" x14ac:dyDescent="0.25">
      <c r="A1114" s="31" t="s">
        <v>108</v>
      </c>
      <c r="B1114" s="31">
        <v>1264011789300</v>
      </c>
      <c r="C1114" s="31"/>
      <c r="D1114" s="71"/>
      <c r="E1114" s="71"/>
      <c r="F1114" s="32" t="s">
        <v>3198</v>
      </c>
      <c r="G1114" s="32" t="s">
        <v>3199</v>
      </c>
      <c r="H1114" s="32" t="s">
        <v>113</v>
      </c>
      <c r="I1114" s="32"/>
      <c r="J1114" s="33">
        <v>1</v>
      </c>
      <c r="K1114" s="34"/>
    </row>
    <row r="1115" spans="1:11" x14ac:dyDescent="0.25">
      <c r="A1115" s="51" t="s">
        <v>108</v>
      </c>
      <c r="B1115" s="71" t="s">
        <v>1078</v>
      </c>
      <c r="C1115" s="71"/>
      <c r="D1115" s="71"/>
      <c r="E1115" s="71"/>
      <c r="F1115" s="32" t="s">
        <v>1079</v>
      </c>
      <c r="G1115" s="32"/>
      <c r="H1115" s="32"/>
      <c r="I1115" s="32"/>
      <c r="J1115" s="33"/>
      <c r="K1115" s="34"/>
    </row>
    <row r="1116" spans="1:11" x14ac:dyDescent="0.25">
      <c r="A1116" s="214" t="s">
        <v>366</v>
      </c>
      <c r="B1116" s="213" t="s">
        <v>618</v>
      </c>
      <c r="C1116" s="213"/>
      <c r="D1116" s="213"/>
      <c r="E1116" s="213"/>
      <c r="F1116" s="214" t="s">
        <v>619</v>
      </c>
      <c r="G1116" s="214" t="s">
        <v>620</v>
      </c>
      <c r="H1116" s="214" t="s">
        <v>621</v>
      </c>
      <c r="I1116" s="214"/>
      <c r="J1116" s="215">
        <v>1</v>
      </c>
      <c r="K1116" s="34"/>
    </row>
    <row r="1117" spans="1:11" x14ac:dyDescent="0.25">
      <c r="A1117" s="31"/>
      <c r="B1117" s="71" t="s">
        <v>754</v>
      </c>
      <c r="C1117" s="71"/>
      <c r="D1117" s="71"/>
      <c r="E1117" s="71"/>
      <c r="F1117" s="32" t="s">
        <v>755</v>
      </c>
      <c r="G1117" s="32" t="s">
        <v>756</v>
      </c>
      <c r="H1117" s="32" t="s">
        <v>753</v>
      </c>
      <c r="I1117" s="32" t="s">
        <v>461</v>
      </c>
      <c r="J1117" s="33">
        <v>2</v>
      </c>
      <c r="K1117" s="34"/>
    </row>
    <row r="1118" spans="1:11" x14ac:dyDescent="0.25">
      <c r="A1118" s="31" t="s">
        <v>108</v>
      </c>
      <c r="B1118" s="51" t="s">
        <v>3200</v>
      </c>
      <c r="C1118" s="51"/>
      <c r="D1118" s="51"/>
      <c r="E1118" s="51"/>
      <c r="F1118" s="32" t="s">
        <v>3201</v>
      </c>
      <c r="G1118" s="32" t="s">
        <v>3202</v>
      </c>
      <c r="H1118" s="32"/>
      <c r="I1118" s="32"/>
      <c r="J1118" s="33"/>
      <c r="K1118" s="34"/>
    </row>
    <row r="1119" spans="1:11" x14ac:dyDescent="0.25">
      <c r="A1119" s="31" t="s">
        <v>108</v>
      </c>
      <c r="B1119" s="51" t="s">
        <v>3203</v>
      </c>
      <c r="C1119" s="51"/>
      <c r="D1119" s="51"/>
      <c r="E1119" s="51"/>
      <c r="F1119" s="32" t="s">
        <v>3204</v>
      </c>
      <c r="G1119" s="32" t="s">
        <v>3205</v>
      </c>
      <c r="H1119" s="32"/>
      <c r="I1119" s="32"/>
      <c r="J1119" s="33"/>
      <c r="K1119" s="34"/>
    </row>
    <row r="1120" spans="1:11" x14ac:dyDescent="0.25">
      <c r="A1120" s="31"/>
      <c r="B1120" s="201" t="s">
        <v>625</v>
      </c>
      <c r="C1120" s="31"/>
      <c r="D1120" s="31"/>
      <c r="E1120" s="31"/>
      <c r="F1120" s="32" t="s">
        <v>626</v>
      </c>
      <c r="G1120" s="32" t="s">
        <v>3206</v>
      </c>
      <c r="H1120" s="32" t="s">
        <v>3207</v>
      </c>
      <c r="I1120" s="32"/>
      <c r="J1120" s="33">
        <v>1</v>
      </c>
      <c r="K1120" s="34"/>
    </row>
    <row r="1121" spans="1:11" x14ac:dyDescent="0.25">
      <c r="A1121" s="31" t="s">
        <v>314</v>
      </c>
      <c r="B1121" s="71" t="s">
        <v>1123</v>
      </c>
      <c r="C1121" s="71"/>
      <c r="D1121" s="71"/>
      <c r="E1121" s="71"/>
      <c r="F1121" s="32" t="s">
        <v>1124</v>
      </c>
      <c r="G1121" s="32" t="s">
        <v>1125</v>
      </c>
      <c r="H1121" s="32" t="s">
        <v>742</v>
      </c>
      <c r="I1121" s="32"/>
      <c r="J1121" s="33"/>
      <c r="K1121" s="34"/>
    </row>
    <row r="1122" spans="1:11" x14ac:dyDescent="0.25">
      <c r="A1122" s="31" t="s">
        <v>314</v>
      </c>
      <c r="B1122" s="71" t="s">
        <v>2060</v>
      </c>
      <c r="C1122" s="71"/>
      <c r="D1122" s="71"/>
      <c r="E1122" s="71"/>
      <c r="F1122" s="32" t="s">
        <v>2061</v>
      </c>
      <c r="G1122" s="32" t="s">
        <v>2062</v>
      </c>
      <c r="H1122" s="32" t="s">
        <v>785</v>
      </c>
      <c r="I1122" s="32"/>
      <c r="J1122" s="33"/>
      <c r="K1122" s="38"/>
    </row>
    <row r="1123" spans="1:11" x14ac:dyDescent="0.25">
      <c r="A1123" s="31"/>
      <c r="B1123" s="202" t="s">
        <v>3208</v>
      </c>
      <c r="C1123" s="201" t="s">
        <v>3209</v>
      </c>
      <c r="D1123" s="201"/>
      <c r="E1123" s="201"/>
      <c r="F1123" s="203" t="s">
        <v>3210</v>
      </c>
      <c r="G1123" s="275" t="s">
        <v>3211</v>
      </c>
      <c r="H1123" s="203" t="s">
        <v>538</v>
      </c>
      <c r="I1123" s="203"/>
      <c r="J1123" s="224">
        <v>1</v>
      </c>
      <c r="K1123" s="34"/>
    </row>
    <row r="1124" spans="1:11" ht="15.75" x14ac:dyDescent="0.25">
      <c r="A1124" s="332"/>
      <c r="B1124" s="332" t="s">
        <v>3212</v>
      </c>
      <c r="C1124" s="332"/>
      <c r="D1124" s="332"/>
      <c r="E1124" s="332"/>
      <c r="F1124" s="370" t="s">
        <v>3213</v>
      </c>
      <c r="G1124" s="375"/>
      <c r="H1124" s="32"/>
      <c r="I1124" s="32"/>
      <c r="J1124" s="33"/>
      <c r="K1124" s="34"/>
    </row>
    <row r="1125" spans="1:11" x14ac:dyDescent="0.25">
      <c r="A1125" s="31" t="s">
        <v>1582</v>
      </c>
      <c r="B1125" s="71"/>
      <c r="C1125" s="71"/>
      <c r="D1125" s="71"/>
      <c r="E1125" s="71"/>
      <c r="F1125" s="31" t="s">
        <v>3214</v>
      </c>
      <c r="G1125" s="71"/>
      <c r="H1125" s="31"/>
      <c r="I1125" s="52"/>
      <c r="J1125" s="32"/>
      <c r="K1125" s="38"/>
    </row>
    <row r="1126" spans="1:11" x14ac:dyDescent="0.25">
      <c r="A1126" s="31" t="s">
        <v>1582</v>
      </c>
      <c r="B1126" s="71"/>
      <c r="C1126" s="71"/>
      <c r="D1126" s="71"/>
      <c r="E1126" s="71"/>
      <c r="F1126" s="31" t="s">
        <v>3215</v>
      </c>
      <c r="G1126" s="71"/>
      <c r="H1126" s="31"/>
      <c r="I1126" s="52"/>
      <c r="J1126" s="32"/>
      <c r="K1126" s="38"/>
    </row>
    <row r="1127" spans="1:11" x14ac:dyDescent="0.25">
      <c r="A1127" s="39" t="s">
        <v>1582</v>
      </c>
      <c r="B1127" s="331"/>
      <c r="C1127" s="331"/>
      <c r="D1127" s="331"/>
      <c r="E1127" s="331"/>
      <c r="F1127" s="31" t="s">
        <v>3216</v>
      </c>
      <c r="G1127" s="71"/>
      <c r="H1127" s="31"/>
      <c r="I1127" s="52"/>
      <c r="J1127" s="32"/>
      <c r="K1127" s="38"/>
    </row>
    <row r="1128" spans="1:11" x14ac:dyDescent="0.25">
      <c r="A1128" s="32" t="s">
        <v>169</v>
      </c>
      <c r="B1128" s="71" t="s">
        <v>3217</v>
      </c>
      <c r="C1128" s="71"/>
      <c r="D1128" s="70"/>
      <c r="E1128" s="70"/>
      <c r="F1128" s="32" t="s">
        <v>3218</v>
      </c>
      <c r="G1128" s="32" t="s">
        <v>3219</v>
      </c>
      <c r="H1128" s="32" t="s">
        <v>3220</v>
      </c>
      <c r="I1128" s="32"/>
      <c r="J1128" s="33">
        <v>1</v>
      </c>
      <c r="K1128" s="34"/>
    </row>
    <row r="1129" spans="1:11" x14ac:dyDescent="0.25">
      <c r="A1129" s="253" t="s">
        <v>3221</v>
      </c>
      <c r="B1129" s="51" t="s">
        <v>3222</v>
      </c>
      <c r="C1129" s="253"/>
      <c r="D1129" s="253"/>
      <c r="E1129" s="253"/>
      <c r="F1129" s="32" t="s">
        <v>2288</v>
      </c>
      <c r="G1129" s="51" t="s">
        <v>3222</v>
      </c>
      <c r="H1129" s="52"/>
      <c r="I1129" s="52"/>
      <c r="J1129" s="54">
        <v>1</v>
      </c>
      <c r="K1129" s="38"/>
    </row>
    <row r="1130" spans="1:11" x14ac:dyDescent="0.25">
      <c r="A1130" s="32" t="s">
        <v>462</v>
      </c>
      <c r="B1130" s="70" t="s">
        <v>3223</v>
      </c>
      <c r="C1130" s="70"/>
      <c r="D1130" s="70"/>
      <c r="E1130" s="70"/>
      <c r="F1130" s="31" t="s">
        <v>3224</v>
      </c>
      <c r="G1130" s="32" t="s">
        <v>3225</v>
      </c>
      <c r="H1130" s="32" t="s">
        <v>3226</v>
      </c>
      <c r="I1130" s="32"/>
      <c r="J1130" s="33">
        <v>2</v>
      </c>
      <c r="K1130" s="34"/>
    </row>
    <row r="1131" spans="1:11" x14ac:dyDescent="0.25">
      <c r="A1131" s="32" t="s">
        <v>462</v>
      </c>
      <c r="B1131" s="70" t="s">
        <v>3227</v>
      </c>
      <c r="C1131" s="299"/>
      <c r="D1131" s="70"/>
      <c r="E1131" s="70"/>
      <c r="F1131" s="31" t="s">
        <v>3228</v>
      </c>
      <c r="G1131" s="32" t="s">
        <v>3229</v>
      </c>
      <c r="H1131" s="32" t="s">
        <v>260</v>
      </c>
      <c r="I1131" s="32"/>
      <c r="J1131" s="33">
        <v>1</v>
      </c>
      <c r="K1131" s="34"/>
    </row>
    <row r="1132" spans="1:11" x14ac:dyDescent="0.25">
      <c r="A1132" s="278" t="s">
        <v>462</v>
      </c>
      <c r="B1132" s="290" t="s">
        <v>3230</v>
      </c>
      <c r="C1132" s="290" t="s">
        <v>3231</v>
      </c>
      <c r="D1132" s="290"/>
      <c r="E1132" s="290"/>
      <c r="F1132" s="276" t="s">
        <v>3232</v>
      </c>
      <c r="G1132" s="278" t="s">
        <v>3233</v>
      </c>
      <c r="H1132" s="278" t="s">
        <v>260</v>
      </c>
      <c r="I1132" s="278"/>
      <c r="J1132" s="291">
        <v>2</v>
      </c>
      <c r="K1132" s="34"/>
    </row>
    <row r="1133" spans="1:11" x14ac:dyDescent="0.25">
      <c r="A1133" s="31" t="s">
        <v>108</v>
      </c>
      <c r="B1133" s="71" t="s">
        <v>642</v>
      </c>
      <c r="C1133" s="71"/>
      <c r="D1133" s="71"/>
      <c r="E1133" s="71"/>
      <c r="F1133" s="32" t="s">
        <v>643</v>
      </c>
      <c r="G1133" s="32" t="s">
        <v>644</v>
      </c>
      <c r="H1133" s="32" t="s">
        <v>515</v>
      </c>
      <c r="I1133" s="32"/>
      <c r="J1133" s="33"/>
      <c r="K1133" s="34"/>
    </row>
    <row r="1134" spans="1:11" x14ac:dyDescent="0.25">
      <c r="A1134" s="31"/>
      <c r="B1134" s="202" t="s">
        <v>3234</v>
      </c>
      <c r="C1134" s="201"/>
      <c r="D1134" s="201"/>
      <c r="E1134" s="201"/>
      <c r="F1134" s="275" t="s">
        <v>3235</v>
      </c>
      <c r="G1134" s="275" t="s">
        <v>3236</v>
      </c>
      <c r="H1134" s="203"/>
      <c r="I1134" s="203"/>
      <c r="J1134" s="224">
        <v>1</v>
      </c>
      <c r="K1134" s="34"/>
    </row>
    <row r="1135" spans="1:11" x14ac:dyDescent="0.25">
      <c r="A1135" s="31" t="s">
        <v>169</v>
      </c>
      <c r="B1135" s="71" t="s">
        <v>3237</v>
      </c>
      <c r="C1135" s="71"/>
      <c r="D1135" s="31"/>
      <c r="E1135" s="31"/>
      <c r="F1135" s="32" t="s">
        <v>3238</v>
      </c>
      <c r="G1135" s="70" t="s">
        <v>3239</v>
      </c>
      <c r="H1135" s="32" t="s">
        <v>358</v>
      </c>
      <c r="I1135" s="32"/>
      <c r="J1135" s="33">
        <v>6</v>
      </c>
      <c r="K1135" s="34"/>
    </row>
    <row r="1136" spans="1:11" x14ac:dyDescent="0.25">
      <c r="A1136" s="71" t="s">
        <v>37</v>
      </c>
      <c r="B1136" s="71">
        <v>1390701502100</v>
      </c>
      <c r="C1136" s="71"/>
      <c r="D1136" s="31"/>
      <c r="E1136" s="31"/>
      <c r="F1136" s="32" t="s">
        <v>3240</v>
      </c>
      <c r="G1136" s="70" t="s">
        <v>3241</v>
      </c>
      <c r="H1136" s="32" t="s">
        <v>125</v>
      </c>
      <c r="I1136" s="32" t="s">
        <v>125</v>
      </c>
      <c r="J1136" s="33">
        <v>1</v>
      </c>
      <c r="K1136" s="34"/>
    </row>
    <row r="1137" spans="1:11" x14ac:dyDescent="0.25">
      <c r="A1137" s="31" t="s">
        <v>314</v>
      </c>
      <c r="B1137" s="187" t="s">
        <v>3242</v>
      </c>
      <c r="C1137" s="187"/>
      <c r="D1137" s="187"/>
      <c r="E1137" s="187"/>
      <c r="F1137" s="188" t="s">
        <v>3243</v>
      </c>
      <c r="G1137" s="168" t="s">
        <v>3244</v>
      </c>
      <c r="H1137" s="188"/>
      <c r="I1137" s="188"/>
      <c r="J1137" s="189">
        <v>2</v>
      </c>
      <c r="K1137" s="190"/>
    </row>
    <row r="1138" spans="1:11" x14ac:dyDescent="0.25">
      <c r="A1138" s="31" t="s">
        <v>314</v>
      </c>
      <c r="B1138" s="71" t="s">
        <v>1900</v>
      </c>
      <c r="C1138" s="71"/>
      <c r="D1138" s="71"/>
      <c r="E1138" s="71"/>
      <c r="F1138" s="32" t="s">
        <v>1901</v>
      </c>
      <c r="G1138" s="32" t="s">
        <v>1902</v>
      </c>
      <c r="H1138" s="32" t="s">
        <v>1781</v>
      </c>
      <c r="I1138" s="32"/>
      <c r="J1138" s="33"/>
      <c r="K1138" s="38"/>
    </row>
    <row r="1139" spans="1:11" x14ac:dyDescent="0.25">
      <c r="A1139" s="32" t="s">
        <v>169</v>
      </c>
      <c r="B1139" s="70" t="s">
        <v>1517</v>
      </c>
      <c r="C1139" s="70"/>
      <c r="D1139" s="70"/>
      <c r="E1139" s="70"/>
      <c r="F1139" s="31" t="s">
        <v>1519</v>
      </c>
      <c r="G1139" s="32" t="s">
        <v>1520</v>
      </c>
      <c r="H1139" s="32" t="s">
        <v>1521</v>
      </c>
      <c r="I1139" s="32"/>
      <c r="J1139" s="33">
        <v>5</v>
      </c>
      <c r="K1139" s="34"/>
    </row>
    <row r="1140" spans="1:11" x14ac:dyDescent="0.25">
      <c r="A1140" s="32" t="s">
        <v>169</v>
      </c>
      <c r="B1140" s="70" t="s">
        <v>1614</v>
      </c>
      <c r="C1140" s="70"/>
      <c r="D1140" s="70"/>
      <c r="E1140" s="70"/>
      <c r="F1140" s="31" t="s">
        <v>1616</v>
      </c>
      <c r="G1140" s="32" t="s">
        <v>1617</v>
      </c>
      <c r="H1140" s="32" t="s">
        <v>1521</v>
      </c>
      <c r="I1140" s="32"/>
      <c r="J1140" s="33">
        <v>200</v>
      </c>
      <c r="K1140" s="34"/>
    </row>
    <row r="1141" spans="1:11" x14ac:dyDescent="0.25">
      <c r="A1141" s="31" t="s">
        <v>314</v>
      </c>
      <c r="B1141" s="71" t="s">
        <v>3245</v>
      </c>
      <c r="C1141" s="71"/>
      <c r="D1141" s="71"/>
      <c r="E1141" s="71" t="s">
        <v>3246</v>
      </c>
      <c r="F1141" s="31" t="s">
        <v>3247</v>
      </c>
      <c r="G1141" s="31" t="s">
        <v>3248</v>
      </c>
      <c r="H1141" s="31" t="s">
        <v>731</v>
      </c>
      <c r="I1141" s="31"/>
      <c r="J1141" s="33">
        <v>1</v>
      </c>
      <c r="K1141" s="34"/>
    </row>
    <row r="1142" spans="1:11" x14ac:dyDescent="0.25">
      <c r="A1142" s="31" t="s">
        <v>314</v>
      </c>
      <c r="B1142" s="71" t="s">
        <v>3249</v>
      </c>
      <c r="C1142" s="71"/>
      <c r="D1142" s="31"/>
      <c r="E1142" s="31"/>
      <c r="F1142" s="276" t="s">
        <v>3250</v>
      </c>
      <c r="G1142" s="276" t="s">
        <v>3251</v>
      </c>
      <c r="H1142" s="276" t="s">
        <v>1054</v>
      </c>
      <c r="I1142" s="32"/>
      <c r="J1142" s="33">
        <v>3</v>
      </c>
      <c r="K1142" s="34"/>
    </row>
    <row r="1143" spans="1:11" x14ac:dyDescent="0.25">
      <c r="A1143" s="31" t="s">
        <v>314</v>
      </c>
      <c r="B1143" s="71" t="s">
        <v>3252</v>
      </c>
      <c r="C1143" s="71"/>
      <c r="D1143" s="31"/>
      <c r="E1143" s="31"/>
      <c r="F1143" s="276" t="s">
        <v>3253</v>
      </c>
      <c r="G1143" s="276" t="s">
        <v>3254</v>
      </c>
      <c r="H1143" s="276" t="s">
        <v>1054</v>
      </c>
      <c r="I1143" s="32"/>
      <c r="J1143" s="33">
        <v>3</v>
      </c>
      <c r="K1143" s="34"/>
    </row>
    <row r="1144" spans="1:11" x14ac:dyDescent="0.25">
      <c r="A1144" s="31" t="s">
        <v>314</v>
      </c>
      <c r="B1144" s="71" t="s">
        <v>3255</v>
      </c>
      <c r="C1144" s="71"/>
      <c r="D1144" s="31"/>
      <c r="E1144" s="31"/>
      <c r="F1144" s="276" t="s">
        <v>3256</v>
      </c>
      <c r="G1144" s="276" t="s">
        <v>1252</v>
      </c>
      <c r="H1144" s="276" t="s">
        <v>1054</v>
      </c>
      <c r="I1144" s="32"/>
      <c r="J1144" s="33">
        <v>3</v>
      </c>
      <c r="K1144" s="34"/>
    </row>
    <row r="1145" spans="1:11" x14ac:dyDescent="0.25">
      <c r="A1145" s="31" t="s">
        <v>314</v>
      </c>
      <c r="B1145" s="71" t="s">
        <v>1208</v>
      </c>
      <c r="C1145" s="71"/>
      <c r="D1145" s="31"/>
      <c r="E1145" s="31"/>
      <c r="F1145" s="276" t="s">
        <v>3257</v>
      </c>
      <c r="G1145" s="276" t="s">
        <v>3258</v>
      </c>
      <c r="H1145" s="276" t="s">
        <v>1054</v>
      </c>
      <c r="I1145" s="32"/>
      <c r="J1145" s="33">
        <v>3</v>
      </c>
      <c r="K1145" s="34"/>
    </row>
    <row r="1146" spans="1:11" x14ac:dyDescent="0.25">
      <c r="A1146" s="31" t="s">
        <v>169</v>
      </c>
      <c r="B1146" s="71" t="s">
        <v>3259</v>
      </c>
      <c r="C1146" s="71"/>
      <c r="D1146" s="71"/>
      <c r="E1146" s="71"/>
      <c r="F1146" s="32" t="s">
        <v>3260</v>
      </c>
      <c r="G1146" s="32" t="s">
        <v>3261</v>
      </c>
      <c r="H1146" s="32" t="s">
        <v>260</v>
      </c>
      <c r="I1146" s="32"/>
      <c r="J1146" s="33">
        <v>1</v>
      </c>
      <c r="K1146" s="34"/>
    </row>
    <row r="1147" spans="1:11" x14ac:dyDescent="0.25">
      <c r="A1147" s="31"/>
      <c r="B1147" s="109" t="s">
        <v>3262</v>
      </c>
      <c r="C1147" s="109"/>
      <c r="D1147" s="31"/>
      <c r="E1147" s="31"/>
      <c r="F1147" s="32" t="s">
        <v>3263</v>
      </c>
      <c r="G1147" s="70" t="s">
        <v>3264</v>
      </c>
      <c r="H1147" s="70" t="s">
        <v>1448</v>
      </c>
      <c r="I1147" s="32"/>
      <c r="J1147" s="33">
        <v>2</v>
      </c>
      <c r="K1147" s="34"/>
    </row>
    <row r="1148" spans="1:11" x14ac:dyDescent="0.25">
      <c r="A1148" s="51" t="s">
        <v>227</v>
      </c>
      <c r="B1148" s="51" t="s">
        <v>3265</v>
      </c>
      <c r="C1148" s="51"/>
      <c r="D1148" s="51"/>
      <c r="E1148" s="51"/>
      <c r="F1148" s="52" t="s">
        <v>3266</v>
      </c>
      <c r="G1148" s="52" t="s">
        <v>3267</v>
      </c>
      <c r="H1148" s="52" t="s">
        <v>3268</v>
      </c>
      <c r="I1148" s="52"/>
      <c r="J1148" s="53">
        <v>4</v>
      </c>
      <c r="K1148" s="38"/>
    </row>
    <row r="1149" spans="1:11" x14ac:dyDescent="0.25">
      <c r="A1149" s="51" t="s">
        <v>298</v>
      </c>
      <c r="B1149" s="191" t="s">
        <v>3269</v>
      </c>
      <c r="C1149" s="191"/>
      <c r="D1149" s="51"/>
      <c r="E1149" s="51"/>
      <c r="F1149" s="52" t="s">
        <v>3270</v>
      </c>
      <c r="G1149" s="51" t="s">
        <v>3271</v>
      </c>
      <c r="H1149" s="52" t="s">
        <v>621</v>
      </c>
      <c r="I1149" s="52" t="s">
        <v>3272</v>
      </c>
      <c r="J1149" s="54"/>
      <c r="K1149" s="38"/>
    </row>
    <row r="1150" spans="1:11" x14ac:dyDescent="0.25">
      <c r="A1150" s="51" t="s">
        <v>227</v>
      </c>
      <c r="B1150" s="51" t="s">
        <v>1742</v>
      </c>
      <c r="C1150" s="51"/>
      <c r="D1150" s="51"/>
      <c r="E1150" s="51"/>
      <c r="F1150" s="52" t="s">
        <v>1910</v>
      </c>
      <c r="G1150" s="52" t="s">
        <v>1911</v>
      </c>
      <c r="H1150" s="52"/>
      <c r="I1150" s="52"/>
      <c r="J1150" s="53"/>
      <c r="K1150" s="38"/>
    </row>
    <row r="1151" spans="1:11" x14ac:dyDescent="0.25">
      <c r="A1151" s="31" t="s">
        <v>314</v>
      </c>
      <c r="B1151" s="71" t="s">
        <v>1897</v>
      </c>
      <c r="C1151" s="71"/>
      <c r="D1151" s="71"/>
      <c r="E1151" s="71"/>
      <c r="F1151" s="32" t="s">
        <v>1898</v>
      </c>
      <c r="G1151" s="32" t="s">
        <v>1899</v>
      </c>
      <c r="H1151" s="32" t="s">
        <v>1741</v>
      </c>
      <c r="I1151" s="32" t="s">
        <v>586</v>
      </c>
      <c r="J1151" s="33"/>
      <c r="K1151" s="38"/>
    </row>
    <row r="1152" spans="1:11" x14ac:dyDescent="0.25">
      <c r="A1152" s="31" t="s">
        <v>169</v>
      </c>
      <c r="B1152" s="71" t="s">
        <v>3273</v>
      </c>
      <c r="C1152" s="71"/>
      <c r="D1152" s="31"/>
      <c r="E1152" s="31"/>
      <c r="F1152" s="32" t="s">
        <v>3274</v>
      </c>
      <c r="G1152" s="70" t="s">
        <v>3275</v>
      </c>
      <c r="H1152" s="32" t="s">
        <v>488</v>
      </c>
      <c r="I1152" s="32"/>
      <c r="J1152" s="33">
        <v>2</v>
      </c>
      <c r="K1152" s="34"/>
    </row>
    <row r="1153" spans="1:11" x14ac:dyDescent="0.25">
      <c r="A1153" s="51" t="s">
        <v>227</v>
      </c>
      <c r="B1153" s="342">
        <v>1263011021400</v>
      </c>
      <c r="C1153" s="51"/>
      <c r="D1153" s="51"/>
      <c r="E1153" s="51"/>
      <c r="F1153" s="366" t="s">
        <v>3276</v>
      </c>
      <c r="G1153" s="366" t="s">
        <v>3277</v>
      </c>
      <c r="H1153" s="366" t="s">
        <v>3278</v>
      </c>
      <c r="I1153" s="38"/>
      <c r="J1153" s="381" t="s">
        <v>283</v>
      </c>
      <c r="K1153" s="38"/>
    </row>
    <row r="1154" spans="1:11" x14ac:dyDescent="0.25">
      <c r="A1154" s="32" t="s">
        <v>314</v>
      </c>
      <c r="B1154" s="70" t="s">
        <v>3279</v>
      </c>
      <c r="C1154" s="32"/>
      <c r="D1154" s="32"/>
      <c r="E1154" s="32"/>
      <c r="F1154" s="31" t="s">
        <v>3280</v>
      </c>
      <c r="G1154" s="32">
        <v>42780</v>
      </c>
      <c r="H1154" s="32" t="s">
        <v>3281</v>
      </c>
      <c r="I1154" s="32"/>
      <c r="J1154" s="33">
        <v>1</v>
      </c>
      <c r="K1154" s="34"/>
    </row>
    <row r="1155" spans="1:11" x14ac:dyDescent="0.25">
      <c r="A1155" s="31" t="s">
        <v>314</v>
      </c>
      <c r="B1155" s="71" t="s">
        <v>667</v>
      </c>
      <c r="C1155" s="71"/>
      <c r="D1155" s="202"/>
      <c r="E1155" s="202"/>
      <c r="F1155" s="203" t="s">
        <v>668</v>
      </c>
      <c r="G1155" s="203" t="s">
        <v>669</v>
      </c>
      <c r="H1155" s="203"/>
      <c r="I1155" s="203" t="s">
        <v>461</v>
      </c>
      <c r="J1155" s="33">
        <v>2</v>
      </c>
      <c r="K1155" s="34"/>
    </row>
    <row r="1156" spans="1:11" x14ac:dyDescent="0.25">
      <c r="A1156" s="31" t="s">
        <v>169</v>
      </c>
      <c r="B1156" s="71" t="s">
        <v>3282</v>
      </c>
      <c r="C1156" s="71"/>
      <c r="D1156" s="31"/>
      <c r="E1156" s="31"/>
      <c r="F1156" s="32" t="s">
        <v>3283</v>
      </c>
      <c r="G1156" s="70" t="s">
        <v>3284</v>
      </c>
      <c r="H1156" s="32"/>
      <c r="I1156" s="32"/>
      <c r="J1156" s="33">
        <v>1</v>
      </c>
      <c r="K1156" s="34"/>
    </row>
    <row r="1157" spans="1:11" x14ac:dyDescent="0.25">
      <c r="A1157" s="116"/>
      <c r="B1157" s="321" t="s">
        <v>3285</v>
      </c>
      <c r="C1157" s="116"/>
      <c r="D1157" s="116"/>
      <c r="E1157" s="116"/>
      <c r="F1157" s="118" t="s">
        <v>3286</v>
      </c>
      <c r="G1157" s="118" t="s">
        <v>3287</v>
      </c>
      <c r="H1157" s="118" t="s">
        <v>538</v>
      </c>
      <c r="I1157" s="118"/>
      <c r="J1157" s="300">
        <v>1</v>
      </c>
      <c r="K1157" s="265"/>
    </row>
    <row r="1158" spans="1:11" x14ac:dyDescent="0.25">
      <c r="A1158" s="31"/>
      <c r="B1158" s="201" t="s">
        <v>542</v>
      </c>
      <c r="C1158" s="31"/>
      <c r="D1158" s="31"/>
      <c r="E1158" s="31"/>
      <c r="F1158" s="32" t="s">
        <v>543</v>
      </c>
      <c r="G1158" s="32" t="s">
        <v>3288</v>
      </c>
      <c r="H1158" s="32" t="s">
        <v>3289</v>
      </c>
      <c r="I1158" s="32"/>
      <c r="J1158" s="33">
        <v>1</v>
      </c>
      <c r="K1158" s="34"/>
    </row>
    <row r="1159" spans="1:11" x14ac:dyDescent="0.25">
      <c r="A1159" s="39" t="s">
        <v>169</v>
      </c>
      <c r="B1159" s="331" t="s">
        <v>3290</v>
      </c>
      <c r="C1159" s="331"/>
      <c r="D1159" s="39"/>
      <c r="E1159" s="39"/>
      <c r="F1159" s="28" t="s">
        <v>3291</v>
      </c>
      <c r="G1159" s="127">
        <v>1207653</v>
      </c>
      <c r="H1159" s="28" t="s">
        <v>442</v>
      </c>
      <c r="I1159" s="28"/>
      <c r="J1159" s="40">
        <v>1</v>
      </c>
      <c r="K1159" s="30"/>
    </row>
    <row r="1160" spans="1:11" x14ac:dyDescent="0.25">
      <c r="A1160" s="39" t="s">
        <v>37</v>
      </c>
      <c r="B1160" s="331" t="s">
        <v>1695</v>
      </c>
      <c r="C1160" s="331"/>
      <c r="D1160" s="331"/>
      <c r="E1160" s="331"/>
      <c r="F1160" s="28" t="s">
        <v>1696</v>
      </c>
      <c r="G1160" s="28" t="s">
        <v>1697</v>
      </c>
      <c r="H1160" s="28" t="s">
        <v>1151</v>
      </c>
      <c r="I1160" s="28" t="s">
        <v>1152</v>
      </c>
      <c r="J1160" s="40"/>
      <c r="K1160" s="30"/>
    </row>
    <row r="1161" spans="1:11" x14ac:dyDescent="0.25">
      <c r="A1161" s="39" t="s">
        <v>37</v>
      </c>
      <c r="B1161" s="331" t="s">
        <v>1698</v>
      </c>
      <c r="C1161" s="331"/>
      <c r="D1161" s="331"/>
      <c r="E1161" s="331"/>
      <c r="F1161" s="28" t="s">
        <v>1699</v>
      </c>
      <c r="G1161" s="28" t="s">
        <v>1700</v>
      </c>
      <c r="H1161" s="28" t="s">
        <v>1151</v>
      </c>
      <c r="I1161" s="28" t="s">
        <v>1152</v>
      </c>
      <c r="J1161" s="40"/>
      <c r="K1161" s="30"/>
    </row>
    <row r="1162" spans="1:11" x14ac:dyDescent="0.25">
      <c r="A1162" s="31" t="s">
        <v>37</v>
      </c>
      <c r="B1162" s="71" t="s">
        <v>1704</v>
      </c>
      <c r="C1162" s="71"/>
      <c r="D1162" s="71"/>
      <c r="E1162" s="71"/>
      <c r="F1162" s="32" t="s">
        <v>1705</v>
      </c>
      <c r="G1162" s="32" t="s">
        <v>1706</v>
      </c>
      <c r="H1162" s="32" t="s">
        <v>1151</v>
      </c>
      <c r="I1162" s="32" t="s">
        <v>1152</v>
      </c>
      <c r="J1162" s="33"/>
      <c r="K1162" s="34"/>
    </row>
    <row r="1163" spans="1:11" x14ac:dyDescent="0.25">
      <c r="A1163" s="31" t="s">
        <v>169</v>
      </c>
      <c r="B1163" s="278" t="s">
        <v>3292</v>
      </c>
      <c r="C1163" s="277"/>
      <c r="D1163" s="276"/>
      <c r="E1163" s="276"/>
      <c r="F1163" s="278" t="s">
        <v>3293</v>
      </c>
      <c r="G1163" s="290" t="s">
        <v>3294</v>
      </c>
      <c r="H1163" s="278" t="s">
        <v>3295</v>
      </c>
      <c r="I1163" s="278"/>
      <c r="J1163" s="291">
        <v>2</v>
      </c>
      <c r="K1163" s="34"/>
    </row>
    <row r="1164" spans="1:11" x14ac:dyDescent="0.25">
      <c r="A1164" s="31" t="s">
        <v>108</v>
      </c>
      <c r="B1164" s="51" t="s">
        <v>3296</v>
      </c>
      <c r="C1164" s="51"/>
      <c r="D1164" s="51"/>
      <c r="E1164" s="51"/>
      <c r="F1164" s="32" t="s">
        <v>3297</v>
      </c>
      <c r="G1164" s="32" t="s">
        <v>3298</v>
      </c>
      <c r="H1164" s="32"/>
      <c r="I1164" s="32"/>
      <c r="J1164" s="33"/>
      <c r="K1164" s="34"/>
    </row>
    <row r="1165" spans="1:11" x14ac:dyDescent="0.25">
      <c r="A1165" s="31" t="s">
        <v>108</v>
      </c>
      <c r="B1165" s="51" t="s">
        <v>3299</v>
      </c>
      <c r="C1165" s="51"/>
      <c r="D1165" s="51"/>
      <c r="E1165" s="51"/>
      <c r="F1165" s="32" t="s">
        <v>3300</v>
      </c>
      <c r="G1165" s="32" t="s">
        <v>3301</v>
      </c>
      <c r="H1165" s="32"/>
      <c r="I1165" s="32"/>
      <c r="J1165" s="33"/>
      <c r="K1165" s="34"/>
    </row>
    <row r="1166" spans="1:11" x14ac:dyDescent="0.25">
      <c r="A1166" s="31" t="s">
        <v>314</v>
      </c>
      <c r="B1166" s="71" t="s">
        <v>2103</v>
      </c>
      <c r="C1166" s="71"/>
      <c r="D1166" s="71"/>
      <c r="E1166" s="71"/>
      <c r="F1166" s="32" t="s">
        <v>2104</v>
      </c>
      <c r="G1166" s="32" t="s">
        <v>2105</v>
      </c>
      <c r="H1166" s="32" t="s">
        <v>785</v>
      </c>
      <c r="I1166" s="32"/>
      <c r="J1166" s="33"/>
      <c r="K1166" s="34"/>
    </row>
    <row r="1167" spans="1:11" x14ac:dyDescent="0.25">
      <c r="A1167" s="31" t="s">
        <v>314</v>
      </c>
      <c r="B1167" s="71" t="s">
        <v>2100</v>
      </c>
      <c r="C1167" s="71"/>
      <c r="D1167" s="71"/>
      <c r="E1167" s="71"/>
      <c r="F1167" s="32" t="s">
        <v>2101</v>
      </c>
      <c r="G1167" s="32" t="s">
        <v>2102</v>
      </c>
      <c r="H1167" s="32" t="s">
        <v>785</v>
      </c>
      <c r="I1167" s="32"/>
      <c r="J1167" s="33"/>
      <c r="K1167" s="38"/>
    </row>
    <row r="1168" spans="1:11" x14ac:dyDescent="0.25">
      <c r="A1168" s="31" t="s">
        <v>314</v>
      </c>
      <c r="B1168" s="71" t="s">
        <v>1531</v>
      </c>
      <c r="C1168" s="71"/>
      <c r="D1168" s="71"/>
      <c r="E1168" s="71"/>
      <c r="F1168" s="32" t="s">
        <v>1532</v>
      </c>
      <c r="G1168" s="32" t="s">
        <v>1533</v>
      </c>
      <c r="H1168" s="32" t="s">
        <v>785</v>
      </c>
      <c r="I1168" s="32"/>
      <c r="J1168" s="33"/>
      <c r="K1168" s="34"/>
    </row>
    <row r="1169" spans="1:11" x14ac:dyDescent="0.25">
      <c r="A1169" s="179" t="s">
        <v>314</v>
      </c>
      <c r="B1169" s="180" t="s">
        <v>1192</v>
      </c>
      <c r="C1169" s="180"/>
      <c r="D1169" s="180"/>
      <c r="E1169" s="180"/>
      <c r="F1169" s="32" t="s">
        <v>1193</v>
      </c>
      <c r="G1169" s="181" t="s">
        <v>1194</v>
      </c>
      <c r="H1169" s="181" t="s">
        <v>1195</v>
      </c>
      <c r="I1169" s="181"/>
      <c r="J1169" s="182"/>
      <c r="K1169" s="183"/>
    </row>
    <row r="1170" spans="1:11" x14ac:dyDescent="0.25">
      <c r="A1170" s="283"/>
      <c r="B1170" s="283"/>
      <c r="C1170" s="283"/>
      <c r="D1170" s="283"/>
      <c r="E1170" s="283"/>
      <c r="F1170" s="285"/>
      <c r="G1170" s="285"/>
      <c r="H1170" s="285"/>
      <c r="I1170" s="285"/>
      <c r="J1170" s="286"/>
      <c r="K1170" s="287"/>
    </row>
    <row r="1171" spans="1:11" x14ac:dyDescent="0.25">
      <c r="A1171" s="31" t="s">
        <v>314</v>
      </c>
      <c r="B1171" s="71" t="s">
        <v>982</v>
      </c>
      <c r="C1171" s="71"/>
      <c r="D1171" s="71"/>
      <c r="E1171" s="71"/>
      <c r="F1171" s="32" t="s">
        <v>795</v>
      </c>
      <c r="G1171" s="32" t="s">
        <v>983</v>
      </c>
      <c r="H1171" s="32" t="s">
        <v>785</v>
      </c>
      <c r="I1171" s="32"/>
      <c r="J1171" s="33"/>
      <c r="K1171" s="34"/>
    </row>
    <row r="1172" spans="1:11" x14ac:dyDescent="0.25">
      <c r="A1172" s="31" t="s">
        <v>314</v>
      </c>
      <c r="B1172" s="71" t="s">
        <v>986</v>
      </c>
      <c r="C1172" s="71"/>
      <c r="D1172" s="71"/>
      <c r="E1172" s="71"/>
      <c r="F1172" s="32" t="s">
        <v>795</v>
      </c>
      <c r="G1172" s="32" t="s">
        <v>987</v>
      </c>
      <c r="H1172" s="32" t="s">
        <v>785</v>
      </c>
      <c r="I1172" s="32"/>
      <c r="J1172" s="33"/>
      <c r="K1172" s="34"/>
    </row>
    <row r="1173" spans="1:11" x14ac:dyDescent="0.25">
      <c r="A1173" s="31" t="s">
        <v>314</v>
      </c>
      <c r="B1173" s="71" t="s">
        <v>988</v>
      </c>
      <c r="C1173" s="71"/>
      <c r="D1173" s="71"/>
      <c r="E1173" s="71"/>
      <c r="F1173" s="32" t="s">
        <v>795</v>
      </c>
      <c r="G1173" s="32" t="s">
        <v>989</v>
      </c>
      <c r="H1173" s="32" t="s">
        <v>785</v>
      </c>
      <c r="I1173" s="32"/>
      <c r="J1173" s="33"/>
      <c r="K1173" s="34"/>
    </row>
    <row r="1174" spans="1:11" x14ac:dyDescent="0.25">
      <c r="A1174" s="31" t="s">
        <v>314</v>
      </c>
      <c r="B1174" s="71" t="s">
        <v>828</v>
      </c>
      <c r="C1174" s="71"/>
      <c r="D1174" s="71"/>
      <c r="E1174" s="71"/>
      <c r="F1174" s="32" t="s">
        <v>795</v>
      </c>
      <c r="G1174" s="32" t="s">
        <v>829</v>
      </c>
      <c r="H1174" s="32" t="s">
        <v>785</v>
      </c>
      <c r="I1174" s="32"/>
      <c r="J1174" s="33"/>
      <c r="K1174" s="34"/>
    </row>
    <row r="1175" spans="1:11" x14ac:dyDescent="0.25">
      <c r="A1175" s="31" t="s">
        <v>314</v>
      </c>
      <c r="B1175" s="71" t="s">
        <v>834</v>
      </c>
      <c r="C1175" s="71"/>
      <c r="D1175" s="71"/>
      <c r="E1175" s="71"/>
      <c r="F1175" s="32" t="s">
        <v>795</v>
      </c>
      <c r="G1175" s="32" t="s">
        <v>835</v>
      </c>
      <c r="H1175" s="32" t="s">
        <v>785</v>
      </c>
      <c r="I1175" s="32"/>
      <c r="J1175" s="33"/>
      <c r="K1175" s="34"/>
    </row>
    <row r="1176" spans="1:11" x14ac:dyDescent="0.25">
      <c r="A1176" s="31" t="s">
        <v>314</v>
      </c>
      <c r="B1176" s="71" t="s">
        <v>913</v>
      </c>
      <c r="C1176" s="71"/>
      <c r="D1176" s="71"/>
      <c r="E1176" s="71"/>
      <c r="F1176" s="32" t="s">
        <v>795</v>
      </c>
      <c r="G1176" s="32" t="s">
        <v>914</v>
      </c>
      <c r="H1176" s="32" t="s">
        <v>785</v>
      </c>
      <c r="I1176" s="32"/>
      <c r="J1176" s="33"/>
      <c r="K1176" s="34"/>
    </row>
    <row r="1177" spans="1:11" x14ac:dyDescent="0.25">
      <c r="A1177" s="31" t="s">
        <v>314</v>
      </c>
      <c r="B1177" s="71" t="s">
        <v>915</v>
      </c>
      <c r="C1177" s="71"/>
      <c r="D1177" s="71"/>
      <c r="E1177" s="71"/>
      <c r="F1177" s="32" t="s">
        <v>795</v>
      </c>
      <c r="G1177" s="32" t="s">
        <v>916</v>
      </c>
      <c r="H1177" s="32" t="s">
        <v>785</v>
      </c>
      <c r="I1177" s="32"/>
      <c r="J1177" s="33"/>
      <c r="K1177" s="34"/>
    </row>
    <row r="1178" spans="1:11" x14ac:dyDescent="0.25">
      <c r="A1178" s="31" t="s">
        <v>314</v>
      </c>
      <c r="B1178" s="71" t="s">
        <v>921</v>
      </c>
      <c r="C1178" s="71"/>
      <c r="D1178" s="71"/>
      <c r="E1178" s="71"/>
      <c r="F1178" s="32" t="s">
        <v>795</v>
      </c>
      <c r="G1178" s="32" t="s">
        <v>922</v>
      </c>
      <c r="H1178" s="32" t="s">
        <v>785</v>
      </c>
      <c r="I1178" s="32"/>
      <c r="J1178" s="33"/>
      <c r="K1178" s="34"/>
    </row>
    <row r="1179" spans="1:11" x14ac:dyDescent="0.25">
      <c r="A1179" s="31" t="s">
        <v>314</v>
      </c>
      <c r="B1179" s="71" t="s">
        <v>854</v>
      </c>
      <c r="C1179" s="71"/>
      <c r="D1179" s="71"/>
      <c r="E1179" s="71"/>
      <c r="F1179" s="32" t="s">
        <v>795</v>
      </c>
      <c r="G1179" s="32" t="s">
        <v>855</v>
      </c>
      <c r="H1179" s="32" t="s">
        <v>785</v>
      </c>
      <c r="I1179" s="32"/>
      <c r="J1179" s="33"/>
      <c r="K1179" s="34"/>
    </row>
    <row r="1180" spans="1:11" x14ac:dyDescent="0.25">
      <c r="A1180" s="31" t="s">
        <v>314</v>
      </c>
      <c r="B1180" s="71" t="s">
        <v>2035</v>
      </c>
      <c r="C1180" s="71"/>
      <c r="D1180" s="71"/>
      <c r="E1180" s="71"/>
      <c r="F1180" s="32" t="s">
        <v>2036</v>
      </c>
      <c r="G1180" s="32" t="s">
        <v>2037</v>
      </c>
      <c r="H1180" s="32" t="s">
        <v>1730</v>
      </c>
      <c r="I1180" s="32" t="s">
        <v>586</v>
      </c>
      <c r="J1180" s="33"/>
      <c r="K1180" s="34"/>
    </row>
    <row r="1181" spans="1:11" x14ac:dyDescent="0.25">
      <c r="A1181" s="51" t="s">
        <v>227</v>
      </c>
      <c r="B1181" s="342">
        <v>1216500321701</v>
      </c>
      <c r="C1181" s="51"/>
      <c r="D1181" s="51"/>
      <c r="E1181" s="51"/>
      <c r="F1181" s="366" t="s">
        <v>3302</v>
      </c>
      <c r="G1181" s="366" t="s">
        <v>3303</v>
      </c>
      <c r="H1181" s="366" t="s">
        <v>2876</v>
      </c>
      <c r="I1181" s="38"/>
      <c r="J1181" s="381" t="s">
        <v>3304</v>
      </c>
      <c r="K1181" s="38"/>
    </row>
    <row r="1182" spans="1:11" x14ac:dyDescent="0.25">
      <c r="A1182" s="51" t="s">
        <v>227</v>
      </c>
      <c r="B1182" s="51" t="s">
        <v>792</v>
      </c>
      <c r="C1182" s="51"/>
      <c r="D1182" s="51"/>
      <c r="E1182" s="51"/>
      <c r="F1182" s="52" t="s">
        <v>3305</v>
      </c>
      <c r="G1182" s="52" t="s">
        <v>793</v>
      </c>
      <c r="H1182" s="52" t="s">
        <v>3306</v>
      </c>
      <c r="I1182" s="52"/>
      <c r="J1182" s="53">
        <v>2</v>
      </c>
      <c r="K1182" s="38"/>
    </row>
    <row r="1183" spans="1:11" x14ac:dyDescent="0.25">
      <c r="A1183" s="51" t="s">
        <v>227</v>
      </c>
      <c r="B1183" s="51" t="s">
        <v>792</v>
      </c>
      <c r="C1183" s="196"/>
      <c r="D1183" s="51"/>
      <c r="E1183" s="51"/>
      <c r="F1183" s="38" t="s">
        <v>3305</v>
      </c>
      <c r="G1183" s="38" t="s">
        <v>793</v>
      </c>
      <c r="H1183" s="38"/>
      <c r="I1183" s="38"/>
      <c r="J1183" s="38"/>
      <c r="K1183" s="38"/>
    </row>
    <row r="1184" spans="1:11" x14ac:dyDescent="0.25">
      <c r="A1184" s="51" t="s">
        <v>227</v>
      </c>
      <c r="B1184" s="51" t="s">
        <v>786</v>
      </c>
      <c r="C1184" s="196"/>
      <c r="D1184" s="51"/>
      <c r="E1184" s="51"/>
      <c r="F1184" s="52" t="s">
        <v>3307</v>
      </c>
      <c r="G1184" s="52" t="s">
        <v>787</v>
      </c>
      <c r="H1184" s="52" t="s">
        <v>3306</v>
      </c>
      <c r="I1184" s="369"/>
      <c r="J1184" s="53">
        <v>2</v>
      </c>
      <c r="K1184" s="38"/>
    </row>
    <row r="1185" spans="1:11" x14ac:dyDescent="0.25">
      <c r="A1185" s="362"/>
      <c r="B1185" s="362"/>
      <c r="C1185" s="362"/>
      <c r="D1185" s="362"/>
      <c r="E1185" s="362"/>
      <c r="F1185" s="362"/>
      <c r="G1185" s="362"/>
      <c r="H1185" s="362"/>
      <c r="I1185" s="362"/>
      <c r="J1185" s="362"/>
      <c r="K1185" s="362"/>
    </row>
    <row r="1186" spans="1:11" x14ac:dyDescent="0.25">
      <c r="A1186" s="51" t="s">
        <v>227</v>
      </c>
      <c r="B1186" s="342">
        <v>1216500240400</v>
      </c>
      <c r="C1186" s="51"/>
      <c r="D1186" s="51"/>
      <c r="E1186" s="51"/>
      <c r="F1186" s="366" t="s">
        <v>3308</v>
      </c>
      <c r="G1186" s="366" t="s">
        <v>3309</v>
      </c>
      <c r="H1186" s="366" t="s">
        <v>2869</v>
      </c>
      <c r="I1186" s="38"/>
      <c r="J1186" s="381" t="s">
        <v>3304</v>
      </c>
      <c r="K1186" s="38"/>
    </row>
    <row r="1187" spans="1:11" x14ac:dyDescent="0.25">
      <c r="A1187" s="31" t="s">
        <v>108</v>
      </c>
      <c r="B1187" s="71" t="s">
        <v>3310</v>
      </c>
      <c r="C1187" s="51"/>
      <c r="D1187" s="51"/>
      <c r="E1187" s="51"/>
      <c r="F1187" s="52" t="s">
        <v>3311</v>
      </c>
      <c r="G1187" s="52"/>
      <c r="H1187" s="52"/>
      <c r="I1187" s="52"/>
      <c r="J1187" s="54"/>
      <c r="K1187" s="38"/>
    </row>
    <row r="1188" spans="1:11" x14ac:dyDescent="0.25">
      <c r="A1188" s="31" t="s">
        <v>108</v>
      </c>
      <c r="B1188" s="71" t="s">
        <v>3312</v>
      </c>
      <c r="C1188" s="51"/>
      <c r="D1188" s="51"/>
      <c r="E1188" s="51"/>
      <c r="F1188" s="52" t="s">
        <v>3313</v>
      </c>
      <c r="G1188" s="52"/>
      <c r="H1188" s="52"/>
      <c r="I1188" s="52"/>
      <c r="J1188" s="54"/>
      <c r="K1188" s="38"/>
    </row>
    <row r="1189" spans="1:11" x14ac:dyDescent="0.25">
      <c r="A1189" s="31" t="s">
        <v>314</v>
      </c>
      <c r="B1189" s="71" t="s">
        <v>3314</v>
      </c>
      <c r="C1189" s="71"/>
      <c r="D1189" s="71"/>
      <c r="E1189" s="71"/>
      <c r="F1189" s="32" t="s">
        <v>3315</v>
      </c>
      <c r="G1189" s="32"/>
      <c r="H1189" s="32"/>
      <c r="I1189" s="32"/>
      <c r="J1189" s="33">
        <v>20</v>
      </c>
      <c r="K1189" s="34"/>
    </row>
    <row r="1190" spans="1:11" x14ac:dyDescent="0.25">
      <c r="A1190" s="31" t="s">
        <v>314</v>
      </c>
      <c r="B1190" s="71" t="s">
        <v>3316</v>
      </c>
      <c r="C1190" s="71"/>
      <c r="D1190" s="71"/>
      <c r="E1190" s="71"/>
      <c r="F1190" s="32" t="s">
        <v>3317</v>
      </c>
      <c r="G1190" s="32" t="s">
        <v>3318</v>
      </c>
      <c r="H1190" s="32"/>
      <c r="I1190" s="32"/>
      <c r="J1190" s="33">
        <v>50</v>
      </c>
      <c r="K1190" s="34"/>
    </row>
    <row r="1191" spans="1:11" x14ac:dyDescent="0.25">
      <c r="A1191" s="31" t="s">
        <v>314</v>
      </c>
      <c r="B1191" s="71" t="s">
        <v>3319</v>
      </c>
      <c r="C1191" s="71"/>
      <c r="D1191" s="71"/>
      <c r="E1191" s="71"/>
      <c r="F1191" s="32" t="s">
        <v>3320</v>
      </c>
      <c r="G1191" s="32"/>
      <c r="H1191" s="32"/>
      <c r="I1191" s="32"/>
      <c r="J1191" s="33">
        <v>20</v>
      </c>
      <c r="K1191" s="34"/>
    </row>
    <row r="1192" spans="1:11" x14ac:dyDescent="0.25">
      <c r="A1192" s="31" t="s">
        <v>314</v>
      </c>
      <c r="B1192" s="71" t="s">
        <v>3321</v>
      </c>
      <c r="C1192" s="71"/>
      <c r="D1192" s="71"/>
      <c r="E1192" s="71"/>
      <c r="F1192" s="32" t="s">
        <v>3322</v>
      </c>
      <c r="G1192" s="32">
        <v>31814205</v>
      </c>
      <c r="H1192" s="32" t="s">
        <v>3323</v>
      </c>
      <c r="I1192" s="32"/>
      <c r="J1192" s="33">
        <v>15</v>
      </c>
      <c r="K1192" s="34"/>
    </row>
    <row r="1193" spans="1:11" x14ac:dyDescent="0.25">
      <c r="A1193" s="31" t="s">
        <v>169</v>
      </c>
      <c r="B1193" s="109" t="s">
        <v>3324</v>
      </c>
      <c r="C1193" s="109"/>
      <c r="D1193" s="31"/>
      <c r="E1193" s="31"/>
      <c r="F1193" s="70" t="s">
        <v>3325</v>
      </c>
      <c r="G1193" s="70" t="s">
        <v>3326</v>
      </c>
      <c r="H1193" s="70" t="s">
        <v>3327</v>
      </c>
      <c r="I1193" s="32"/>
      <c r="J1193" s="33">
        <v>4</v>
      </c>
      <c r="K1193" s="34"/>
    </row>
    <row r="1194" spans="1:11" x14ac:dyDescent="0.25">
      <c r="A1194" s="201" t="s">
        <v>314</v>
      </c>
      <c r="B1194" s="202" t="s">
        <v>3328</v>
      </c>
      <c r="C1194" s="202"/>
      <c r="D1194" s="201"/>
      <c r="E1194" s="201"/>
      <c r="F1194" s="201" t="s">
        <v>3329</v>
      </c>
      <c r="G1194" s="201" t="s">
        <v>3330</v>
      </c>
      <c r="H1194" s="201" t="s">
        <v>2902</v>
      </c>
      <c r="I1194" s="203"/>
      <c r="J1194" s="224">
        <v>5</v>
      </c>
      <c r="K1194" s="405"/>
    </row>
    <row r="1195" spans="1:11" x14ac:dyDescent="0.25">
      <c r="A1195" s="201" t="s">
        <v>314</v>
      </c>
      <c r="B1195" s="202" t="s">
        <v>2927</v>
      </c>
      <c r="C1195" s="202"/>
      <c r="D1195" s="201"/>
      <c r="E1195" s="201"/>
      <c r="F1195" s="201" t="s">
        <v>2928</v>
      </c>
      <c r="G1195" s="201" t="s">
        <v>2929</v>
      </c>
      <c r="H1195" s="201" t="s">
        <v>2902</v>
      </c>
      <c r="I1195" s="203"/>
      <c r="J1195" s="224">
        <v>5</v>
      </c>
      <c r="K1195" s="405"/>
    </row>
    <row r="1196" spans="1:11" x14ac:dyDescent="0.25">
      <c r="A1196" s="201" t="s">
        <v>314</v>
      </c>
      <c r="B1196" s="202" t="s">
        <v>2915</v>
      </c>
      <c r="C1196" s="491"/>
      <c r="D1196" s="201"/>
      <c r="E1196" s="201"/>
      <c r="F1196" s="407" t="s">
        <v>2916</v>
      </c>
      <c r="G1196" s="201" t="s">
        <v>2917</v>
      </c>
      <c r="H1196" s="201" t="s">
        <v>2902</v>
      </c>
      <c r="I1196" s="203"/>
      <c r="J1196" s="224">
        <v>5</v>
      </c>
      <c r="K1196" s="405"/>
    </row>
    <row r="1197" spans="1:11" x14ac:dyDescent="0.25">
      <c r="A1197" s="201" t="s">
        <v>314</v>
      </c>
      <c r="B1197" s="202" t="s">
        <v>3331</v>
      </c>
      <c r="C1197" s="202"/>
      <c r="D1197" s="201"/>
      <c r="E1197" s="201"/>
      <c r="F1197" s="201" t="s">
        <v>3332</v>
      </c>
      <c r="G1197" s="201" t="s">
        <v>3333</v>
      </c>
      <c r="H1197" s="201" t="s">
        <v>2902</v>
      </c>
      <c r="I1197" s="203"/>
      <c r="J1197" s="224">
        <v>10</v>
      </c>
      <c r="K1197" s="405"/>
    </row>
    <row r="1198" spans="1:11" x14ac:dyDescent="0.25">
      <c r="A1198" s="201" t="s">
        <v>314</v>
      </c>
      <c r="B1198" s="202" t="s">
        <v>2912</v>
      </c>
      <c r="C1198" s="202"/>
      <c r="D1198" s="201"/>
      <c r="E1198" s="201"/>
      <c r="F1198" s="201" t="s">
        <v>2913</v>
      </c>
      <c r="G1198" s="201" t="s">
        <v>2914</v>
      </c>
      <c r="H1198" s="201" t="s">
        <v>2902</v>
      </c>
      <c r="I1198" s="203"/>
      <c r="J1198" s="224">
        <v>5</v>
      </c>
      <c r="K1198" s="405"/>
    </row>
    <row r="1199" spans="1:11" x14ac:dyDescent="0.25">
      <c r="A1199" s="201" t="s">
        <v>314</v>
      </c>
      <c r="B1199" s="202" t="s">
        <v>2936</v>
      </c>
      <c r="C1199" s="202"/>
      <c r="D1199" s="201"/>
      <c r="E1199" s="201"/>
      <c r="F1199" s="201" t="s">
        <v>2937</v>
      </c>
      <c r="G1199" s="201" t="s">
        <v>2938</v>
      </c>
      <c r="H1199" s="201" t="s">
        <v>2902</v>
      </c>
      <c r="I1199" s="203"/>
      <c r="J1199" s="224">
        <v>5</v>
      </c>
      <c r="K1199" s="405"/>
    </row>
    <row r="1200" spans="1:11" x14ac:dyDescent="0.25">
      <c r="A1200" s="201" t="s">
        <v>314</v>
      </c>
      <c r="B1200" s="202" t="s">
        <v>2924</v>
      </c>
      <c r="C1200" s="202"/>
      <c r="D1200" s="201"/>
      <c r="E1200" s="201"/>
      <c r="F1200" s="201" t="s">
        <v>2925</v>
      </c>
      <c r="G1200" s="201" t="s">
        <v>2926</v>
      </c>
      <c r="H1200" s="201" t="s">
        <v>2902</v>
      </c>
      <c r="I1200" s="203"/>
      <c r="J1200" s="224">
        <v>5</v>
      </c>
      <c r="K1200" s="405"/>
    </row>
    <row r="1201" spans="1:11" x14ac:dyDescent="0.25">
      <c r="A1201" s="201" t="s">
        <v>314</v>
      </c>
      <c r="B1201" s="535" t="s">
        <v>2909</v>
      </c>
      <c r="C1201" s="541"/>
      <c r="D1201" s="201"/>
      <c r="E1201" s="201"/>
      <c r="F1201" s="201" t="s">
        <v>2910</v>
      </c>
      <c r="G1201" s="546" t="s">
        <v>2911</v>
      </c>
      <c r="H1201" s="201" t="s">
        <v>2902</v>
      </c>
      <c r="I1201" s="203"/>
      <c r="J1201" s="224">
        <v>5</v>
      </c>
      <c r="K1201" s="405"/>
    </row>
    <row r="1202" spans="1:11" x14ac:dyDescent="0.25">
      <c r="A1202" s="31"/>
      <c r="B1202" s="71"/>
      <c r="C1202" s="71"/>
      <c r="D1202" s="31"/>
      <c r="E1202" s="31"/>
      <c r="F1202" s="31"/>
      <c r="G1202" s="31"/>
      <c r="H1202" s="31"/>
      <c r="I1202" s="32"/>
      <c r="J1202" s="33"/>
      <c r="K1202" s="34"/>
    </row>
    <row r="1203" spans="1:11" x14ac:dyDescent="0.25">
      <c r="A1203" s="276" t="s">
        <v>314</v>
      </c>
      <c r="B1203" s="277" t="s">
        <v>608</v>
      </c>
      <c r="C1203" s="277"/>
      <c r="D1203" s="276"/>
      <c r="E1203" s="276"/>
      <c r="F1203" s="276" t="s">
        <v>3334</v>
      </c>
      <c r="G1203" s="276" t="s">
        <v>3335</v>
      </c>
      <c r="H1203" s="276" t="s">
        <v>260</v>
      </c>
      <c r="I1203" s="276"/>
      <c r="J1203" s="291">
        <v>2</v>
      </c>
      <c r="K1203" s="409"/>
    </row>
    <row r="1204" spans="1:11" x14ac:dyDescent="0.25">
      <c r="A1204" s="276" t="s">
        <v>314</v>
      </c>
      <c r="B1204" s="277" t="s">
        <v>535</v>
      </c>
      <c r="C1204" s="277"/>
      <c r="D1204" s="276"/>
      <c r="E1204" s="276"/>
      <c r="F1204" s="276" t="s">
        <v>536</v>
      </c>
      <c r="G1204" s="276">
        <v>395112</v>
      </c>
      <c r="H1204" s="276" t="s">
        <v>538</v>
      </c>
      <c r="I1204" s="276"/>
      <c r="J1204" s="291">
        <v>1</v>
      </c>
      <c r="K1204" s="409"/>
    </row>
    <row r="1205" spans="1:11" x14ac:dyDescent="0.25">
      <c r="A1205" s="276" t="s">
        <v>314</v>
      </c>
      <c r="B1205" s="277" t="s">
        <v>3336</v>
      </c>
      <c r="C1205" s="277"/>
      <c r="D1205" s="276"/>
      <c r="E1205" s="276"/>
      <c r="F1205" s="276" t="s">
        <v>3337</v>
      </c>
      <c r="G1205" s="276" t="s">
        <v>3338</v>
      </c>
      <c r="H1205" s="276" t="s">
        <v>3295</v>
      </c>
      <c r="I1205" s="276"/>
      <c r="J1205" s="291">
        <v>1</v>
      </c>
      <c r="K1205" s="409"/>
    </row>
    <row r="1206" spans="1:11" x14ac:dyDescent="0.25">
      <c r="A1206" s="31" t="s">
        <v>314</v>
      </c>
      <c r="B1206" s="71" t="s">
        <v>3339</v>
      </c>
      <c r="C1206" s="71"/>
      <c r="D1206" s="31"/>
      <c r="E1206" s="31"/>
      <c r="F1206" s="31" t="s">
        <v>3340</v>
      </c>
      <c r="G1206" s="31" t="s">
        <v>3341</v>
      </c>
      <c r="H1206" s="31" t="s">
        <v>3295</v>
      </c>
      <c r="I1206" s="32"/>
      <c r="J1206" s="33">
        <v>1</v>
      </c>
      <c r="K1206" s="34"/>
    </row>
    <row r="1207" spans="1:11" x14ac:dyDescent="0.25">
      <c r="A1207" s="329" t="s">
        <v>314</v>
      </c>
      <c r="B1207" s="534" t="s">
        <v>3342</v>
      </c>
      <c r="C1207" s="534"/>
      <c r="D1207" s="534"/>
      <c r="E1207" s="534" t="s">
        <v>3343</v>
      </c>
      <c r="F1207" s="325" t="s">
        <v>3344</v>
      </c>
      <c r="G1207" s="329" t="s">
        <v>3345</v>
      </c>
      <c r="H1207" s="329" t="s">
        <v>3295</v>
      </c>
      <c r="I1207" s="329"/>
      <c r="J1207" s="379">
        <v>1</v>
      </c>
      <c r="K1207" s="384"/>
    </row>
    <row r="1208" spans="1:11" x14ac:dyDescent="0.25">
      <c r="A1208" s="39" t="s">
        <v>169</v>
      </c>
      <c r="B1208" s="473" t="s">
        <v>3346</v>
      </c>
      <c r="C1208" s="473"/>
      <c r="D1208" s="39"/>
      <c r="E1208" s="39"/>
      <c r="F1208" s="127" t="s">
        <v>3347</v>
      </c>
      <c r="G1208" s="127" t="s">
        <v>3348</v>
      </c>
      <c r="H1208" s="127" t="s">
        <v>3349</v>
      </c>
      <c r="I1208" s="28"/>
      <c r="J1208" s="40">
        <v>4</v>
      </c>
      <c r="K1208" s="30"/>
    </row>
    <row r="1209" spans="1:11" x14ac:dyDescent="0.25">
      <c r="A1209" s="322" t="s">
        <v>314</v>
      </c>
      <c r="B1209" s="270" t="s">
        <v>3350</v>
      </c>
      <c r="C1209" s="270"/>
      <c r="D1209" s="322"/>
      <c r="E1209" s="322"/>
      <c r="F1209" s="322" t="s">
        <v>3351</v>
      </c>
      <c r="G1209" s="322" t="s">
        <v>3352</v>
      </c>
      <c r="H1209" s="322" t="s">
        <v>3295</v>
      </c>
      <c r="I1209" s="271"/>
      <c r="J1209" s="272">
        <v>2</v>
      </c>
      <c r="K1209" s="34"/>
    </row>
    <row r="1210" spans="1:11" x14ac:dyDescent="0.25">
      <c r="A1210" s="31" t="s">
        <v>314</v>
      </c>
      <c r="B1210" s="71" t="s">
        <v>2338</v>
      </c>
      <c r="C1210" s="71"/>
      <c r="D1210" s="31"/>
      <c r="E1210" s="31"/>
      <c r="F1210" s="31" t="s">
        <v>3353</v>
      </c>
      <c r="G1210" s="31" t="s">
        <v>3354</v>
      </c>
      <c r="H1210" s="31" t="s">
        <v>1054</v>
      </c>
      <c r="I1210" s="32"/>
      <c r="J1210" s="33">
        <v>2</v>
      </c>
      <c r="K1210" s="34"/>
    </row>
    <row r="1211" spans="1:11" x14ac:dyDescent="0.25">
      <c r="A1211" s="31" t="s">
        <v>314</v>
      </c>
      <c r="B1211" s="71" t="s">
        <v>3355</v>
      </c>
      <c r="C1211" s="353"/>
      <c r="D1211" s="31"/>
      <c r="E1211" s="31"/>
      <c r="F1211" s="31" t="s">
        <v>3356</v>
      </c>
      <c r="G1211" s="31" t="s">
        <v>3357</v>
      </c>
      <c r="H1211" s="31" t="s">
        <v>1054</v>
      </c>
      <c r="I1211" s="32"/>
      <c r="J1211" s="33">
        <v>2</v>
      </c>
      <c r="K1211" s="34"/>
    </row>
    <row r="1212" spans="1:11" x14ac:dyDescent="0.25">
      <c r="A1212" s="322" t="s">
        <v>314</v>
      </c>
      <c r="B1212" s="270" t="s">
        <v>3158</v>
      </c>
      <c r="C1212" s="487"/>
      <c r="D1212" s="322"/>
      <c r="E1212" s="322"/>
      <c r="F1212" s="322" t="s">
        <v>3358</v>
      </c>
      <c r="G1212" s="322" t="s">
        <v>3160</v>
      </c>
      <c r="H1212" s="322" t="s">
        <v>1054</v>
      </c>
      <c r="I1212" s="271"/>
      <c r="J1212" s="272">
        <v>2</v>
      </c>
      <c r="K1212" s="34"/>
    </row>
    <row r="1213" spans="1:11" x14ac:dyDescent="0.25">
      <c r="A1213" s="31" t="s">
        <v>169</v>
      </c>
      <c r="B1213" s="71">
        <v>1229500180300</v>
      </c>
      <c r="C1213" s="353"/>
      <c r="D1213" s="31"/>
      <c r="E1213" s="31"/>
      <c r="F1213" s="32" t="s">
        <v>3359</v>
      </c>
      <c r="G1213" s="32" t="s">
        <v>3360</v>
      </c>
      <c r="H1213" s="32"/>
      <c r="I1213" s="32"/>
      <c r="J1213" s="33">
        <v>16</v>
      </c>
      <c r="K1213" s="34"/>
    </row>
    <row r="1214" spans="1:11" x14ac:dyDescent="0.25">
      <c r="A1214" s="31" t="s">
        <v>169</v>
      </c>
      <c r="B1214" s="71" t="s">
        <v>3361</v>
      </c>
      <c r="C1214" s="353"/>
      <c r="D1214" s="31"/>
      <c r="E1214" s="31"/>
      <c r="F1214" s="32" t="s">
        <v>3362</v>
      </c>
      <c r="G1214" s="32" t="s">
        <v>3363</v>
      </c>
      <c r="H1214" s="32" t="s">
        <v>318</v>
      </c>
      <c r="I1214" s="32"/>
      <c r="J1214" s="33">
        <v>8</v>
      </c>
      <c r="K1214" s="34"/>
    </row>
    <row r="1215" spans="1:11" x14ac:dyDescent="0.25">
      <c r="A1215" s="276" t="s">
        <v>169</v>
      </c>
      <c r="B1215" s="277" t="s">
        <v>3364</v>
      </c>
      <c r="C1215" s="277"/>
      <c r="D1215" s="277"/>
      <c r="E1215" s="277"/>
      <c r="F1215" s="277" t="s">
        <v>3365</v>
      </c>
      <c r="G1215" s="277" t="s">
        <v>3366</v>
      </c>
      <c r="H1215" s="277" t="s">
        <v>461</v>
      </c>
      <c r="I1215" s="277"/>
      <c r="J1215" s="291">
        <v>15</v>
      </c>
      <c r="K1215" s="409"/>
    </row>
    <row r="1216" spans="1:11" x14ac:dyDescent="0.25">
      <c r="A1216" s="283" t="s">
        <v>314</v>
      </c>
      <c r="B1216" s="283">
        <v>1229593520002</v>
      </c>
      <c r="C1216" s="302"/>
      <c r="D1216" s="283"/>
      <c r="E1216" s="283" t="s">
        <v>3367</v>
      </c>
      <c r="F1216" s="496" t="s">
        <v>3368</v>
      </c>
      <c r="G1216" s="283" t="s">
        <v>3369</v>
      </c>
      <c r="H1216" s="283"/>
      <c r="I1216" s="285"/>
      <c r="J1216" s="286">
        <v>15</v>
      </c>
      <c r="K1216" s="34"/>
    </row>
    <row r="1217" spans="1:11" x14ac:dyDescent="0.25">
      <c r="A1217" s="31" t="s">
        <v>314</v>
      </c>
      <c r="B1217" s="71" t="s">
        <v>3370</v>
      </c>
      <c r="C1217" s="353"/>
      <c r="D1217" s="71"/>
      <c r="E1217" s="71"/>
      <c r="F1217" s="32" t="s">
        <v>1714</v>
      </c>
      <c r="G1217" s="32" t="s">
        <v>3371</v>
      </c>
      <c r="H1217" s="32" t="s">
        <v>488</v>
      </c>
      <c r="I1217" s="32"/>
      <c r="J1217" s="33"/>
      <c r="K1217" s="34"/>
    </row>
    <row r="1218" spans="1:11" x14ac:dyDescent="0.25">
      <c r="A1218" s="31" t="s">
        <v>169</v>
      </c>
      <c r="B1218" s="71" t="s">
        <v>3372</v>
      </c>
      <c r="C1218" s="353"/>
      <c r="D1218" s="31"/>
      <c r="E1218" s="31"/>
      <c r="F1218" s="32" t="s">
        <v>3373</v>
      </c>
      <c r="G1218" s="70" t="s">
        <v>3374</v>
      </c>
      <c r="H1218" s="70" t="s">
        <v>1399</v>
      </c>
      <c r="I1218" s="32"/>
      <c r="J1218" s="33">
        <v>5</v>
      </c>
      <c r="K1218" s="34"/>
    </row>
    <row r="1219" spans="1:11" x14ac:dyDescent="0.25">
      <c r="A1219" s="51" t="s">
        <v>298</v>
      </c>
      <c r="B1219" s="191" t="s">
        <v>700</v>
      </c>
      <c r="C1219" s="352"/>
      <c r="D1219" s="51"/>
      <c r="E1219" s="51"/>
      <c r="F1219" s="52" t="s">
        <v>701</v>
      </c>
      <c r="G1219" s="51" t="s">
        <v>700</v>
      </c>
      <c r="H1219" s="52"/>
      <c r="I1219" s="52"/>
      <c r="J1219" s="54"/>
      <c r="K1219" s="38"/>
    </row>
    <row r="1220" spans="1:11" x14ac:dyDescent="0.25">
      <c r="A1220" s="51" t="s">
        <v>298</v>
      </c>
      <c r="B1220" s="471" t="s">
        <v>3375</v>
      </c>
      <c r="C1220" s="191"/>
      <c r="D1220" s="51"/>
      <c r="E1220" s="51"/>
      <c r="F1220" s="52" t="s">
        <v>3376</v>
      </c>
      <c r="G1220" s="51"/>
      <c r="H1220" s="52"/>
      <c r="I1220" s="52"/>
      <c r="J1220" s="54">
        <v>1</v>
      </c>
      <c r="K1220" s="38"/>
    </row>
    <row r="1221" spans="1:11" x14ac:dyDescent="0.25">
      <c r="A1221" s="51" t="s">
        <v>298</v>
      </c>
      <c r="B1221" s="471" t="s">
        <v>3377</v>
      </c>
      <c r="C1221" s="191"/>
      <c r="D1221" s="51"/>
      <c r="E1221" s="51"/>
      <c r="F1221" s="52" t="s">
        <v>3378</v>
      </c>
      <c r="G1221" s="51"/>
      <c r="H1221" s="52"/>
      <c r="I1221" s="52"/>
      <c r="J1221" s="54">
        <v>1</v>
      </c>
      <c r="K1221" s="38"/>
    </row>
    <row r="1222" spans="1:11" x14ac:dyDescent="0.25">
      <c r="A1222" s="51" t="s">
        <v>227</v>
      </c>
      <c r="B1222" s="51" t="s">
        <v>1514</v>
      </c>
      <c r="C1222" s="51"/>
      <c r="D1222" s="51"/>
      <c r="E1222" s="51"/>
      <c r="F1222" s="52" t="s">
        <v>1515</v>
      </c>
      <c r="G1222" s="52" t="s">
        <v>2127</v>
      </c>
      <c r="H1222" s="52" t="s">
        <v>2128</v>
      </c>
      <c r="I1222" s="52"/>
      <c r="J1222" s="53"/>
      <c r="K1222" s="38"/>
    </row>
    <row r="1223" spans="1:11" x14ac:dyDescent="0.25">
      <c r="A1223" s="31" t="s">
        <v>1662</v>
      </c>
      <c r="B1223" s="71" t="s">
        <v>1675</v>
      </c>
      <c r="C1223" s="71"/>
      <c r="D1223" s="71"/>
      <c r="E1223" s="71"/>
      <c r="F1223" s="32" t="s">
        <v>1676</v>
      </c>
      <c r="G1223" s="70" t="s">
        <v>1677</v>
      </c>
      <c r="H1223" s="32" t="s">
        <v>1063</v>
      </c>
      <c r="I1223" s="32"/>
      <c r="J1223" s="33"/>
      <c r="K1223" s="34"/>
    </row>
    <row r="1224" spans="1:11" x14ac:dyDescent="0.25">
      <c r="A1224" s="285" t="s">
        <v>314</v>
      </c>
      <c r="B1224" s="312" t="s">
        <v>3379</v>
      </c>
      <c r="C1224" s="312"/>
      <c r="D1224" s="312"/>
      <c r="E1224" s="312" t="s">
        <v>3380</v>
      </c>
      <c r="F1224" s="283" t="s">
        <v>3381</v>
      </c>
      <c r="G1224" s="285" t="s">
        <v>3382</v>
      </c>
      <c r="H1224" s="285" t="s">
        <v>3295</v>
      </c>
      <c r="I1224" s="285"/>
      <c r="J1224" s="286">
        <v>1</v>
      </c>
      <c r="K1224" s="287"/>
    </row>
    <row r="1225" spans="1:11" x14ac:dyDescent="0.25">
      <c r="A1225" s="285" t="s">
        <v>314</v>
      </c>
      <c r="B1225" s="312" t="s">
        <v>3383</v>
      </c>
      <c r="C1225" s="285"/>
      <c r="D1225" s="285"/>
      <c r="E1225" s="312" t="s">
        <v>3384</v>
      </c>
      <c r="F1225" s="283" t="s">
        <v>3385</v>
      </c>
      <c r="G1225" s="285" t="s">
        <v>3386</v>
      </c>
      <c r="H1225" s="285" t="s">
        <v>3295</v>
      </c>
      <c r="I1225" s="285"/>
      <c r="J1225" s="286">
        <v>4</v>
      </c>
      <c r="K1225" s="287"/>
    </row>
    <row r="1226" spans="1:11" x14ac:dyDescent="0.25">
      <c r="A1226" s="285" t="s">
        <v>314</v>
      </c>
      <c r="B1226" s="312" t="s">
        <v>3387</v>
      </c>
      <c r="C1226" s="285"/>
      <c r="D1226" s="285"/>
      <c r="E1226" s="312" t="s">
        <v>3388</v>
      </c>
      <c r="F1226" s="283" t="s">
        <v>3389</v>
      </c>
      <c r="G1226" s="285" t="s">
        <v>3390</v>
      </c>
      <c r="H1226" s="285" t="s">
        <v>3295</v>
      </c>
      <c r="I1226" s="285"/>
      <c r="J1226" s="286">
        <v>1</v>
      </c>
      <c r="K1226" s="287"/>
    </row>
    <row r="1227" spans="1:11" x14ac:dyDescent="0.25">
      <c r="A1227" s="31" t="s">
        <v>314</v>
      </c>
      <c r="B1227" s="71" t="s">
        <v>3391</v>
      </c>
      <c r="C1227" s="351"/>
      <c r="D1227" s="31"/>
      <c r="E1227" s="71"/>
      <c r="F1227" s="32" t="s">
        <v>3392</v>
      </c>
      <c r="G1227" s="32" t="s">
        <v>3393</v>
      </c>
      <c r="H1227" s="32" t="s">
        <v>1540</v>
      </c>
      <c r="I1227" s="32"/>
      <c r="J1227" s="33"/>
      <c r="K1227" s="34"/>
    </row>
    <row r="1228" spans="1:11" x14ac:dyDescent="0.25">
      <c r="A1228" s="31"/>
      <c r="B1228" s="71" t="s">
        <v>3394</v>
      </c>
      <c r="C1228" s="351"/>
      <c r="D1228" s="31"/>
      <c r="E1228" s="71"/>
      <c r="F1228" s="32" t="s">
        <v>3395</v>
      </c>
      <c r="G1228" s="32" t="s">
        <v>3396</v>
      </c>
      <c r="H1228" s="32" t="s">
        <v>1540</v>
      </c>
      <c r="I1228" s="32"/>
      <c r="J1228" s="33"/>
      <c r="K1228" s="34"/>
    </row>
    <row r="1229" spans="1:11" x14ac:dyDescent="0.25">
      <c r="A1229" s="31" t="s">
        <v>314</v>
      </c>
      <c r="B1229" s="71" t="s">
        <v>3397</v>
      </c>
      <c r="C1229" s="71"/>
      <c r="D1229" s="71"/>
      <c r="E1229" s="71"/>
      <c r="F1229" s="32" t="s">
        <v>1873</v>
      </c>
      <c r="G1229" s="32" t="s">
        <v>1874</v>
      </c>
      <c r="H1229" s="32" t="s">
        <v>1540</v>
      </c>
      <c r="I1229" s="32"/>
      <c r="J1229" s="33"/>
      <c r="K1229" s="34"/>
    </row>
    <row r="1230" spans="1:11" x14ac:dyDescent="0.25">
      <c r="A1230" s="31" t="s">
        <v>108</v>
      </c>
      <c r="B1230" s="347" t="s">
        <v>3398</v>
      </c>
      <c r="C1230" s="331"/>
      <c r="D1230" s="331"/>
      <c r="E1230" s="331"/>
      <c r="F1230" s="28" t="s">
        <v>3399</v>
      </c>
      <c r="G1230" s="28" t="s">
        <v>3400</v>
      </c>
      <c r="H1230" s="28" t="s">
        <v>3401</v>
      </c>
      <c r="I1230" s="28"/>
      <c r="J1230" s="40">
        <v>1</v>
      </c>
      <c r="K1230" s="30"/>
    </row>
    <row r="1231" spans="1:11" x14ac:dyDescent="0.25">
      <c r="A1231" s="31" t="s">
        <v>108</v>
      </c>
      <c r="B1231" s="331" t="s">
        <v>3402</v>
      </c>
      <c r="C1231" s="331"/>
      <c r="D1231" s="347" t="s">
        <v>3398</v>
      </c>
      <c r="E1231" s="331"/>
      <c r="F1231" s="28" t="s">
        <v>3403</v>
      </c>
      <c r="G1231" s="28" t="s">
        <v>3404</v>
      </c>
      <c r="H1231" s="28" t="s">
        <v>3405</v>
      </c>
      <c r="I1231" s="28"/>
      <c r="J1231" s="40">
        <v>1</v>
      </c>
      <c r="K1231" s="30"/>
    </row>
    <row r="1232" spans="1:11" x14ac:dyDescent="0.25">
      <c r="A1232" s="51" t="s">
        <v>3406</v>
      </c>
      <c r="B1232" s="345" t="s">
        <v>3407</v>
      </c>
      <c r="C1232" s="292"/>
      <c r="D1232" s="63"/>
      <c r="E1232" s="63"/>
      <c r="F1232" s="26" t="s">
        <v>3408</v>
      </c>
      <c r="G1232" s="28" t="s">
        <v>3409</v>
      </c>
      <c r="H1232" s="28" t="s">
        <v>3410</v>
      </c>
      <c r="I1232" s="28"/>
      <c r="J1232" s="40">
        <v>1</v>
      </c>
      <c r="K1232" s="298"/>
    </row>
    <row r="1233" spans="1:11" x14ac:dyDescent="0.25">
      <c r="A1233" s="465" t="s">
        <v>108</v>
      </c>
      <c r="B1233" s="475" t="s">
        <v>3411</v>
      </c>
      <c r="C1233" s="475"/>
      <c r="D1233" s="475"/>
      <c r="E1233" s="475"/>
      <c r="F1233" s="502" t="s">
        <v>3412</v>
      </c>
      <c r="G1233" s="28">
        <v>3209536</v>
      </c>
      <c r="H1233" s="28"/>
      <c r="I1233" s="28"/>
      <c r="J1233" s="40">
        <v>20</v>
      </c>
      <c r="K1233" s="30"/>
    </row>
    <row r="1234" spans="1:11" x14ac:dyDescent="0.25">
      <c r="A1234" s="39" t="s">
        <v>169</v>
      </c>
      <c r="B1234" s="331" t="s">
        <v>1016</v>
      </c>
      <c r="C1234" s="331"/>
      <c r="D1234" s="331"/>
      <c r="E1234" s="331"/>
      <c r="F1234" s="28" t="s">
        <v>1017</v>
      </c>
      <c r="G1234" s="331" t="s">
        <v>1018</v>
      </c>
      <c r="H1234" s="28" t="s">
        <v>621</v>
      </c>
      <c r="I1234" s="28"/>
      <c r="J1234" s="40">
        <v>1</v>
      </c>
      <c r="K1234" s="30"/>
    </row>
    <row r="1235" spans="1:11" x14ac:dyDescent="0.25">
      <c r="A1235" s="126" t="s">
        <v>298</v>
      </c>
      <c r="B1235" s="474" t="s">
        <v>3111</v>
      </c>
      <c r="C1235" s="474"/>
      <c r="D1235" s="126"/>
      <c r="E1235" s="126"/>
      <c r="F1235" s="9" t="s">
        <v>3112</v>
      </c>
      <c r="G1235" s="474" t="s">
        <v>3111</v>
      </c>
      <c r="H1235" s="9"/>
      <c r="I1235" s="9"/>
      <c r="J1235" s="61"/>
      <c r="K1235" s="47"/>
    </row>
    <row r="1236" spans="1:11" x14ac:dyDescent="0.25">
      <c r="A1236" s="126" t="s">
        <v>227</v>
      </c>
      <c r="B1236" s="480">
        <v>1250200530300</v>
      </c>
      <c r="C1236" s="126"/>
      <c r="D1236" s="126"/>
      <c r="E1236" s="126"/>
      <c r="F1236" s="503" t="s">
        <v>3413</v>
      </c>
      <c r="G1236" s="503" t="s">
        <v>3414</v>
      </c>
      <c r="H1236" s="503" t="s">
        <v>3415</v>
      </c>
      <c r="I1236" s="47"/>
      <c r="J1236" s="521" t="s">
        <v>283</v>
      </c>
      <c r="K1236" s="47"/>
    </row>
    <row r="1237" spans="1:11" x14ac:dyDescent="0.25">
      <c r="A1237" s="311" t="s">
        <v>401</v>
      </c>
      <c r="B1237" s="310">
        <v>7883000582900</v>
      </c>
      <c r="C1237" s="310"/>
      <c r="D1237" s="310"/>
      <c r="E1237" s="310"/>
      <c r="F1237" s="295" t="s">
        <v>3416</v>
      </c>
      <c r="G1237" s="295"/>
      <c r="H1237" s="295"/>
      <c r="I1237" s="295"/>
      <c r="J1237" s="296"/>
      <c r="K1237" s="297"/>
    </row>
    <row r="1238" spans="1:11" x14ac:dyDescent="0.25">
      <c r="A1238" s="311" t="s">
        <v>401</v>
      </c>
      <c r="B1238" s="310">
        <v>7883000582700</v>
      </c>
      <c r="C1238" s="310"/>
      <c r="D1238" s="310"/>
      <c r="E1238" s="310"/>
      <c r="F1238" s="295" t="s">
        <v>3417</v>
      </c>
      <c r="G1238" s="295"/>
      <c r="H1238" s="295"/>
      <c r="I1238" s="295"/>
      <c r="J1238" s="296"/>
      <c r="K1238" s="297"/>
    </row>
    <row r="1239" spans="1:11" x14ac:dyDescent="0.25">
      <c r="A1239" s="311" t="s">
        <v>401</v>
      </c>
      <c r="B1239" s="310">
        <v>7883000582800</v>
      </c>
      <c r="C1239" s="310"/>
      <c r="D1239" s="310"/>
      <c r="E1239" s="310"/>
      <c r="F1239" s="295" t="s">
        <v>3418</v>
      </c>
      <c r="G1239" s="295"/>
      <c r="H1239" s="295"/>
      <c r="I1239" s="295"/>
      <c r="J1239" s="296"/>
      <c r="K1239" s="297"/>
    </row>
    <row r="1240" spans="1:11" x14ac:dyDescent="0.25">
      <c r="A1240" s="311" t="s">
        <v>401</v>
      </c>
      <c r="B1240" s="310">
        <v>7883000583000</v>
      </c>
      <c r="C1240" s="310"/>
      <c r="D1240" s="310"/>
      <c r="E1240" s="310"/>
      <c r="F1240" s="295" t="s">
        <v>3419</v>
      </c>
      <c r="G1240" s="295"/>
      <c r="H1240" s="295"/>
      <c r="I1240" s="295"/>
      <c r="J1240" s="296"/>
      <c r="K1240" s="297"/>
    </row>
    <row r="1241" spans="1:11" s="313" customFormat="1" x14ac:dyDescent="0.25">
      <c r="A1241" s="311" t="s">
        <v>169</v>
      </c>
      <c r="B1241" s="310" t="s">
        <v>3420</v>
      </c>
      <c r="C1241" s="310"/>
      <c r="D1241" s="310"/>
      <c r="E1241" s="310"/>
      <c r="F1241" s="373" t="s">
        <v>3421</v>
      </c>
      <c r="G1241" s="373" t="s">
        <v>3422</v>
      </c>
      <c r="H1241" s="295" t="s">
        <v>1674</v>
      </c>
      <c r="I1241" s="295"/>
      <c r="J1241" s="296">
        <v>11</v>
      </c>
      <c r="K1241" s="297"/>
    </row>
    <row r="1242" spans="1:11" x14ac:dyDescent="0.25">
      <c r="A1242" s="311" t="s">
        <v>108</v>
      </c>
      <c r="B1242" s="310" t="s">
        <v>3423</v>
      </c>
      <c r="C1242" s="310"/>
      <c r="D1242" s="310"/>
      <c r="E1242" s="310"/>
      <c r="F1242" s="295" t="s">
        <v>3424</v>
      </c>
      <c r="G1242" s="295" t="s">
        <v>3425</v>
      </c>
      <c r="H1242" s="295" t="s">
        <v>3426</v>
      </c>
      <c r="I1242" s="295"/>
      <c r="J1242" s="296">
        <v>2</v>
      </c>
      <c r="K1242" s="297"/>
    </row>
    <row r="1243" spans="1:11" x14ac:dyDescent="0.25">
      <c r="A1243" s="308" t="s">
        <v>169</v>
      </c>
      <c r="B1243" s="212" t="s">
        <v>3427</v>
      </c>
      <c r="C1243" s="212"/>
      <c r="D1243" s="308"/>
      <c r="E1243" s="308"/>
      <c r="F1243" s="199" t="s">
        <v>3428</v>
      </c>
      <c r="G1243" s="453" t="s">
        <v>3429</v>
      </c>
      <c r="H1243" s="199"/>
      <c r="I1243" s="199"/>
      <c r="J1243" s="200">
        <v>1</v>
      </c>
      <c r="K1243" s="293"/>
    </row>
    <row r="1244" spans="1:11" s="401" customFormat="1" ht="12.75" x14ac:dyDescent="0.2">
      <c r="A1244" s="392" t="s">
        <v>108</v>
      </c>
      <c r="B1244" s="470" t="s">
        <v>3430</v>
      </c>
      <c r="C1244" s="470"/>
      <c r="D1244" s="470"/>
      <c r="E1244" s="470"/>
      <c r="F1244" s="393" t="s">
        <v>3431</v>
      </c>
      <c r="G1244" s="393" t="s">
        <v>3432</v>
      </c>
      <c r="H1244" s="393" t="s">
        <v>3426</v>
      </c>
      <c r="I1244" s="393"/>
      <c r="J1244" s="394">
        <v>2</v>
      </c>
      <c r="K1244" s="395"/>
    </row>
    <row r="1245" spans="1:11" s="401" customFormat="1" ht="12.75" x14ac:dyDescent="0.2">
      <c r="A1245" s="463" t="s">
        <v>27</v>
      </c>
      <c r="B1245" s="463" t="s">
        <v>1282</v>
      </c>
      <c r="C1245" s="463"/>
      <c r="D1245" s="463"/>
      <c r="E1245" s="463"/>
      <c r="F1245" s="397" t="s">
        <v>1283</v>
      </c>
      <c r="G1245" s="397" t="s">
        <v>1284</v>
      </c>
      <c r="H1245" s="397" t="s">
        <v>1285</v>
      </c>
      <c r="I1245" s="397"/>
      <c r="J1245" s="398"/>
      <c r="K1245" s="396"/>
    </row>
    <row r="1246" spans="1:11" s="401" customFormat="1" ht="12.75" x14ac:dyDescent="0.2">
      <c r="A1246" s="392" t="s">
        <v>1662</v>
      </c>
      <c r="B1246" s="470" t="s">
        <v>1782</v>
      </c>
      <c r="C1246" s="470"/>
      <c r="D1246" s="470"/>
      <c r="E1246" s="470"/>
      <c r="F1246" s="393" t="s">
        <v>1783</v>
      </c>
      <c r="G1246" s="510"/>
      <c r="H1246" s="393"/>
      <c r="I1246" s="393"/>
      <c r="J1246" s="394"/>
      <c r="K1246" s="395"/>
    </row>
    <row r="1247" spans="1:11" s="401" customFormat="1" ht="12.75" x14ac:dyDescent="0.2">
      <c r="A1247" s="392" t="s">
        <v>1662</v>
      </c>
      <c r="B1247" s="470" t="s">
        <v>1805</v>
      </c>
      <c r="C1247" s="470"/>
      <c r="D1247" s="470"/>
      <c r="E1247" s="470"/>
      <c r="F1247" s="393" t="s">
        <v>1806</v>
      </c>
      <c r="G1247" s="510"/>
      <c r="H1247" s="393"/>
      <c r="I1247" s="393"/>
      <c r="J1247" s="394"/>
      <c r="K1247" s="395"/>
    </row>
    <row r="1248" spans="1:11" s="401" customFormat="1" ht="12.75" x14ac:dyDescent="0.2">
      <c r="A1248" s="462" t="s">
        <v>314</v>
      </c>
      <c r="B1248" s="477" t="s">
        <v>3433</v>
      </c>
      <c r="C1248" s="462"/>
      <c r="D1248" s="462"/>
      <c r="E1248" s="462"/>
      <c r="F1248" s="500" t="s">
        <v>3434</v>
      </c>
      <c r="G1248" s="500" t="s">
        <v>3435</v>
      </c>
      <c r="H1248" s="500"/>
      <c r="I1248" s="500"/>
      <c r="J1248" s="519">
        <v>2</v>
      </c>
      <c r="K1248" s="395"/>
    </row>
    <row r="1249" spans="1:11" s="401" customFormat="1" x14ac:dyDescent="0.25">
      <c r="A1249" s="392" t="s">
        <v>227</v>
      </c>
      <c r="B1249" s="470">
        <v>1220314152004</v>
      </c>
      <c r="C1249" s="392"/>
      <c r="D1249" s="392"/>
      <c r="E1249" s="392"/>
      <c r="F1249" s="402" t="s">
        <v>3436</v>
      </c>
      <c r="G1249" s="508" t="s">
        <v>3437</v>
      </c>
      <c r="H1249" s="508" t="s">
        <v>3438</v>
      </c>
      <c r="I1249" s="393"/>
      <c r="J1249" s="394">
        <v>100</v>
      </c>
      <c r="K1249" s="395"/>
    </row>
    <row r="1250" spans="1:11" s="401" customFormat="1" ht="12.75" x14ac:dyDescent="0.2">
      <c r="A1250" s="392" t="s">
        <v>27</v>
      </c>
      <c r="B1250" s="400" t="s">
        <v>3439</v>
      </c>
      <c r="C1250" s="392"/>
      <c r="D1250" s="392"/>
      <c r="E1250" s="392"/>
      <c r="F1250" s="393" t="s">
        <v>3440</v>
      </c>
      <c r="G1250" s="393"/>
      <c r="H1250" s="393"/>
      <c r="I1250" s="393"/>
      <c r="J1250" s="394" t="s">
        <v>3441</v>
      </c>
      <c r="K1250" s="395"/>
    </row>
    <row r="1251" spans="1:11" s="399" customFormat="1" ht="12.75" x14ac:dyDescent="0.2">
      <c r="A1251" s="392" t="s">
        <v>27</v>
      </c>
      <c r="B1251" s="400" t="s">
        <v>3442</v>
      </c>
      <c r="C1251" s="392"/>
      <c r="D1251" s="392"/>
      <c r="E1251" s="392"/>
      <c r="F1251" s="402" t="s">
        <v>3443</v>
      </c>
      <c r="G1251" s="393"/>
      <c r="H1251" s="393"/>
      <c r="I1251" s="393"/>
      <c r="J1251" s="394" t="s">
        <v>3441</v>
      </c>
      <c r="K1251" s="395"/>
    </row>
    <row r="1252" spans="1:11" s="399" customFormat="1" ht="12.75" x14ac:dyDescent="0.2">
      <c r="A1252" s="392" t="s">
        <v>27</v>
      </c>
      <c r="B1252" s="400">
        <v>1237700100900</v>
      </c>
      <c r="C1252" s="392"/>
      <c r="D1252" s="392"/>
      <c r="E1252" s="392"/>
      <c r="F1252" s="393" t="s">
        <v>3444</v>
      </c>
      <c r="G1252" s="393"/>
      <c r="H1252" s="393"/>
      <c r="I1252" s="393"/>
      <c r="J1252" s="394">
        <v>2</v>
      </c>
      <c r="K1252" s="395"/>
    </row>
    <row r="1253" spans="1:11" s="399" customFormat="1" ht="12.75" x14ac:dyDescent="0.2">
      <c r="A1253" s="392" t="s">
        <v>27</v>
      </c>
      <c r="B1253" s="400">
        <v>1238514402804</v>
      </c>
      <c r="C1253" s="392"/>
      <c r="D1253" s="392"/>
      <c r="E1253" s="392"/>
      <c r="F1253" s="393" t="s">
        <v>3445</v>
      </c>
      <c r="G1253" s="393"/>
      <c r="H1253" s="393"/>
      <c r="I1253" s="393"/>
      <c r="J1253" s="394">
        <v>2</v>
      </c>
      <c r="K1253" s="395"/>
    </row>
    <row r="1254" spans="1:11" s="399" customFormat="1" ht="12.75" x14ac:dyDescent="0.2">
      <c r="A1254" s="392" t="s">
        <v>27</v>
      </c>
      <c r="B1254" s="400" t="s">
        <v>3446</v>
      </c>
      <c r="C1254" s="392"/>
      <c r="D1254" s="392"/>
      <c r="E1254" s="392"/>
      <c r="F1254" s="393" t="s">
        <v>3447</v>
      </c>
      <c r="G1254" s="393"/>
      <c r="H1254" s="393"/>
      <c r="I1254" s="393"/>
      <c r="J1254" s="394" t="s">
        <v>3448</v>
      </c>
      <c r="K1254" s="395"/>
    </row>
    <row r="1255" spans="1:11" x14ac:dyDescent="0.25">
      <c r="A1255" s="308" t="s">
        <v>27</v>
      </c>
      <c r="B1255" s="469">
        <v>1207091160200</v>
      </c>
      <c r="C1255" s="308"/>
      <c r="D1255" s="308"/>
      <c r="E1255" s="308"/>
      <c r="F1255" s="199" t="s">
        <v>3449</v>
      </c>
      <c r="G1255" s="199"/>
      <c r="H1255" s="199"/>
      <c r="I1255" s="199"/>
      <c r="J1255" s="200">
        <v>3</v>
      </c>
      <c r="K1255" s="293"/>
    </row>
    <row r="1256" spans="1:11" s="317" customFormat="1" x14ac:dyDescent="0.25">
      <c r="A1256" s="308" t="s">
        <v>27</v>
      </c>
      <c r="B1256" s="469">
        <v>1207000830600</v>
      </c>
      <c r="C1256" s="308"/>
      <c r="D1256" s="308"/>
      <c r="E1256" s="308"/>
      <c r="F1256" s="390" t="s">
        <v>3450</v>
      </c>
      <c r="G1256" s="199"/>
      <c r="H1256" s="199"/>
      <c r="I1256" s="199"/>
      <c r="J1256" s="200">
        <v>6</v>
      </c>
      <c r="K1256" s="293"/>
    </row>
    <row r="1257" spans="1:11" x14ac:dyDescent="0.25">
      <c r="A1257" s="308" t="s">
        <v>27</v>
      </c>
      <c r="B1257" s="479" t="s">
        <v>3451</v>
      </c>
      <c r="C1257" s="489"/>
      <c r="D1257" s="489"/>
      <c r="E1257" s="489"/>
      <c r="F1257" s="194" t="s">
        <v>3452</v>
      </c>
      <c r="G1257" s="194"/>
      <c r="H1257" s="194"/>
      <c r="I1257" s="194"/>
      <c r="J1257" s="518">
        <v>1</v>
      </c>
      <c r="K1257" s="195"/>
    </row>
    <row r="1258" spans="1:11" x14ac:dyDescent="0.25">
      <c r="A1258" s="308" t="s">
        <v>27</v>
      </c>
      <c r="B1258" s="478" t="s">
        <v>3453</v>
      </c>
      <c r="C1258" s="489"/>
      <c r="D1258" s="489"/>
      <c r="E1258" s="489"/>
      <c r="F1258" s="194" t="s">
        <v>3454</v>
      </c>
      <c r="G1258" s="194"/>
      <c r="H1258" s="194"/>
      <c r="I1258" s="194"/>
      <c r="J1258" s="518">
        <v>1</v>
      </c>
      <c r="K1258" s="195"/>
    </row>
    <row r="1259" spans="1:11" s="406" customFormat="1" x14ac:dyDescent="0.25">
      <c r="A1259" s="308" t="s">
        <v>27</v>
      </c>
      <c r="B1259" s="481" t="s">
        <v>3455</v>
      </c>
      <c r="C1259" s="489"/>
      <c r="D1259" s="489"/>
      <c r="E1259" s="489"/>
      <c r="F1259" s="194" t="s">
        <v>3454</v>
      </c>
      <c r="G1259" s="194"/>
      <c r="H1259" s="194"/>
      <c r="I1259" s="194"/>
      <c r="J1259" s="518">
        <v>1</v>
      </c>
      <c r="K1259" s="195"/>
    </row>
    <row r="1260" spans="1:11" s="406" customFormat="1" x14ac:dyDescent="0.25">
      <c r="A1260" s="39" t="s">
        <v>27</v>
      </c>
      <c r="B1260" s="408" t="s">
        <v>3456</v>
      </c>
      <c r="C1260" s="489"/>
      <c r="D1260" s="489"/>
      <c r="E1260" s="489"/>
      <c r="F1260" s="194" t="s">
        <v>3454</v>
      </c>
      <c r="G1260" s="194"/>
      <c r="H1260" s="194"/>
      <c r="I1260" s="194"/>
      <c r="J1260" s="518">
        <v>1</v>
      </c>
      <c r="K1260" s="195"/>
    </row>
    <row r="1261" spans="1:11" s="406" customFormat="1" x14ac:dyDescent="0.25">
      <c r="A1261" s="392" t="s">
        <v>105</v>
      </c>
      <c r="B1261" s="308">
        <v>3170302221301</v>
      </c>
      <c r="C1261" s="308"/>
      <c r="D1261" s="308"/>
      <c r="E1261" s="308"/>
      <c r="F1261" s="393" t="s">
        <v>3457</v>
      </c>
      <c r="G1261" s="199" t="s">
        <v>3458</v>
      </c>
      <c r="H1261" s="199"/>
      <c r="I1261" s="199"/>
      <c r="J1261" s="200">
        <v>1</v>
      </c>
      <c r="K1261" s="293"/>
    </row>
    <row r="1262" spans="1:11" s="406" customFormat="1" x14ac:dyDescent="0.25">
      <c r="A1262" s="308" t="s">
        <v>3459</v>
      </c>
      <c r="B1262" s="308" t="s">
        <v>3460</v>
      </c>
      <c r="C1262" s="308"/>
      <c r="D1262" s="308"/>
      <c r="E1262" s="308"/>
      <c r="F1262" s="199" t="s">
        <v>3461</v>
      </c>
      <c r="G1262" s="199" t="s">
        <v>3462</v>
      </c>
      <c r="H1262" s="199"/>
      <c r="I1262" s="199"/>
      <c r="J1262" s="200">
        <v>1</v>
      </c>
      <c r="K1262" s="293"/>
    </row>
    <row r="1263" spans="1:11" s="406" customFormat="1" x14ac:dyDescent="0.25">
      <c r="A1263" s="308" t="s">
        <v>3459</v>
      </c>
      <c r="B1263" s="212" t="s">
        <v>3463</v>
      </c>
      <c r="C1263" s="308"/>
      <c r="D1263" s="308"/>
      <c r="E1263" s="308"/>
      <c r="F1263" s="199" t="s">
        <v>3464</v>
      </c>
      <c r="G1263" s="199" t="s">
        <v>3465</v>
      </c>
      <c r="H1263" s="199" t="s">
        <v>3466</v>
      </c>
      <c r="I1263" s="199"/>
      <c r="J1263" s="200">
        <v>1</v>
      </c>
      <c r="K1263" s="293"/>
    </row>
    <row r="1264" spans="1:11" s="406" customFormat="1" x14ac:dyDescent="0.25">
      <c r="A1264" s="308" t="s">
        <v>3459</v>
      </c>
      <c r="B1264" s="212" t="s">
        <v>3467</v>
      </c>
      <c r="C1264" s="308"/>
      <c r="D1264" s="308"/>
      <c r="E1264" s="308"/>
      <c r="F1264" s="199" t="s">
        <v>3468</v>
      </c>
      <c r="G1264" s="199" t="s">
        <v>3469</v>
      </c>
      <c r="H1264" s="199" t="s">
        <v>3295</v>
      </c>
      <c r="I1264" s="199"/>
      <c r="J1264" s="200">
        <v>1</v>
      </c>
      <c r="K1264" s="293"/>
    </row>
    <row r="1265" spans="1:12" s="406" customFormat="1" x14ac:dyDescent="0.25">
      <c r="A1265" s="429" t="s">
        <v>3470</v>
      </c>
      <c r="B1265" s="476" t="s">
        <v>3471</v>
      </c>
      <c r="C1265" s="308"/>
      <c r="D1265" s="308"/>
      <c r="E1265" s="308"/>
      <c r="F1265" s="199" t="s">
        <v>3472</v>
      </c>
      <c r="G1265" s="199" t="s">
        <v>3473</v>
      </c>
      <c r="H1265" s="199" t="s">
        <v>3474</v>
      </c>
      <c r="I1265" s="199"/>
      <c r="J1265" s="200">
        <v>1</v>
      </c>
      <c r="K1265" s="293"/>
    </row>
    <row r="1266" spans="1:12" s="406" customFormat="1" x14ac:dyDescent="0.25">
      <c r="A1266" s="461" t="s">
        <v>3470</v>
      </c>
      <c r="B1266" s="476" t="s">
        <v>3475</v>
      </c>
      <c r="C1266" s="308"/>
      <c r="D1266" s="308"/>
      <c r="E1266" s="308"/>
      <c r="F1266" s="199" t="s">
        <v>3476</v>
      </c>
      <c r="G1266" s="390" t="s">
        <v>3477</v>
      </c>
      <c r="H1266" s="199" t="s">
        <v>3478</v>
      </c>
      <c r="I1266" s="199"/>
      <c r="J1266" s="200">
        <v>8</v>
      </c>
      <c r="K1266" s="293"/>
    </row>
    <row r="1267" spans="1:12" s="317" customFormat="1" x14ac:dyDescent="0.25">
      <c r="A1267" s="308" t="s">
        <v>27</v>
      </c>
      <c r="B1267" s="308">
        <v>1231024321001</v>
      </c>
      <c r="C1267" s="308"/>
      <c r="D1267" s="308"/>
      <c r="E1267" s="308"/>
      <c r="F1267" s="199" t="s">
        <v>3479</v>
      </c>
      <c r="G1267" s="199"/>
      <c r="H1267" s="199"/>
      <c r="I1267" s="199"/>
      <c r="J1267" s="200">
        <v>1</v>
      </c>
      <c r="K1267" s="293"/>
    </row>
    <row r="1268" spans="1:12" s="317" customFormat="1" x14ac:dyDescent="0.25">
      <c r="A1268" s="415" t="s">
        <v>3480</v>
      </c>
      <c r="B1268" s="416" t="s">
        <v>3463</v>
      </c>
      <c r="C1268" s="415"/>
      <c r="D1268" s="415"/>
      <c r="E1268" s="415"/>
      <c r="F1268" s="417" t="s">
        <v>3464</v>
      </c>
      <c r="G1268" s="417" t="s">
        <v>3465</v>
      </c>
      <c r="H1268" s="417" t="s">
        <v>3466</v>
      </c>
      <c r="I1268" s="417"/>
      <c r="J1268" s="418">
        <v>1</v>
      </c>
      <c r="K1268" s="293"/>
    </row>
    <row r="1269" spans="1:12" s="317" customFormat="1" x14ac:dyDescent="0.25">
      <c r="A1269" s="423" t="s">
        <v>3480</v>
      </c>
      <c r="B1269" s="424" t="s">
        <v>3467</v>
      </c>
      <c r="C1269" s="423"/>
      <c r="D1269" s="423"/>
      <c r="E1269" s="423"/>
      <c r="F1269" s="421" t="s">
        <v>3468</v>
      </c>
      <c r="G1269" s="421" t="s">
        <v>3469</v>
      </c>
      <c r="H1269" s="421" t="s">
        <v>3295</v>
      </c>
      <c r="I1269" s="421"/>
      <c r="J1269" s="425">
        <v>1</v>
      </c>
      <c r="K1269" s="297"/>
    </row>
    <row r="1270" spans="1:12" s="422" customFormat="1" x14ac:dyDescent="0.25">
      <c r="A1270" s="415" t="s">
        <v>3481</v>
      </c>
      <c r="B1270" s="416" t="s">
        <v>665</v>
      </c>
      <c r="C1270" s="415"/>
      <c r="D1270" s="415"/>
      <c r="E1270" s="415"/>
      <c r="F1270" s="419" t="s">
        <v>3482</v>
      </c>
      <c r="G1270" s="419" t="s">
        <v>3483</v>
      </c>
      <c r="H1270" s="417" t="s">
        <v>452</v>
      </c>
      <c r="I1270" s="417"/>
      <c r="J1270" s="418">
        <v>3</v>
      </c>
      <c r="K1270" s="293"/>
    </row>
    <row r="1271" spans="1:12" s="422" customFormat="1" x14ac:dyDescent="0.25">
      <c r="A1271" s="415" t="s">
        <v>3481</v>
      </c>
      <c r="B1271" s="416" t="s">
        <v>1562</v>
      </c>
      <c r="C1271" s="415"/>
      <c r="D1271" s="415"/>
      <c r="E1271" s="415"/>
      <c r="F1271" s="417" t="s">
        <v>3484</v>
      </c>
      <c r="G1271" s="417" t="s">
        <v>1564</v>
      </c>
      <c r="H1271" s="417" t="s">
        <v>3485</v>
      </c>
      <c r="I1271" s="417"/>
      <c r="J1271" s="418">
        <v>2</v>
      </c>
      <c r="K1271" s="293"/>
    </row>
    <row r="1272" spans="1:12" s="422" customFormat="1" x14ac:dyDescent="0.25">
      <c r="A1272" s="415" t="s">
        <v>3486</v>
      </c>
      <c r="B1272" s="416" t="s">
        <v>351</v>
      </c>
      <c r="C1272" s="415"/>
      <c r="D1272" s="415"/>
      <c r="E1272" s="415"/>
      <c r="F1272" s="417" t="s">
        <v>352</v>
      </c>
      <c r="G1272" s="417" t="s">
        <v>353</v>
      </c>
      <c r="H1272" s="417" t="s">
        <v>354</v>
      </c>
      <c r="I1272" s="417"/>
      <c r="J1272" s="418">
        <v>2</v>
      </c>
      <c r="K1272" s="293"/>
    </row>
    <row r="1273" spans="1:12" s="422" customFormat="1" x14ac:dyDescent="0.25">
      <c r="A1273" s="423" t="s">
        <v>314</v>
      </c>
      <c r="B1273" s="424" t="s">
        <v>3433</v>
      </c>
      <c r="C1273" s="423"/>
      <c r="D1273" s="423"/>
      <c r="E1273" s="423"/>
      <c r="F1273" s="421" t="s">
        <v>3434</v>
      </c>
      <c r="G1273" s="421" t="s">
        <v>3435</v>
      </c>
      <c r="H1273" s="421" t="s">
        <v>452</v>
      </c>
      <c r="I1273" s="421"/>
      <c r="J1273" s="425">
        <v>1</v>
      </c>
      <c r="K1273" s="297"/>
    </row>
    <row r="1274" spans="1:12" s="422" customFormat="1" x14ac:dyDescent="0.25">
      <c r="A1274" s="415" t="s">
        <v>314</v>
      </c>
      <c r="B1274" s="416" t="s">
        <v>608</v>
      </c>
      <c r="C1274" s="415"/>
      <c r="D1274" s="415"/>
      <c r="E1274" s="415"/>
      <c r="F1274" s="417" t="s">
        <v>3334</v>
      </c>
      <c r="G1274" s="417" t="s">
        <v>3335</v>
      </c>
      <c r="H1274" s="417" t="s">
        <v>370</v>
      </c>
      <c r="I1274" s="417"/>
      <c r="J1274" s="418">
        <v>2</v>
      </c>
      <c r="K1274" s="293"/>
      <c r="L1274" s="427"/>
    </row>
    <row r="1275" spans="1:12" s="317" customFormat="1" x14ac:dyDescent="0.25">
      <c r="A1275" s="415" t="s">
        <v>314</v>
      </c>
      <c r="B1275" s="416" t="s">
        <v>3487</v>
      </c>
      <c r="C1275" s="415"/>
      <c r="D1275" s="415"/>
      <c r="E1275" s="415"/>
      <c r="F1275" s="417" t="s">
        <v>3488</v>
      </c>
      <c r="G1275" s="417" t="s">
        <v>3489</v>
      </c>
      <c r="H1275" s="417" t="s">
        <v>3295</v>
      </c>
      <c r="I1275" s="417"/>
      <c r="J1275" s="418">
        <v>1</v>
      </c>
      <c r="K1275" s="293"/>
    </row>
    <row r="1276" spans="1:12" s="317" customFormat="1" x14ac:dyDescent="0.25">
      <c r="A1276" s="308" t="s">
        <v>27</v>
      </c>
      <c r="B1276" s="308" t="s">
        <v>3490</v>
      </c>
      <c r="C1276" s="308"/>
      <c r="D1276" s="308"/>
      <c r="E1276" s="308"/>
      <c r="F1276" s="199" t="s">
        <v>3491</v>
      </c>
      <c r="G1276" s="199"/>
      <c r="H1276" s="199"/>
      <c r="I1276" s="199"/>
      <c r="J1276" s="200">
        <v>1</v>
      </c>
      <c r="K1276" s="293"/>
    </row>
    <row r="1277" spans="1:12" s="317" customFormat="1" x14ac:dyDescent="0.25">
      <c r="A1277" s="308" t="s">
        <v>27</v>
      </c>
      <c r="B1277" s="308" t="s">
        <v>3492</v>
      </c>
      <c r="C1277" s="308"/>
      <c r="D1277" s="308"/>
      <c r="E1277" s="308"/>
      <c r="F1277" s="199" t="s">
        <v>3493</v>
      </c>
      <c r="G1277" s="199"/>
      <c r="H1277" s="199"/>
      <c r="I1277" s="199"/>
      <c r="J1277" s="200">
        <v>1</v>
      </c>
      <c r="K1277" s="293"/>
    </row>
    <row r="1278" spans="1:12" s="317" customFormat="1" x14ac:dyDescent="0.25">
      <c r="A1278" s="308" t="s">
        <v>27</v>
      </c>
      <c r="B1278" s="308" t="s">
        <v>3492</v>
      </c>
      <c r="C1278" s="308"/>
      <c r="D1278" s="308"/>
      <c r="E1278" s="308"/>
      <c r="F1278" s="199" t="s">
        <v>3493</v>
      </c>
      <c r="G1278" s="199"/>
      <c r="H1278" s="199"/>
      <c r="I1278" s="199"/>
      <c r="J1278" s="200">
        <v>1</v>
      </c>
      <c r="K1278" s="293"/>
    </row>
    <row r="1279" spans="1:12" s="317" customFormat="1" x14ac:dyDescent="0.25">
      <c r="A1279" s="308" t="s">
        <v>27</v>
      </c>
      <c r="B1279" s="308" t="s">
        <v>3492</v>
      </c>
      <c r="C1279" s="308"/>
      <c r="D1279" s="308"/>
      <c r="E1279" s="308"/>
      <c r="F1279" s="199" t="s">
        <v>3493</v>
      </c>
      <c r="G1279" s="199"/>
      <c r="H1279" s="199"/>
      <c r="I1279" s="199"/>
      <c r="J1279" s="200">
        <v>1</v>
      </c>
      <c r="K1279" s="293"/>
    </row>
    <row r="1280" spans="1:12" s="317" customFormat="1" x14ac:dyDescent="0.25">
      <c r="A1280" s="391" t="s">
        <v>314</v>
      </c>
      <c r="B1280" s="212" t="s">
        <v>3420</v>
      </c>
      <c r="C1280" s="308"/>
      <c r="D1280" s="308"/>
      <c r="E1280" s="308"/>
      <c r="F1280" s="199" t="s">
        <v>3494</v>
      </c>
      <c r="G1280" s="199" t="s">
        <v>3422</v>
      </c>
      <c r="H1280" s="199" t="s">
        <v>1674</v>
      </c>
      <c r="I1280" s="199"/>
      <c r="J1280" s="200">
        <v>4</v>
      </c>
      <c r="K1280" s="293"/>
    </row>
    <row r="1281" spans="1:12" s="317" customFormat="1" x14ac:dyDescent="0.25">
      <c r="A1281" s="308" t="s">
        <v>27</v>
      </c>
      <c r="B1281" s="212">
        <v>1500313016001</v>
      </c>
      <c r="C1281" s="308"/>
      <c r="D1281" s="308"/>
      <c r="E1281" s="308"/>
      <c r="F1281" s="199" t="s">
        <v>3495</v>
      </c>
      <c r="G1281" s="199" t="s">
        <v>3496</v>
      </c>
      <c r="H1281" s="199"/>
      <c r="I1281" s="199"/>
      <c r="J1281" s="200">
        <v>4</v>
      </c>
      <c r="K1281" s="293"/>
    </row>
    <row r="1282" spans="1:12" s="317" customFormat="1" x14ac:dyDescent="0.25">
      <c r="A1282" s="308" t="s">
        <v>27</v>
      </c>
      <c r="B1282" s="212">
        <v>1540213000002</v>
      </c>
      <c r="C1282" s="308"/>
      <c r="D1282" s="308"/>
      <c r="E1282" s="308"/>
      <c r="F1282" s="199" t="s">
        <v>3497</v>
      </c>
      <c r="G1282" s="199" t="s">
        <v>3498</v>
      </c>
      <c r="H1282" s="199"/>
      <c r="I1282" s="199"/>
      <c r="J1282" s="200">
        <v>7</v>
      </c>
      <c r="K1282" s="293"/>
    </row>
    <row r="1283" spans="1:12" s="317" customFormat="1" x14ac:dyDescent="0.25">
      <c r="A1283" s="308" t="s">
        <v>27</v>
      </c>
      <c r="B1283" s="212">
        <v>1540113000002</v>
      </c>
      <c r="C1283" s="308"/>
      <c r="D1283" s="308"/>
      <c r="E1283" s="308"/>
      <c r="F1283" s="199" t="s">
        <v>3123</v>
      </c>
      <c r="G1283" s="199" t="s">
        <v>3124</v>
      </c>
      <c r="H1283" s="199"/>
      <c r="I1283" s="199"/>
      <c r="J1283" s="200">
        <v>7</v>
      </c>
      <c r="K1283" s="293"/>
    </row>
    <row r="1284" spans="1:12" s="317" customFormat="1" x14ac:dyDescent="0.25">
      <c r="A1284" s="308" t="s">
        <v>27</v>
      </c>
      <c r="B1284" s="212">
        <v>1500315016001</v>
      </c>
      <c r="C1284" s="308"/>
      <c r="D1284" s="308"/>
      <c r="E1284" s="308"/>
      <c r="F1284" s="199" t="s">
        <v>3499</v>
      </c>
      <c r="G1284" s="199" t="s">
        <v>3500</v>
      </c>
      <c r="H1284" s="199"/>
      <c r="I1284" s="199"/>
      <c r="J1284" s="200">
        <v>12</v>
      </c>
      <c r="K1284" s="293"/>
    </row>
    <row r="1285" spans="1:12" s="317" customFormat="1" x14ac:dyDescent="0.25">
      <c r="A1285" s="308" t="s">
        <v>27</v>
      </c>
      <c r="B1285" s="212">
        <v>1540215000002</v>
      </c>
      <c r="C1285" s="308"/>
      <c r="D1285" s="308"/>
      <c r="E1285" s="308"/>
      <c r="F1285" s="199" t="s">
        <v>1960</v>
      </c>
      <c r="G1285" s="199" t="s">
        <v>3501</v>
      </c>
      <c r="H1285" s="199"/>
      <c r="I1285" s="199"/>
      <c r="J1285" s="200">
        <v>12</v>
      </c>
      <c r="K1285" s="293"/>
    </row>
    <row r="1286" spans="1:12" s="317" customFormat="1" x14ac:dyDescent="0.25">
      <c r="A1286" s="308" t="s">
        <v>27</v>
      </c>
      <c r="B1286" s="212">
        <v>1540115000001</v>
      </c>
      <c r="C1286" s="308"/>
      <c r="D1286" s="308"/>
      <c r="E1286" s="308"/>
      <c r="F1286" s="199" t="s">
        <v>1957</v>
      </c>
      <c r="G1286" s="199" t="s">
        <v>1958</v>
      </c>
      <c r="H1286" s="199"/>
      <c r="I1286" s="199"/>
      <c r="J1286" s="200">
        <v>12</v>
      </c>
      <c r="K1286" s="293"/>
    </row>
    <row r="1287" spans="1:12" s="317" customFormat="1" x14ac:dyDescent="0.25">
      <c r="A1287" s="308" t="s">
        <v>27</v>
      </c>
      <c r="B1287" s="212">
        <v>1501311012002</v>
      </c>
      <c r="C1287" s="308"/>
      <c r="D1287" s="308"/>
      <c r="E1287" s="308"/>
      <c r="F1287" s="199" t="s">
        <v>3502</v>
      </c>
      <c r="G1287" s="199" t="s">
        <v>3503</v>
      </c>
      <c r="H1287" s="199"/>
      <c r="I1287" s="199"/>
      <c r="J1287" s="200">
        <v>4</v>
      </c>
      <c r="K1287" s="293"/>
    </row>
    <row r="1288" spans="1:12" s="317" customFormat="1" x14ac:dyDescent="0.25">
      <c r="A1288" s="308" t="s">
        <v>27</v>
      </c>
      <c r="B1288" s="212">
        <v>1540111000001</v>
      </c>
      <c r="C1288" s="308"/>
      <c r="D1288" s="308"/>
      <c r="E1288" s="308"/>
      <c r="F1288" s="199" t="s">
        <v>3128</v>
      </c>
      <c r="G1288" s="199" t="s">
        <v>3504</v>
      </c>
      <c r="H1288" s="199"/>
      <c r="I1288" s="199"/>
      <c r="J1288" s="200">
        <v>4</v>
      </c>
      <c r="K1288" s="293"/>
    </row>
    <row r="1289" spans="1:12" s="317" customFormat="1" x14ac:dyDescent="0.25">
      <c r="A1289" s="308" t="s">
        <v>27</v>
      </c>
      <c r="B1289" s="212">
        <v>1540211000011</v>
      </c>
      <c r="C1289" s="308"/>
      <c r="D1289" s="308"/>
      <c r="E1289" s="308"/>
      <c r="F1289" s="199" t="s">
        <v>3505</v>
      </c>
      <c r="G1289" s="199" t="s">
        <v>3506</v>
      </c>
      <c r="H1289" s="199"/>
      <c r="I1289" s="199"/>
      <c r="J1289" s="200">
        <v>4</v>
      </c>
      <c r="K1289" s="293"/>
    </row>
    <row r="1290" spans="1:12" s="317" customFormat="1" x14ac:dyDescent="0.25">
      <c r="A1290" s="308" t="s">
        <v>27</v>
      </c>
      <c r="B1290" s="212">
        <v>1530111000001</v>
      </c>
      <c r="C1290" s="308"/>
      <c r="D1290" s="308"/>
      <c r="E1290" s="308"/>
      <c r="F1290" s="199" t="s">
        <v>2366</v>
      </c>
      <c r="G1290" s="199" t="s">
        <v>3507</v>
      </c>
      <c r="H1290" s="199"/>
      <c r="I1290" s="199"/>
      <c r="J1290" s="200">
        <v>2</v>
      </c>
      <c r="K1290" s="293"/>
    </row>
    <row r="1291" spans="1:12" s="317" customFormat="1" x14ac:dyDescent="0.25">
      <c r="A1291" s="308" t="s">
        <v>27</v>
      </c>
      <c r="B1291" s="212">
        <v>1500311008001</v>
      </c>
      <c r="C1291" s="308"/>
      <c r="D1291" s="308"/>
      <c r="E1291" s="308"/>
      <c r="F1291" s="199" t="s">
        <v>3508</v>
      </c>
      <c r="G1291" s="199" t="s">
        <v>3509</v>
      </c>
      <c r="H1291" s="199"/>
      <c r="I1291" s="199"/>
      <c r="J1291" s="200">
        <v>2</v>
      </c>
      <c r="K1291" s="293"/>
    </row>
    <row r="1292" spans="1:12" s="317" customFormat="1" x14ac:dyDescent="0.25">
      <c r="A1292" s="308" t="s">
        <v>27</v>
      </c>
      <c r="B1292" s="212">
        <v>1530120000002</v>
      </c>
      <c r="C1292" s="308"/>
      <c r="D1292" s="308"/>
      <c r="E1292" s="308"/>
      <c r="F1292" s="199" t="s">
        <v>3510</v>
      </c>
      <c r="G1292" s="199" t="s">
        <v>3511</v>
      </c>
      <c r="H1292" s="199"/>
      <c r="I1292" s="199"/>
      <c r="J1292" s="200">
        <v>8</v>
      </c>
      <c r="K1292" s="293"/>
    </row>
    <row r="1293" spans="1:12" s="317" customFormat="1" x14ac:dyDescent="0.25">
      <c r="A1293" s="308" t="s">
        <v>27</v>
      </c>
      <c r="B1293" s="212">
        <v>1540220000102</v>
      </c>
      <c r="C1293" s="308"/>
      <c r="D1293" s="308"/>
      <c r="E1293" s="308"/>
      <c r="F1293" s="199" t="s">
        <v>3512</v>
      </c>
      <c r="G1293" s="199" t="s">
        <v>2227</v>
      </c>
      <c r="H1293" s="199"/>
      <c r="I1293" s="199"/>
      <c r="J1293" s="200">
        <v>8</v>
      </c>
      <c r="K1293" s="293"/>
    </row>
    <row r="1294" spans="1:12" s="317" customFormat="1" x14ac:dyDescent="0.25">
      <c r="A1294" s="308" t="s">
        <v>27</v>
      </c>
      <c r="B1294" s="212">
        <v>1541320000002</v>
      </c>
      <c r="C1294" s="308"/>
      <c r="D1294" s="308"/>
      <c r="E1294" s="308"/>
      <c r="F1294" s="199" t="s">
        <v>3513</v>
      </c>
      <c r="G1294" s="199" t="s">
        <v>3514</v>
      </c>
      <c r="H1294" s="199"/>
      <c r="I1294" s="199"/>
      <c r="J1294" s="200">
        <v>8</v>
      </c>
      <c r="K1294" s="293"/>
    </row>
    <row r="1295" spans="1:12" s="422" customFormat="1" x14ac:dyDescent="0.25">
      <c r="A1295" s="308" t="s">
        <v>27</v>
      </c>
      <c r="B1295" s="212" t="s">
        <v>3515</v>
      </c>
      <c r="C1295" s="308"/>
      <c r="D1295" s="308"/>
      <c r="E1295" s="308"/>
      <c r="F1295" s="199" t="s">
        <v>3516</v>
      </c>
      <c r="G1295" s="199" t="s">
        <v>3517</v>
      </c>
      <c r="H1295" s="199"/>
      <c r="I1295" s="199"/>
      <c r="J1295" s="200">
        <v>1</v>
      </c>
      <c r="K1295" s="293"/>
      <c r="L1295" s="427"/>
    </row>
    <row r="1296" spans="1:12" s="422" customFormat="1" x14ac:dyDescent="0.25">
      <c r="A1296" s="308" t="s">
        <v>27</v>
      </c>
      <c r="B1296" s="212">
        <v>1530116000002</v>
      </c>
      <c r="C1296" s="308"/>
      <c r="D1296" s="308"/>
      <c r="E1296" s="308"/>
      <c r="F1296" s="199" t="s">
        <v>3518</v>
      </c>
      <c r="G1296" s="199" t="s">
        <v>3519</v>
      </c>
      <c r="H1296" s="199"/>
      <c r="I1296" s="199"/>
      <c r="J1296" s="200">
        <v>8</v>
      </c>
      <c r="K1296" s="293"/>
      <c r="L1296" s="427"/>
    </row>
    <row r="1297" spans="1:11" s="317" customFormat="1" x14ac:dyDescent="0.25">
      <c r="A1297" s="308" t="s">
        <v>27</v>
      </c>
      <c r="B1297" s="212">
        <v>1540116000003</v>
      </c>
      <c r="C1297" s="308"/>
      <c r="D1297" s="308"/>
      <c r="E1297" s="308"/>
      <c r="F1297" s="199" t="s">
        <v>3520</v>
      </c>
      <c r="G1297" s="199" t="s">
        <v>3521</v>
      </c>
      <c r="H1297" s="199"/>
      <c r="I1297" s="199"/>
      <c r="J1297" s="200">
        <v>8</v>
      </c>
      <c r="K1297" s="293"/>
    </row>
    <row r="1298" spans="1:11" s="317" customFormat="1" x14ac:dyDescent="0.25">
      <c r="A1298" s="308" t="s">
        <v>27</v>
      </c>
      <c r="B1298" s="310">
        <v>1540216000102</v>
      </c>
      <c r="C1298" s="311"/>
      <c r="D1298" s="311"/>
      <c r="E1298" s="311"/>
      <c r="F1298" s="295" t="s">
        <v>3522</v>
      </c>
      <c r="G1298" s="295" t="s">
        <v>3523</v>
      </c>
      <c r="H1298" s="295"/>
      <c r="I1298" s="295"/>
      <c r="J1298" s="296">
        <v>8</v>
      </c>
      <c r="K1298" s="297"/>
    </row>
    <row r="1299" spans="1:11" s="317" customFormat="1" x14ac:dyDescent="0.25">
      <c r="A1299" s="311" t="s">
        <v>27</v>
      </c>
      <c r="B1299" s="310">
        <v>1501313008001</v>
      </c>
      <c r="C1299" s="311"/>
      <c r="D1299" s="311"/>
      <c r="E1299" s="311"/>
      <c r="F1299" s="295" t="s">
        <v>3524</v>
      </c>
      <c r="G1299" s="295" t="s">
        <v>3525</v>
      </c>
      <c r="H1299" s="295"/>
      <c r="I1299" s="295"/>
      <c r="J1299" s="296">
        <v>3</v>
      </c>
      <c r="K1299" s="297"/>
    </row>
    <row r="1300" spans="1:11" s="317" customFormat="1" x14ac:dyDescent="0.25">
      <c r="A1300" s="308" t="s">
        <v>27</v>
      </c>
      <c r="B1300" s="212">
        <v>1530113000001</v>
      </c>
      <c r="C1300" s="308"/>
      <c r="D1300" s="308"/>
      <c r="E1300" s="308"/>
      <c r="F1300" s="199" t="s">
        <v>2364</v>
      </c>
      <c r="G1300" s="199" t="s">
        <v>3526</v>
      </c>
      <c r="H1300" s="199"/>
      <c r="I1300" s="199"/>
      <c r="J1300" s="200">
        <v>3</v>
      </c>
      <c r="K1300" s="293"/>
    </row>
    <row r="1301" spans="1:11" s="317" customFormat="1" x14ac:dyDescent="0.25">
      <c r="A1301" s="391" t="s">
        <v>314</v>
      </c>
      <c r="B1301" s="212" t="s">
        <v>3527</v>
      </c>
      <c r="C1301" s="308"/>
      <c r="D1301" s="308"/>
      <c r="E1301" s="308"/>
      <c r="F1301" s="199" t="s">
        <v>3528</v>
      </c>
      <c r="G1301" s="199" t="s">
        <v>3529</v>
      </c>
      <c r="H1301" s="199" t="s">
        <v>3530</v>
      </c>
      <c r="I1301" s="199"/>
      <c r="J1301" s="200">
        <v>2</v>
      </c>
      <c r="K1301" s="293"/>
    </row>
    <row r="1302" spans="1:11" s="317" customFormat="1" x14ac:dyDescent="0.25">
      <c r="A1302" s="460" t="s">
        <v>314</v>
      </c>
      <c r="B1302" s="310" t="s">
        <v>2622</v>
      </c>
      <c r="C1302" s="311"/>
      <c r="D1302" s="311"/>
      <c r="E1302" s="311"/>
      <c r="F1302" s="295" t="s">
        <v>3531</v>
      </c>
      <c r="G1302" s="295" t="s">
        <v>2624</v>
      </c>
      <c r="H1302" s="295" t="s">
        <v>3532</v>
      </c>
      <c r="I1302" s="295"/>
      <c r="J1302" s="296">
        <v>2</v>
      </c>
      <c r="K1302" s="297"/>
    </row>
    <row r="1303" spans="1:11" s="317" customFormat="1" x14ac:dyDescent="0.25">
      <c r="A1303" s="391" t="s">
        <v>314</v>
      </c>
      <c r="B1303" s="212" t="s">
        <v>3527</v>
      </c>
      <c r="C1303" s="308"/>
      <c r="D1303" s="308"/>
      <c r="E1303" s="308"/>
      <c r="F1303" s="199" t="s">
        <v>3528</v>
      </c>
      <c r="G1303" s="199" t="s">
        <v>3529</v>
      </c>
      <c r="H1303" s="199" t="s">
        <v>3530</v>
      </c>
      <c r="I1303" s="199"/>
      <c r="J1303" s="200">
        <v>4</v>
      </c>
      <c r="K1303" s="293"/>
    </row>
    <row r="1304" spans="1:11" s="317" customFormat="1" x14ac:dyDescent="0.25">
      <c r="A1304" s="391" t="s">
        <v>314</v>
      </c>
      <c r="B1304" s="212" t="s">
        <v>3533</v>
      </c>
      <c r="C1304" s="308"/>
      <c r="D1304" s="308"/>
      <c r="E1304" s="308"/>
      <c r="F1304" s="199" t="s">
        <v>3534</v>
      </c>
      <c r="G1304" s="199" t="s">
        <v>3535</v>
      </c>
      <c r="H1304" s="199" t="s">
        <v>3532</v>
      </c>
      <c r="I1304" s="199"/>
      <c r="J1304" s="200">
        <v>6</v>
      </c>
      <c r="K1304" s="293"/>
    </row>
    <row r="1305" spans="1:11" s="317" customFormat="1" x14ac:dyDescent="0.25">
      <c r="A1305" s="308" t="s">
        <v>27</v>
      </c>
      <c r="B1305" s="212">
        <v>1232525308000</v>
      </c>
      <c r="C1305" s="308"/>
      <c r="D1305" s="308"/>
      <c r="E1305" s="308"/>
      <c r="F1305" s="199" t="s">
        <v>558</v>
      </c>
      <c r="G1305" s="194" t="s">
        <v>559</v>
      </c>
      <c r="H1305" s="194" t="s">
        <v>560</v>
      </c>
      <c r="I1305" s="199"/>
      <c r="J1305" s="200">
        <v>3</v>
      </c>
      <c r="K1305" s="293"/>
    </row>
    <row r="1306" spans="1:11" s="313" customFormat="1" x14ac:dyDescent="0.25">
      <c r="A1306" s="308" t="s">
        <v>27</v>
      </c>
      <c r="B1306" s="212">
        <v>1000932500005</v>
      </c>
      <c r="C1306" s="308"/>
      <c r="D1306" s="308"/>
      <c r="E1306" s="308"/>
      <c r="F1306" s="199" t="s">
        <v>3536</v>
      </c>
      <c r="G1306" s="194"/>
      <c r="H1306" s="194"/>
      <c r="I1306" s="199"/>
      <c r="J1306" s="200">
        <v>1</v>
      </c>
      <c r="K1306" s="293"/>
    </row>
    <row r="1307" spans="1:11" s="445" customFormat="1" x14ac:dyDescent="0.25">
      <c r="A1307" s="308" t="s">
        <v>27</v>
      </c>
      <c r="B1307" s="212">
        <v>1220100246980</v>
      </c>
      <c r="C1307" s="308"/>
      <c r="D1307" s="308"/>
      <c r="E1307" s="308"/>
      <c r="F1307" s="199" t="s">
        <v>3537</v>
      </c>
      <c r="G1307" s="199"/>
      <c r="H1307" s="199"/>
      <c r="I1307" s="199"/>
      <c r="J1307" s="200" t="s">
        <v>3538</v>
      </c>
      <c r="K1307" s="293"/>
    </row>
    <row r="1308" spans="1:11" s="313" customFormat="1" x14ac:dyDescent="0.25">
      <c r="A1308" s="308" t="s">
        <v>27</v>
      </c>
      <c r="B1308" s="212">
        <v>1220100243000</v>
      </c>
      <c r="C1308" s="308"/>
      <c r="D1308" s="308"/>
      <c r="E1308" s="308"/>
      <c r="F1308" s="199" t="s">
        <v>3539</v>
      </c>
      <c r="G1308" s="199"/>
      <c r="H1308" s="199"/>
      <c r="I1308" s="199"/>
      <c r="J1308" s="200" t="s">
        <v>3540</v>
      </c>
      <c r="K1308" s="293"/>
    </row>
    <row r="1309" spans="1:11" s="317" customFormat="1" x14ac:dyDescent="0.25">
      <c r="A1309" s="308" t="s">
        <v>27</v>
      </c>
      <c r="B1309" s="212" t="s">
        <v>3541</v>
      </c>
      <c r="C1309" s="308"/>
      <c r="D1309" s="308"/>
      <c r="E1309" s="308"/>
      <c r="F1309" s="199" t="s">
        <v>3542</v>
      </c>
      <c r="G1309" s="199"/>
      <c r="H1309" s="199"/>
      <c r="I1309" s="199"/>
      <c r="J1309" s="200">
        <v>1</v>
      </c>
      <c r="K1309" s="293"/>
    </row>
    <row r="1310" spans="1:11" s="313" customFormat="1" x14ac:dyDescent="0.25">
      <c r="A1310" s="308" t="s">
        <v>27</v>
      </c>
      <c r="B1310" s="212" t="s">
        <v>3543</v>
      </c>
      <c r="C1310" s="308"/>
      <c r="D1310" s="308"/>
      <c r="E1310" s="308"/>
      <c r="F1310" s="199" t="s">
        <v>3544</v>
      </c>
      <c r="G1310" s="199"/>
      <c r="H1310" s="199"/>
      <c r="I1310" s="199"/>
      <c r="J1310" s="200">
        <v>1</v>
      </c>
      <c r="K1310" s="293"/>
    </row>
    <row r="1311" spans="1:11" s="317" customFormat="1" x14ac:dyDescent="0.25">
      <c r="A1311" s="308" t="s">
        <v>27</v>
      </c>
      <c r="B1311" s="308">
        <v>1500311008003</v>
      </c>
      <c r="C1311" s="308"/>
      <c r="D1311" s="308"/>
      <c r="E1311" s="308"/>
      <c r="F1311" s="430" t="s">
        <v>3545</v>
      </c>
      <c r="G1311" s="199"/>
      <c r="H1311" s="199"/>
      <c r="I1311" s="199"/>
      <c r="J1311" s="431">
        <v>4</v>
      </c>
      <c r="K1311" s="293"/>
    </row>
    <row r="1312" spans="1:11" s="317" customFormat="1" x14ac:dyDescent="0.25">
      <c r="A1312" s="403" t="s">
        <v>27</v>
      </c>
      <c r="B1312" s="403">
        <v>1540111000001</v>
      </c>
      <c r="C1312" s="403"/>
      <c r="D1312" s="403"/>
      <c r="E1312" s="403"/>
      <c r="F1312" s="432" t="s">
        <v>3546</v>
      </c>
      <c r="G1312" s="404"/>
      <c r="H1312" s="404"/>
      <c r="I1312" s="404"/>
      <c r="J1312" s="433">
        <v>4</v>
      </c>
      <c r="K1312" s="434"/>
    </row>
    <row r="1313" spans="1:12" s="313" customFormat="1" x14ac:dyDescent="0.25">
      <c r="A1313" s="440" t="s">
        <v>27</v>
      </c>
      <c r="B1313" s="440">
        <v>1540211000007</v>
      </c>
      <c r="C1313" s="440"/>
      <c r="D1313" s="440">
        <v>1540211000001</v>
      </c>
      <c r="E1313" s="440"/>
      <c r="F1313" s="441" t="s">
        <v>3547</v>
      </c>
      <c r="G1313" s="442"/>
      <c r="H1313" s="442"/>
      <c r="I1313" s="442"/>
      <c r="J1313" s="443">
        <v>4</v>
      </c>
      <c r="K1313" s="444"/>
    </row>
    <row r="1314" spans="1:12" s="422" customFormat="1" x14ac:dyDescent="0.25">
      <c r="A1314" s="435" t="s">
        <v>27</v>
      </c>
      <c r="B1314" s="435">
        <v>1530111000002</v>
      </c>
      <c r="C1314" s="435"/>
      <c r="D1314" s="435"/>
      <c r="E1314" s="435"/>
      <c r="F1314" s="499" t="s">
        <v>3548</v>
      </c>
      <c r="G1314" s="436"/>
      <c r="H1314" s="436"/>
      <c r="I1314" s="436"/>
      <c r="J1314" s="517">
        <v>4</v>
      </c>
      <c r="K1314" s="437"/>
    </row>
    <row r="1315" spans="1:12" s="317" customFormat="1" x14ac:dyDescent="0.25">
      <c r="A1315" s="308" t="s">
        <v>27</v>
      </c>
      <c r="B1315" s="308">
        <v>1500313008003</v>
      </c>
      <c r="C1315" s="308"/>
      <c r="D1315" s="308"/>
      <c r="E1315" s="308"/>
      <c r="F1315" s="430" t="s">
        <v>3549</v>
      </c>
      <c r="G1315" s="199"/>
      <c r="H1315" s="199"/>
      <c r="I1315" s="199"/>
      <c r="J1315" s="431">
        <v>4</v>
      </c>
      <c r="K1315" s="293"/>
    </row>
    <row r="1316" spans="1:12" s="317" customFormat="1" x14ac:dyDescent="0.25">
      <c r="A1316" s="403" t="s">
        <v>27</v>
      </c>
      <c r="B1316" s="403">
        <v>1540113000002</v>
      </c>
      <c r="C1316" s="403"/>
      <c r="D1316" s="403"/>
      <c r="E1316" s="403"/>
      <c r="F1316" s="432" t="s">
        <v>3550</v>
      </c>
      <c r="G1316" s="404"/>
      <c r="H1316" s="404"/>
      <c r="I1316" s="404"/>
      <c r="J1316" s="433">
        <v>12</v>
      </c>
      <c r="K1316" s="434"/>
    </row>
    <row r="1317" spans="1:12" s="317" customFormat="1" x14ac:dyDescent="0.25">
      <c r="A1317" s="31" t="s">
        <v>27</v>
      </c>
      <c r="B1317" s="31">
        <v>1500313010003</v>
      </c>
      <c r="C1317" s="31"/>
      <c r="D1317" s="31"/>
      <c r="E1317" s="31"/>
      <c r="F1317" s="501" t="s">
        <v>3551</v>
      </c>
      <c r="G1317" s="32"/>
      <c r="H1317" s="32"/>
      <c r="I1317" s="32"/>
      <c r="J1317" s="520">
        <v>8</v>
      </c>
      <c r="K1317" s="34"/>
    </row>
    <row r="1318" spans="1:12" s="317" customFormat="1" x14ac:dyDescent="0.25">
      <c r="A1318" s="31" t="s">
        <v>27</v>
      </c>
      <c r="B1318" s="31">
        <v>1540213000015</v>
      </c>
      <c r="C1318" s="31"/>
      <c r="D1318" s="31"/>
      <c r="E1318" s="31"/>
      <c r="F1318" s="501" t="s">
        <v>3552</v>
      </c>
      <c r="G1318" s="32"/>
      <c r="H1318" s="32"/>
      <c r="I1318" s="32"/>
      <c r="J1318" s="520">
        <v>8</v>
      </c>
      <c r="K1318" s="34"/>
    </row>
    <row r="1319" spans="1:12" s="317" customFormat="1" x14ac:dyDescent="0.25">
      <c r="A1319" s="283" t="s">
        <v>27</v>
      </c>
      <c r="B1319" s="283">
        <v>1530113000002</v>
      </c>
      <c r="C1319" s="283"/>
      <c r="D1319" s="283"/>
      <c r="E1319" s="283"/>
      <c r="F1319" s="505" t="s">
        <v>3553</v>
      </c>
      <c r="G1319" s="285"/>
      <c r="H1319" s="285"/>
      <c r="I1319" s="285"/>
      <c r="J1319" s="522">
        <v>8</v>
      </c>
      <c r="K1319" s="287"/>
    </row>
    <row r="1320" spans="1:12" s="452" customFormat="1" x14ac:dyDescent="0.25">
      <c r="A1320" s="311"/>
      <c r="B1320" s="310" t="s">
        <v>3554</v>
      </c>
      <c r="C1320" s="311"/>
      <c r="D1320" s="308"/>
      <c r="E1320" s="308"/>
      <c r="F1320" s="438" t="s">
        <v>3555</v>
      </c>
      <c r="G1320" s="373" t="s">
        <v>3556</v>
      </c>
      <c r="H1320" s="295" t="s">
        <v>621</v>
      </c>
      <c r="I1320" s="295"/>
      <c r="J1320" s="439">
        <v>1</v>
      </c>
      <c r="K1320" s="297"/>
    </row>
    <row r="1321" spans="1:12" s="317" customFormat="1" x14ac:dyDescent="0.25">
      <c r="A1321" s="308" t="s">
        <v>27</v>
      </c>
      <c r="B1321" s="212" t="s">
        <v>3557</v>
      </c>
      <c r="C1321" s="308"/>
      <c r="D1321" s="448"/>
      <c r="E1321" s="447"/>
      <c r="F1321" s="199" t="s">
        <v>3558</v>
      </c>
      <c r="G1321" s="199"/>
      <c r="H1321" s="376"/>
      <c r="I1321" s="199"/>
      <c r="J1321" s="431">
        <v>1</v>
      </c>
      <c r="K1321" s="293"/>
    </row>
    <row r="1322" spans="1:12" s="317" customFormat="1" x14ac:dyDescent="0.25">
      <c r="A1322" s="308" t="s">
        <v>27</v>
      </c>
      <c r="B1322" s="310" t="s">
        <v>3559</v>
      </c>
      <c r="C1322" s="311"/>
      <c r="D1322" s="448"/>
      <c r="E1322" s="447"/>
      <c r="F1322" s="295" t="s">
        <v>3560</v>
      </c>
      <c r="G1322" s="295"/>
      <c r="H1322" s="450"/>
      <c r="I1322" s="295"/>
      <c r="J1322" s="296">
        <v>1</v>
      </c>
      <c r="K1322" s="297"/>
    </row>
    <row r="1323" spans="1:12" s="317" customFormat="1" x14ac:dyDescent="0.25">
      <c r="A1323" s="454" t="s">
        <v>314</v>
      </c>
      <c r="B1323" s="310" t="s">
        <v>3321</v>
      </c>
      <c r="C1323" s="311"/>
      <c r="D1323" s="311"/>
      <c r="E1323" s="311"/>
      <c r="F1323" s="295" t="s">
        <v>3322</v>
      </c>
      <c r="G1323" s="295">
        <v>31814205</v>
      </c>
      <c r="H1323" s="295" t="s">
        <v>3323</v>
      </c>
      <c r="I1323" s="295"/>
      <c r="J1323" s="296">
        <v>10</v>
      </c>
      <c r="K1323" s="297"/>
    </row>
    <row r="1324" spans="1:12" s="422" customFormat="1" x14ac:dyDescent="0.25">
      <c r="A1324" s="308" t="s">
        <v>3561</v>
      </c>
      <c r="B1324" s="212" t="s">
        <v>3562</v>
      </c>
      <c r="C1324" s="308"/>
      <c r="D1324" s="308"/>
      <c r="E1324" s="308"/>
      <c r="F1324" s="199" t="s">
        <v>3563</v>
      </c>
      <c r="G1324" s="199" t="s">
        <v>3564</v>
      </c>
      <c r="H1324" s="199"/>
      <c r="I1324" s="199"/>
      <c r="J1324" s="200">
        <v>1</v>
      </c>
      <c r="K1324" s="293"/>
    </row>
    <row r="1325" spans="1:12" s="317" customFormat="1" x14ac:dyDescent="0.25">
      <c r="A1325" s="308" t="s">
        <v>314</v>
      </c>
      <c r="B1325" s="212" t="s">
        <v>1489</v>
      </c>
      <c r="C1325" s="308"/>
      <c r="D1325" s="308"/>
      <c r="E1325" s="308"/>
      <c r="F1325" s="504" t="s">
        <v>3565</v>
      </c>
      <c r="G1325" s="504" t="s">
        <v>3566</v>
      </c>
      <c r="H1325" s="199" t="s">
        <v>1063</v>
      </c>
      <c r="I1325" s="199"/>
      <c r="J1325" s="200">
        <v>10</v>
      </c>
      <c r="K1325" s="293"/>
      <c r="L1325" s="422"/>
    </row>
    <row r="1326" spans="1:12" s="317" customFormat="1" x14ac:dyDescent="0.25">
      <c r="A1326" s="451" t="s">
        <v>3567</v>
      </c>
      <c r="B1326" s="451">
        <v>9999000981312</v>
      </c>
      <c r="C1326" s="451"/>
      <c r="D1326" s="451"/>
      <c r="E1326" s="451"/>
      <c r="F1326" s="498" t="s">
        <v>3568</v>
      </c>
      <c r="G1326" s="498"/>
      <c r="H1326" s="498"/>
      <c r="I1326" s="498"/>
      <c r="J1326" s="516">
        <v>1</v>
      </c>
      <c r="K1326" s="527"/>
      <c r="L1326" s="422"/>
    </row>
    <row r="1327" spans="1:12" s="317" customFormat="1" x14ac:dyDescent="0.25">
      <c r="A1327" s="308" t="s">
        <v>3569</v>
      </c>
      <c r="B1327" s="308">
        <v>3210506760000</v>
      </c>
      <c r="C1327" s="308"/>
      <c r="D1327" s="308"/>
      <c r="E1327" s="308"/>
      <c r="F1327" s="199" t="s">
        <v>3570</v>
      </c>
      <c r="G1327" s="199" t="s">
        <v>3571</v>
      </c>
      <c r="H1327" s="199" t="s">
        <v>50</v>
      </c>
      <c r="I1327" s="199"/>
      <c r="J1327" s="200">
        <v>1</v>
      </c>
      <c r="K1327" s="293"/>
      <c r="L1327" s="422"/>
    </row>
    <row r="1328" spans="1:12" s="317" customFormat="1" x14ac:dyDescent="0.25">
      <c r="A1328" s="308" t="s">
        <v>314</v>
      </c>
      <c r="B1328" s="308" t="s">
        <v>3572</v>
      </c>
      <c r="C1328" s="308"/>
      <c r="D1328" s="308"/>
      <c r="E1328" s="308"/>
      <c r="F1328" s="199" t="s">
        <v>3573</v>
      </c>
      <c r="G1328" s="199"/>
      <c r="H1328" s="199"/>
      <c r="I1328" s="199"/>
      <c r="J1328" s="200">
        <v>1</v>
      </c>
      <c r="K1328" s="293"/>
      <c r="L1328" s="422"/>
    </row>
    <row r="1329" spans="1:12" s="317" customFormat="1" x14ac:dyDescent="0.25">
      <c r="A1329" s="308" t="s">
        <v>3569</v>
      </c>
      <c r="B1329" s="308">
        <v>3230100640000</v>
      </c>
      <c r="C1329" s="308"/>
      <c r="D1329" s="308"/>
      <c r="E1329" s="308"/>
      <c r="F1329" s="199" t="s">
        <v>3574</v>
      </c>
      <c r="G1329" s="199" t="s">
        <v>3575</v>
      </c>
      <c r="H1329" s="199" t="s">
        <v>3576</v>
      </c>
      <c r="I1329" s="199"/>
      <c r="J1329" s="200">
        <v>1</v>
      </c>
      <c r="K1329" s="293"/>
      <c r="L1329" s="422"/>
    </row>
    <row r="1330" spans="1:12" s="317" customFormat="1" x14ac:dyDescent="0.25">
      <c r="A1330" s="308" t="s">
        <v>314</v>
      </c>
      <c r="B1330" s="308">
        <v>1204301130021</v>
      </c>
      <c r="C1330" s="308"/>
      <c r="D1330" s="308"/>
      <c r="E1330" s="308"/>
      <c r="F1330" s="453" t="s">
        <v>3577</v>
      </c>
      <c r="G1330" s="453" t="s">
        <v>957</v>
      </c>
      <c r="H1330" s="199" t="s">
        <v>3578</v>
      </c>
      <c r="I1330" s="199"/>
      <c r="J1330" s="200">
        <v>1</v>
      </c>
      <c r="K1330" s="293"/>
      <c r="L1330" s="422"/>
    </row>
    <row r="1331" spans="1:12" s="317" customFormat="1" x14ac:dyDescent="0.25">
      <c r="A1331" s="308" t="s">
        <v>3579</v>
      </c>
      <c r="B1331" s="308" t="s">
        <v>3580</v>
      </c>
      <c r="C1331" s="308"/>
      <c r="D1331" s="308"/>
      <c r="E1331" s="308"/>
      <c r="F1331" s="453" t="s">
        <v>3581</v>
      </c>
      <c r="G1331" s="453" t="s">
        <v>3582</v>
      </c>
      <c r="H1331" s="453" t="s">
        <v>3583</v>
      </c>
      <c r="I1331" s="199"/>
      <c r="J1331" s="200">
        <v>1</v>
      </c>
      <c r="K1331" s="293"/>
      <c r="L1331" s="422"/>
    </row>
    <row r="1332" spans="1:12" s="317" customFormat="1" x14ac:dyDescent="0.25">
      <c r="A1332" s="308" t="s">
        <v>3579</v>
      </c>
      <c r="B1332" s="308" t="s">
        <v>3584</v>
      </c>
      <c r="C1332" s="308"/>
      <c r="D1332" s="308"/>
      <c r="E1332" s="308"/>
      <c r="F1332" s="453" t="s">
        <v>3585</v>
      </c>
      <c r="G1332" s="453" t="s">
        <v>3586</v>
      </c>
      <c r="H1332" s="199" t="s">
        <v>3587</v>
      </c>
      <c r="I1332" s="199"/>
      <c r="J1332" s="200">
        <v>2</v>
      </c>
      <c r="K1332" s="293"/>
      <c r="L1332" s="422"/>
    </row>
    <row r="1333" spans="1:12" s="317" customFormat="1" x14ac:dyDescent="0.25">
      <c r="A1333" s="308" t="s">
        <v>3579</v>
      </c>
      <c r="B1333" s="39" t="s">
        <v>3588</v>
      </c>
      <c r="C1333" s="308"/>
      <c r="D1333" s="308"/>
      <c r="E1333" s="308"/>
      <c r="F1333" s="453" t="s">
        <v>3589</v>
      </c>
      <c r="G1333" s="453" t="s">
        <v>3590</v>
      </c>
      <c r="H1333" s="199" t="s">
        <v>1356</v>
      </c>
      <c r="I1333" s="199"/>
      <c r="J1333" s="200">
        <v>2</v>
      </c>
      <c r="K1333" s="293"/>
      <c r="L1333" s="422"/>
    </row>
    <row r="1334" spans="1:12" s="317" customFormat="1" x14ac:dyDescent="0.25">
      <c r="A1334" s="308" t="s">
        <v>3579</v>
      </c>
      <c r="B1334" s="308" t="s">
        <v>3591</v>
      </c>
      <c r="C1334" s="308"/>
      <c r="D1334" s="308"/>
      <c r="E1334" s="308"/>
      <c r="F1334" s="453" t="s">
        <v>3592</v>
      </c>
      <c r="G1334" s="453" t="s">
        <v>3593</v>
      </c>
      <c r="H1334" s="199" t="s">
        <v>3594</v>
      </c>
      <c r="I1334" s="199"/>
      <c r="J1334" s="200">
        <v>6</v>
      </c>
      <c r="K1334" s="293"/>
      <c r="L1334" s="422"/>
    </row>
    <row r="1335" spans="1:12" s="317" customFormat="1" x14ac:dyDescent="0.25">
      <c r="A1335" s="308" t="s">
        <v>3595</v>
      </c>
      <c r="B1335" s="308">
        <v>1750101350000</v>
      </c>
      <c r="C1335" s="308"/>
      <c r="D1335" s="308"/>
      <c r="E1335" s="308"/>
      <c r="F1335" s="453" t="s">
        <v>3596</v>
      </c>
      <c r="G1335" s="453">
        <v>122090</v>
      </c>
      <c r="H1335" s="199" t="s">
        <v>3597</v>
      </c>
      <c r="I1335" s="199"/>
      <c r="J1335" s="200">
        <v>1</v>
      </c>
      <c r="K1335" s="293"/>
      <c r="L1335" s="422"/>
    </row>
    <row r="1336" spans="1:12" s="317" customFormat="1" x14ac:dyDescent="0.25">
      <c r="A1336" s="311" t="s">
        <v>3595</v>
      </c>
      <c r="B1336" s="310" t="s">
        <v>3598</v>
      </c>
      <c r="C1336" s="308"/>
      <c r="D1336" s="308"/>
      <c r="E1336" s="308"/>
      <c r="F1336" s="373" t="s">
        <v>3599</v>
      </c>
      <c r="G1336" s="453"/>
      <c r="H1336" s="199" t="s">
        <v>1345</v>
      </c>
      <c r="I1336" s="199"/>
      <c r="J1336" s="200">
        <v>1</v>
      </c>
      <c r="K1336" s="293"/>
      <c r="L1336" s="422"/>
    </row>
    <row r="1337" spans="1:12" s="317" customFormat="1" x14ac:dyDescent="0.25">
      <c r="A1337" s="308" t="s">
        <v>3595</v>
      </c>
      <c r="B1337" s="212" t="s">
        <v>3600</v>
      </c>
      <c r="C1337" s="483"/>
      <c r="D1337" s="308"/>
      <c r="E1337" s="338"/>
      <c r="F1337" s="453" t="s">
        <v>3601</v>
      </c>
      <c r="G1337" s="507"/>
      <c r="H1337" s="199" t="s">
        <v>1345</v>
      </c>
      <c r="I1337" s="199"/>
      <c r="J1337" s="200">
        <v>1</v>
      </c>
      <c r="K1337" s="293"/>
      <c r="L1337" s="422"/>
    </row>
    <row r="1338" spans="1:12" s="317" customFormat="1" x14ac:dyDescent="0.25">
      <c r="A1338" s="308" t="s">
        <v>314</v>
      </c>
      <c r="B1338" s="212" t="s">
        <v>3572</v>
      </c>
      <c r="C1338" s="483"/>
      <c r="D1338" s="308"/>
      <c r="E1338" s="338"/>
      <c r="F1338" s="453" t="s">
        <v>3573</v>
      </c>
      <c r="G1338" s="507" t="s">
        <v>3602</v>
      </c>
      <c r="H1338" s="199" t="s">
        <v>621</v>
      </c>
      <c r="I1338" s="199"/>
      <c r="J1338" s="200">
        <v>5</v>
      </c>
      <c r="K1338" s="293"/>
      <c r="L1338" s="422"/>
    </row>
    <row r="1339" spans="1:12" s="317" customFormat="1" x14ac:dyDescent="0.25">
      <c r="A1339" s="308" t="s">
        <v>314</v>
      </c>
      <c r="B1339" s="468" t="s">
        <v>634</v>
      </c>
      <c r="C1339" s="483"/>
      <c r="D1339" s="308"/>
      <c r="E1339" s="338"/>
      <c r="F1339" s="453" t="s">
        <v>3603</v>
      </c>
      <c r="G1339" s="507" t="s">
        <v>3604</v>
      </c>
      <c r="H1339" s="453" t="s">
        <v>442</v>
      </c>
      <c r="I1339" s="199"/>
      <c r="J1339" s="200">
        <v>1</v>
      </c>
      <c r="K1339" s="293"/>
      <c r="L1339" s="422"/>
    </row>
    <row r="1340" spans="1:12" s="317" customFormat="1" x14ac:dyDescent="0.25">
      <c r="A1340" s="308" t="s">
        <v>27</v>
      </c>
      <c r="B1340" s="212">
        <v>1357007411600</v>
      </c>
      <c r="C1340" s="483"/>
      <c r="D1340" s="308"/>
      <c r="E1340" s="338"/>
      <c r="F1340" s="212" t="s">
        <v>3605</v>
      </c>
      <c r="G1340" s="483" t="s">
        <v>3606</v>
      </c>
      <c r="H1340" s="199" t="s">
        <v>3607</v>
      </c>
      <c r="I1340" s="199"/>
      <c r="J1340" s="200">
        <v>5</v>
      </c>
      <c r="K1340" s="293"/>
      <c r="L1340" s="422"/>
    </row>
    <row r="1341" spans="1:12" s="317" customFormat="1" x14ac:dyDescent="0.25">
      <c r="A1341" s="308" t="s">
        <v>27</v>
      </c>
      <c r="B1341" s="212">
        <v>1357007413300</v>
      </c>
      <c r="C1341" s="359"/>
      <c r="D1341" s="212"/>
      <c r="E1341" s="361"/>
      <c r="F1341" s="212" t="s">
        <v>3608</v>
      </c>
      <c r="G1341" s="359" t="s">
        <v>3609</v>
      </c>
      <c r="H1341" s="199" t="s">
        <v>3607</v>
      </c>
      <c r="I1341" s="199"/>
      <c r="J1341" s="200">
        <v>1</v>
      </c>
      <c r="K1341" s="293"/>
      <c r="L1341" s="422"/>
    </row>
    <row r="1342" spans="1:12" s="317" customFormat="1" x14ac:dyDescent="0.25">
      <c r="A1342" s="308" t="s">
        <v>27</v>
      </c>
      <c r="B1342" s="212">
        <v>1357007413400</v>
      </c>
      <c r="C1342" s="359"/>
      <c r="D1342" s="212"/>
      <c r="E1342" s="361"/>
      <c r="F1342" s="212" t="s">
        <v>3610</v>
      </c>
      <c r="G1342" s="359" t="s">
        <v>3611</v>
      </c>
      <c r="H1342" s="199" t="s">
        <v>3607</v>
      </c>
      <c r="I1342" s="199"/>
      <c r="J1342" s="200">
        <v>1</v>
      </c>
      <c r="K1342" s="293"/>
      <c r="L1342" s="422"/>
    </row>
    <row r="1343" spans="1:12" s="317" customFormat="1" x14ac:dyDescent="0.25">
      <c r="A1343" s="39" t="s">
        <v>27</v>
      </c>
      <c r="B1343" s="331">
        <v>1357007413500</v>
      </c>
      <c r="C1343" s="488" t="s">
        <v>3612</v>
      </c>
      <c r="D1343" s="470" t="s">
        <v>3613</v>
      </c>
      <c r="E1343" s="493"/>
      <c r="F1343" s="331" t="s">
        <v>3612</v>
      </c>
      <c r="G1343" s="488" t="s">
        <v>3613</v>
      </c>
      <c r="H1343" s="393" t="s">
        <v>3607</v>
      </c>
      <c r="I1343" s="393"/>
      <c r="J1343" s="394">
        <v>1</v>
      </c>
      <c r="K1343" s="395"/>
    </row>
    <row r="1344" spans="1:12" s="317" customFormat="1" x14ac:dyDescent="0.25">
      <c r="A1344" s="39" t="s">
        <v>3569</v>
      </c>
      <c r="B1344" s="331">
        <v>1390701502500</v>
      </c>
      <c r="C1344" s="488"/>
      <c r="D1344" s="470"/>
      <c r="E1344" s="493"/>
      <c r="F1344" s="331" t="s">
        <v>3614</v>
      </c>
      <c r="G1344" s="488" t="s">
        <v>3615</v>
      </c>
      <c r="H1344" s="393" t="s">
        <v>125</v>
      </c>
      <c r="I1344" s="393"/>
      <c r="J1344" s="394">
        <v>2</v>
      </c>
      <c r="K1344" s="395"/>
    </row>
    <row r="1345" spans="1:11" x14ac:dyDescent="0.25">
      <c r="A1345" s="392"/>
      <c r="B1345" s="331">
        <v>6052100006</v>
      </c>
      <c r="C1345" s="470"/>
      <c r="D1345" s="470"/>
      <c r="E1345" s="470"/>
      <c r="F1345" s="470" t="s">
        <v>3616</v>
      </c>
      <c r="G1345" s="470"/>
      <c r="H1345" s="393" t="s">
        <v>80</v>
      </c>
      <c r="I1345" s="393"/>
      <c r="J1345" s="394">
        <v>1</v>
      </c>
      <c r="K1345" s="395"/>
    </row>
    <row r="1346" spans="1:11" x14ac:dyDescent="0.25">
      <c r="A1346" s="311"/>
      <c r="B1346" s="310"/>
      <c r="C1346" s="310"/>
      <c r="D1346" s="310"/>
      <c r="E1346" s="310"/>
      <c r="F1346" s="310"/>
      <c r="G1346" s="310"/>
      <c r="H1346" s="295"/>
      <c r="I1346" s="295"/>
      <c r="J1346" s="296"/>
      <c r="K1346" s="297"/>
    </row>
    <row r="1347" spans="1:11" x14ac:dyDescent="0.25">
      <c r="A1347" s="308"/>
      <c r="B1347" s="212"/>
      <c r="C1347" s="212"/>
      <c r="D1347" s="212"/>
      <c r="E1347" s="212"/>
      <c r="F1347" s="212"/>
      <c r="G1347" s="212"/>
      <c r="H1347" s="199"/>
      <c r="I1347" s="199"/>
      <c r="J1347" s="200"/>
      <c r="K1347" s="293"/>
    </row>
    <row r="1348" spans="1:11" x14ac:dyDescent="0.25">
      <c r="A1348" s="39"/>
      <c r="B1348" s="331"/>
      <c r="C1348" s="331"/>
      <c r="D1348" s="331"/>
      <c r="E1348" s="331"/>
      <c r="F1348" s="331"/>
      <c r="G1348" s="331"/>
      <c r="H1348" s="28"/>
      <c r="I1348" s="28"/>
      <c r="J1348" s="40"/>
      <c r="K1348" s="30"/>
    </row>
    <row r="1349" spans="1:11" x14ac:dyDescent="0.25">
      <c r="A1349" s="39"/>
      <c r="C1349" s="39"/>
      <c r="D1349" s="39"/>
      <c r="E1349" s="39"/>
      <c r="F1349" s="28"/>
      <c r="G1349" s="28"/>
      <c r="H1349" s="28"/>
      <c r="I1349" s="28"/>
      <c r="J1349" s="40"/>
      <c r="K1349" s="30"/>
    </row>
    <row r="1350" spans="1:11" x14ac:dyDescent="0.25">
      <c r="A1350" s="31"/>
      <c r="B1350" s="362"/>
      <c r="C1350" s="31"/>
      <c r="D1350" s="31"/>
      <c r="E1350" s="31"/>
      <c r="F1350" s="32"/>
      <c r="G1350" s="32"/>
      <c r="H1350" s="32"/>
      <c r="I1350" s="32"/>
      <c r="J1350" s="33"/>
      <c r="K1350" s="34"/>
    </row>
    <row r="1351" spans="1:11" x14ac:dyDescent="0.25">
      <c r="A1351" s="458" t="s">
        <v>3617</v>
      </c>
      <c r="B1351" s="472"/>
      <c r="C1351" s="472"/>
      <c r="D1351" s="472"/>
      <c r="E1351" s="472"/>
      <c r="F1351" s="472"/>
      <c r="G1351" s="472"/>
      <c r="H1351" s="472"/>
      <c r="I1351" s="472"/>
      <c r="J1351" s="514"/>
      <c r="K1351" s="525"/>
    </row>
    <row r="1352" spans="1:11" ht="18.75" x14ac:dyDescent="0.3">
      <c r="A1352" s="327"/>
      <c r="B1352" s="327" t="s">
        <v>37</v>
      </c>
      <c r="C1352" s="327"/>
      <c r="D1352" s="327"/>
      <c r="E1352" s="327"/>
      <c r="F1352" s="365"/>
      <c r="G1352" s="372"/>
      <c r="H1352" s="372"/>
      <c r="I1352" s="372"/>
      <c r="J1352" s="380"/>
      <c r="K1352" s="380"/>
    </row>
    <row r="1353" spans="1:11" ht="15.75" x14ac:dyDescent="0.25">
      <c r="A1353" s="332"/>
      <c r="B1353" s="332" t="s">
        <v>3618</v>
      </c>
      <c r="C1353" s="332"/>
      <c r="D1353" s="332"/>
      <c r="E1353" s="332"/>
      <c r="F1353" s="32"/>
      <c r="G1353" s="32"/>
      <c r="H1353" s="32"/>
      <c r="I1353" s="32"/>
      <c r="J1353" s="389"/>
      <c r="K1353" s="36"/>
    </row>
    <row r="1354" spans="1:11" x14ac:dyDescent="0.25">
      <c r="A1354" s="31"/>
      <c r="B1354" s="31"/>
      <c r="C1354" s="31"/>
      <c r="D1354" s="31"/>
      <c r="E1354" s="31"/>
      <c r="F1354" s="32"/>
      <c r="G1354" s="32"/>
      <c r="H1354" s="32"/>
      <c r="I1354" s="32"/>
      <c r="J1354" s="33"/>
      <c r="K1354" s="34"/>
    </row>
    <row r="1355" spans="1:11" x14ac:dyDescent="0.25">
      <c r="A1355" s="31"/>
      <c r="B1355" s="31"/>
      <c r="C1355" s="31"/>
      <c r="D1355" s="31"/>
      <c r="E1355" s="31"/>
      <c r="F1355" s="32"/>
      <c r="G1355" s="32"/>
      <c r="H1355" s="32"/>
      <c r="I1355" s="32"/>
      <c r="J1355" s="33"/>
      <c r="K1355" s="34"/>
    </row>
    <row r="1356" spans="1:11" ht="15.75" x14ac:dyDescent="0.25">
      <c r="A1356" s="332"/>
      <c r="B1356" s="332" t="s">
        <v>3619</v>
      </c>
      <c r="C1356" s="332"/>
      <c r="D1356" s="332"/>
      <c r="E1356" s="332"/>
      <c r="F1356" s="32"/>
      <c r="G1356" s="32"/>
      <c r="H1356" s="32"/>
      <c r="I1356" s="32"/>
      <c r="J1356" s="33"/>
      <c r="K1356" s="34"/>
    </row>
    <row r="1357" spans="1:11" ht="15.75" x14ac:dyDescent="0.25">
      <c r="A1357" s="39"/>
      <c r="B1357" s="27" t="s">
        <v>58</v>
      </c>
      <c r="C1357" s="39"/>
      <c r="D1357" s="39"/>
      <c r="E1357" s="39"/>
      <c r="F1357" s="28"/>
      <c r="G1357" s="28"/>
      <c r="H1357" s="28"/>
      <c r="I1357" s="28"/>
      <c r="J1357" s="40"/>
      <c r="K1357" s="30"/>
    </row>
    <row r="1358" spans="1:11" ht="15.75" x14ac:dyDescent="0.25">
      <c r="A1358" s="332"/>
      <c r="B1358" s="332" t="s">
        <v>3620</v>
      </c>
      <c r="C1358" s="332"/>
      <c r="D1358" s="332"/>
      <c r="E1358" s="332"/>
      <c r="F1358" s="32"/>
      <c r="G1358" s="32"/>
      <c r="H1358" s="32"/>
      <c r="I1358" s="32"/>
      <c r="J1358" s="32"/>
      <c r="K1358" s="34"/>
    </row>
    <row r="1359" spans="1:11" x14ac:dyDescent="0.25">
      <c r="A1359" s="31"/>
      <c r="B1359" s="31"/>
      <c r="C1359" s="31"/>
      <c r="D1359" s="31"/>
      <c r="E1359" s="31"/>
      <c r="F1359" s="32"/>
      <c r="G1359" s="32"/>
      <c r="H1359" s="32"/>
      <c r="I1359" s="32"/>
      <c r="J1359" s="31"/>
      <c r="K1359" s="371"/>
    </row>
    <row r="1360" spans="1:11" x14ac:dyDescent="0.25">
      <c r="A1360" s="73"/>
      <c r="B1360" s="73" t="s">
        <v>3621</v>
      </c>
      <c r="C1360" s="73"/>
      <c r="D1360" s="73"/>
      <c r="E1360" s="73"/>
      <c r="F1360" s="32"/>
      <c r="G1360" s="32"/>
      <c r="H1360" s="32"/>
      <c r="I1360" s="32"/>
      <c r="J1360" s="33"/>
      <c r="K1360" s="34"/>
    </row>
    <row r="1361" spans="1:11" x14ac:dyDescent="0.25">
      <c r="A1361" s="31"/>
      <c r="B1361" s="31"/>
      <c r="C1361" s="31"/>
      <c r="D1361" s="31"/>
      <c r="E1361" s="31"/>
      <c r="F1361" s="32"/>
      <c r="G1361" s="32"/>
      <c r="H1361" s="32"/>
      <c r="I1361" s="32"/>
      <c r="J1361" s="33"/>
      <c r="K1361" s="34"/>
    </row>
    <row r="1362" spans="1:11" ht="18.75" x14ac:dyDescent="0.3">
      <c r="A1362" s="327"/>
      <c r="B1362" s="327" t="s">
        <v>3622</v>
      </c>
      <c r="C1362" s="327"/>
      <c r="D1362" s="327"/>
      <c r="E1362" s="327"/>
      <c r="F1362" s="365"/>
      <c r="G1362" s="372"/>
      <c r="H1362" s="372"/>
      <c r="I1362" s="372"/>
      <c r="J1362" s="380"/>
      <c r="K1362" s="333"/>
    </row>
    <row r="1363" spans="1:11" ht="15.75" x14ac:dyDescent="0.25">
      <c r="A1363" s="332"/>
      <c r="B1363" s="332" t="s">
        <v>3623</v>
      </c>
      <c r="C1363" s="332"/>
      <c r="D1363" s="332"/>
      <c r="E1363" s="332"/>
      <c r="F1363" s="32"/>
      <c r="G1363" s="32"/>
      <c r="H1363" s="32"/>
      <c r="I1363" s="32"/>
      <c r="J1363" s="33"/>
      <c r="K1363" s="34"/>
    </row>
    <row r="1364" spans="1:11" x14ac:dyDescent="0.25">
      <c r="A1364" s="39"/>
      <c r="B1364" s="39"/>
      <c r="C1364" s="39"/>
      <c r="D1364" s="39"/>
      <c r="E1364" s="39"/>
      <c r="F1364" s="28"/>
      <c r="G1364" s="28"/>
      <c r="H1364" s="28"/>
      <c r="I1364" s="28"/>
      <c r="J1364" s="39"/>
      <c r="K1364" s="44"/>
    </row>
    <row r="1365" spans="1:11" ht="15.75" x14ac:dyDescent="0.25">
      <c r="A1365" s="332"/>
      <c r="B1365" s="332" t="s">
        <v>401</v>
      </c>
      <c r="C1365" s="332"/>
      <c r="D1365" s="332"/>
      <c r="E1365" s="332"/>
      <c r="F1365" s="32"/>
      <c r="G1365" s="32"/>
      <c r="H1365" s="32"/>
      <c r="I1365" s="32"/>
      <c r="J1365" s="31"/>
      <c r="K1365" s="371"/>
    </row>
    <row r="1366" spans="1:11" ht="15.75" x14ac:dyDescent="0.25">
      <c r="A1366" s="335"/>
      <c r="B1366" s="335"/>
      <c r="C1366" s="335"/>
      <c r="D1366" s="335"/>
      <c r="E1366" s="335"/>
      <c r="F1366" s="32"/>
      <c r="G1366" s="32"/>
      <c r="H1366" s="32"/>
      <c r="I1366" s="32"/>
      <c r="J1366" s="33"/>
      <c r="K1366" s="34"/>
    </row>
    <row r="1367" spans="1:11" ht="18.75" x14ac:dyDescent="0.3">
      <c r="A1367" s="327"/>
      <c r="B1367" s="327" t="s">
        <v>3624</v>
      </c>
      <c r="C1367" s="327"/>
      <c r="D1367" s="327"/>
      <c r="E1367" s="327"/>
      <c r="F1367" s="365"/>
      <c r="G1367" s="372"/>
      <c r="H1367" s="372"/>
      <c r="I1367" s="372"/>
      <c r="J1367" s="380"/>
      <c r="K1367" s="333"/>
    </row>
    <row r="1368" spans="1:11" x14ac:dyDescent="0.25">
      <c r="A1368" s="31"/>
      <c r="B1368" s="31"/>
      <c r="C1368" s="31"/>
      <c r="D1368" s="31"/>
      <c r="E1368" s="31"/>
      <c r="F1368" s="32"/>
      <c r="G1368" s="32"/>
      <c r="H1368" s="32"/>
      <c r="I1368" s="32"/>
      <c r="J1368" s="33"/>
      <c r="K1368" s="34"/>
    </row>
    <row r="1369" spans="1:11" ht="18.75" x14ac:dyDescent="0.3">
      <c r="A1369" s="327"/>
      <c r="B1369" s="327" t="s">
        <v>3625</v>
      </c>
      <c r="C1369" s="327"/>
      <c r="D1369" s="327"/>
      <c r="E1369" s="327"/>
      <c r="F1369" s="365"/>
      <c r="G1369" s="372"/>
      <c r="H1369" s="372"/>
      <c r="I1369" s="372"/>
      <c r="J1369" s="380"/>
      <c r="K1369" s="333"/>
    </row>
    <row r="1370" spans="1:11" x14ac:dyDescent="0.25">
      <c r="A1370" s="31"/>
      <c r="B1370" s="31"/>
      <c r="C1370" s="31"/>
      <c r="D1370" s="31"/>
      <c r="E1370" s="31"/>
      <c r="F1370" s="32"/>
      <c r="G1370" s="32"/>
      <c r="H1370" s="32"/>
      <c r="I1370" s="32"/>
      <c r="J1370" s="33"/>
      <c r="K1370" s="34"/>
    </row>
    <row r="1371" spans="1:11" ht="18.75" x14ac:dyDescent="0.3">
      <c r="A1371" s="327"/>
      <c r="B1371" s="327" t="s">
        <v>108</v>
      </c>
      <c r="C1371" s="327"/>
      <c r="D1371" s="327"/>
      <c r="E1371" s="327"/>
      <c r="F1371" s="365"/>
      <c r="G1371" s="372"/>
      <c r="H1371" s="372"/>
      <c r="I1371" s="372"/>
      <c r="J1371" s="380"/>
      <c r="K1371" s="333"/>
    </row>
    <row r="1372" spans="1:11" x14ac:dyDescent="0.25">
      <c r="A1372" s="31"/>
      <c r="B1372" s="31"/>
      <c r="C1372" s="31"/>
      <c r="D1372" s="31"/>
      <c r="E1372" s="31"/>
      <c r="F1372" s="32"/>
      <c r="G1372" s="32"/>
      <c r="H1372" s="32"/>
      <c r="I1372" s="32"/>
      <c r="J1372" s="33"/>
      <c r="K1372" s="36"/>
    </row>
    <row r="1373" spans="1:11" x14ac:dyDescent="0.25">
      <c r="A1373" s="31"/>
      <c r="B1373" s="31"/>
      <c r="C1373" s="31"/>
      <c r="D1373" s="31"/>
      <c r="E1373" s="31"/>
      <c r="F1373" s="32"/>
      <c r="G1373" s="32"/>
      <c r="H1373" s="32"/>
      <c r="I1373" s="32"/>
      <c r="J1373" s="33"/>
      <c r="K1373" s="36"/>
    </row>
    <row r="1374" spans="1:11" ht="18.75" x14ac:dyDescent="0.3">
      <c r="A1374" s="327"/>
      <c r="B1374" s="327" t="s">
        <v>3626</v>
      </c>
      <c r="C1374" s="327"/>
      <c r="D1374" s="327"/>
      <c r="E1374" s="327"/>
      <c r="F1374" s="327"/>
      <c r="G1374" s="327"/>
      <c r="H1374" s="327"/>
      <c r="I1374" s="327"/>
      <c r="J1374" s="327"/>
      <c r="K1374" s="327"/>
    </row>
    <row r="1375" spans="1:11" x14ac:dyDescent="0.25">
      <c r="A1375" s="39"/>
      <c r="B1375" s="331"/>
      <c r="C1375" s="331"/>
      <c r="D1375" s="331"/>
      <c r="E1375" s="331"/>
      <c r="F1375" s="9"/>
      <c r="G1375" s="9"/>
      <c r="H1375" s="9"/>
      <c r="I1375" s="9"/>
      <c r="J1375" s="40"/>
      <c r="K1375" s="47"/>
    </row>
    <row r="1376" spans="1:11" ht="18.75" x14ac:dyDescent="0.3">
      <c r="A1376" s="337"/>
      <c r="B1376" s="337" t="s">
        <v>3627</v>
      </c>
      <c r="C1376" s="337"/>
      <c r="D1376" s="337"/>
      <c r="E1376" s="337"/>
      <c r="F1376" s="367"/>
      <c r="G1376" s="52"/>
      <c r="H1376" s="52"/>
      <c r="I1376" s="52"/>
      <c r="J1376" s="53"/>
      <c r="K1376" s="38"/>
    </row>
    <row r="1377" spans="1:11" x14ac:dyDescent="0.25">
      <c r="A1377" s="73"/>
      <c r="B1377" s="73" t="s">
        <v>3628</v>
      </c>
      <c r="C1377" s="73"/>
      <c r="D1377" s="73"/>
      <c r="E1377" s="73"/>
      <c r="F1377" s="32"/>
      <c r="G1377" s="32"/>
      <c r="H1377" s="32"/>
      <c r="I1377" s="32"/>
      <c r="J1377" s="33"/>
      <c r="K1377" s="34"/>
    </row>
    <row r="1378" spans="1:11" x14ac:dyDescent="0.25">
      <c r="A1378" s="31"/>
      <c r="B1378" s="31"/>
      <c r="C1378" s="31"/>
      <c r="D1378" s="31"/>
      <c r="E1378" s="31"/>
      <c r="F1378" s="32"/>
      <c r="G1378" s="32"/>
      <c r="H1378" s="32"/>
      <c r="I1378" s="32"/>
      <c r="J1378" s="33"/>
      <c r="K1378" s="34"/>
    </row>
    <row r="1379" spans="1:11" x14ac:dyDescent="0.25">
      <c r="A1379" s="73"/>
      <c r="B1379" s="73" t="s">
        <v>3629</v>
      </c>
      <c r="C1379" s="73"/>
      <c r="D1379" s="73"/>
      <c r="E1379" s="73"/>
      <c r="F1379" s="32"/>
      <c r="G1379" s="32"/>
      <c r="H1379" s="32"/>
      <c r="I1379" s="32"/>
      <c r="J1379" s="33"/>
      <c r="K1379" s="526"/>
    </row>
    <row r="1380" spans="1:11" x14ac:dyDescent="0.25">
      <c r="A1380" s="73"/>
      <c r="B1380" s="73" t="s">
        <v>3630</v>
      </c>
      <c r="C1380" s="73"/>
      <c r="D1380" s="73"/>
      <c r="E1380" s="73"/>
      <c r="F1380" s="32"/>
      <c r="G1380" s="32"/>
      <c r="H1380" s="32"/>
      <c r="I1380" s="32"/>
      <c r="J1380" s="33"/>
      <c r="K1380" s="34"/>
    </row>
    <row r="1381" spans="1:11" x14ac:dyDescent="0.25">
      <c r="A1381" s="73"/>
      <c r="B1381" s="73" t="s">
        <v>3631</v>
      </c>
      <c r="C1381" s="73"/>
      <c r="D1381" s="73"/>
      <c r="E1381" s="73"/>
      <c r="F1381" s="32"/>
      <c r="G1381" s="32"/>
      <c r="H1381" s="32"/>
      <c r="I1381" s="32"/>
      <c r="J1381" s="33"/>
      <c r="K1381" s="34"/>
    </row>
    <row r="1382" spans="1:11" x14ac:dyDescent="0.25">
      <c r="A1382" s="73"/>
      <c r="B1382" s="73" t="s">
        <v>3632</v>
      </c>
      <c r="C1382" s="73"/>
      <c r="D1382" s="73"/>
      <c r="E1382" s="73"/>
      <c r="F1382" s="32"/>
      <c r="G1382" s="32"/>
      <c r="H1382" s="32"/>
      <c r="I1382" s="32"/>
      <c r="J1382" s="33"/>
      <c r="K1382" s="34"/>
    </row>
    <row r="1383" spans="1:11" x14ac:dyDescent="0.25">
      <c r="A1383" s="48"/>
      <c r="B1383" s="48" t="s">
        <v>3633</v>
      </c>
      <c r="C1383" s="48"/>
      <c r="D1383" s="48"/>
      <c r="E1383" s="48"/>
      <c r="F1383" s="28"/>
      <c r="G1383" s="28"/>
      <c r="H1383" s="28"/>
      <c r="I1383" s="28"/>
      <c r="J1383" s="40"/>
      <c r="K1383" s="30"/>
    </row>
    <row r="1384" spans="1:11" x14ac:dyDescent="0.25">
      <c r="A1384" s="39"/>
      <c r="B1384" s="48" t="s">
        <v>3634</v>
      </c>
      <c r="C1384" s="48"/>
      <c r="D1384" s="39"/>
      <c r="E1384" s="39"/>
      <c r="F1384" s="28"/>
      <c r="G1384" s="127"/>
      <c r="H1384" s="127"/>
      <c r="I1384" s="28"/>
      <c r="J1384" s="40"/>
      <c r="K1384" s="30"/>
    </row>
    <row r="1385" spans="1:11" x14ac:dyDescent="0.25">
      <c r="A1385" s="31"/>
      <c r="B1385" s="73" t="s">
        <v>3635</v>
      </c>
      <c r="C1385" s="73"/>
      <c r="D1385" s="31"/>
      <c r="E1385" s="31"/>
      <c r="F1385" s="32"/>
      <c r="G1385" s="32"/>
      <c r="H1385" s="32"/>
      <c r="I1385" s="32"/>
      <c r="J1385" s="33"/>
      <c r="K1385" s="289"/>
    </row>
    <row r="1386" spans="1:11" x14ac:dyDescent="0.25">
      <c r="A1386" s="31"/>
      <c r="B1386" s="73" t="s">
        <v>3636</v>
      </c>
      <c r="C1386" s="73"/>
      <c r="D1386" s="31"/>
      <c r="E1386" s="31"/>
      <c r="F1386" s="32"/>
      <c r="G1386" s="32"/>
      <c r="H1386" s="32"/>
      <c r="I1386" s="32"/>
      <c r="J1386" s="33"/>
      <c r="K1386" s="289"/>
    </row>
    <row r="1387" spans="1:11" x14ac:dyDescent="0.25">
      <c r="A1387" s="31"/>
      <c r="B1387" s="73" t="s">
        <v>3637</v>
      </c>
      <c r="C1387" s="73"/>
      <c r="D1387" s="31"/>
      <c r="E1387" s="31"/>
      <c r="F1387" s="32"/>
      <c r="G1387" s="32"/>
      <c r="H1387" s="32"/>
      <c r="I1387" s="32"/>
      <c r="J1387" s="33"/>
      <c r="K1387" s="289"/>
    </row>
    <row r="1388" spans="1:11" ht="18.75" x14ac:dyDescent="0.3">
      <c r="A1388" s="337"/>
      <c r="B1388" s="337" t="s">
        <v>3638</v>
      </c>
      <c r="C1388" s="337"/>
      <c r="D1388" s="337"/>
      <c r="E1388" s="337"/>
      <c r="F1388" s="367"/>
      <c r="G1388" s="52"/>
      <c r="H1388" s="52"/>
      <c r="I1388" s="52"/>
      <c r="J1388" s="53"/>
      <c r="K1388" s="38"/>
    </row>
    <row r="1389" spans="1:11" x14ac:dyDescent="0.25">
      <c r="A1389" s="31"/>
      <c r="B1389" s="31"/>
      <c r="C1389" s="31"/>
      <c r="D1389" s="31"/>
      <c r="E1389" s="31"/>
      <c r="F1389" s="32"/>
      <c r="G1389" s="32"/>
      <c r="H1389" s="32"/>
      <c r="I1389" s="32"/>
      <c r="J1389" s="33"/>
      <c r="K1389" s="289"/>
    </row>
    <row r="1390" spans="1:11" ht="18.75" x14ac:dyDescent="0.3">
      <c r="A1390" s="337"/>
      <c r="B1390" s="337" t="s">
        <v>3639</v>
      </c>
      <c r="C1390" s="337"/>
      <c r="D1390" s="337"/>
      <c r="E1390" s="337"/>
      <c r="F1390" s="367"/>
      <c r="G1390" s="52"/>
      <c r="H1390" s="52"/>
      <c r="I1390" s="52"/>
      <c r="J1390" s="53"/>
      <c r="K1390" s="38"/>
    </row>
    <row r="1391" spans="1:11" x14ac:dyDescent="0.25">
      <c r="A1391" s="73"/>
      <c r="B1391" s="73" t="s">
        <v>3640</v>
      </c>
      <c r="C1391" s="73"/>
      <c r="D1391" s="73"/>
      <c r="E1391" s="73"/>
      <c r="F1391" s="32"/>
      <c r="G1391" s="32"/>
      <c r="H1391" s="32"/>
      <c r="I1391" s="32"/>
      <c r="J1391" s="33"/>
      <c r="K1391" s="289"/>
    </row>
    <row r="1392" spans="1:11" x14ac:dyDescent="0.25">
      <c r="A1392" s="31"/>
      <c r="B1392" s="31"/>
      <c r="C1392" s="31"/>
      <c r="D1392" s="31"/>
      <c r="E1392" s="31"/>
      <c r="F1392" s="32"/>
      <c r="G1392" s="32"/>
      <c r="H1392" s="32"/>
      <c r="I1392" s="32"/>
      <c r="J1392" s="33"/>
      <c r="K1392" s="289"/>
    </row>
    <row r="1393" spans="1:11" x14ac:dyDescent="0.25">
      <c r="A1393" s="73"/>
      <c r="B1393" s="73" t="s">
        <v>3641</v>
      </c>
      <c r="C1393" s="73"/>
      <c r="D1393" s="73"/>
      <c r="E1393" s="73"/>
      <c r="F1393" s="32"/>
      <c r="G1393" s="32"/>
      <c r="H1393" s="32"/>
      <c r="I1393" s="32"/>
      <c r="J1393" s="33"/>
      <c r="K1393" s="289"/>
    </row>
    <row r="1394" spans="1:11" x14ac:dyDescent="0.25">
      <c r="A1394" s="31"/>
      <c r="B1394" s="31"/>
      <c r="C1394" s="31"/>
      <c r="D1394" s="31"/>
      <c r="E1394" s="31"/>
      <c r="F1394" s="32"/>
      <c r="G1394" s="32"/>
      <c r="H1394" s="32"/>
      <c r="I1394" s="32"/>
      <c r="J1394" s="33"/>
      <c r="K1394" s="289"/>
    </row>
    <row r="1395" spans="1:11" x14ac:dyDescent="0.25">
      <c r="A1395" s="73"/>
      <c r="B1395" s="73" t="s">
        <v>3642</v>
      </c>
      <c r="C1395" s="73"/>
      <c r="D1395" s="73"/>
      <c r="E1395" s="73"/>
      <c r="F1395" s="32"/>
      <c r="G1395" s="32"/>
      <c r="H1395" s="32"/>
      <c r="I1395" s="32"/>
      <c r="J1395" s="33"/>
      <c r="K1395" s="289"/>
    </row>
    <row r="1396" spans="1:11" x14ac:dyDescent="0.25">
      <c r="A1396" s="73"/>
      <c r="B1396" s="73" t="s">
        <v>3643</v>
      </c>
      <c r="C1396" s="73"/>
      <c r="D1396" s="73"/>
      <c r="E1396" s="73"/>
      <c r="F1396" s="32"/>
      <c r="G1396" s="32"/>
      <c r="H1396" s="32"/>
      <c r="I1396" s="32"/>
      <c r="J1396" s="33"/>
      <c r="K1396" s="289"/>
    </row>
    <row r="1397" spans="1:11" x14ac:dyDescent="0.25">
      <c r="A1397" s="31"/>
      <c r="B1397" s="31"/>
      <c r="C1397" s="31"/>
      <c r="D1397" s="31"/>
      <c r="E1397" s="31"/>
      <c r="F1397" s="32"/>
      <c r="G1397" s="32"/>
      <c r="H1397" s="32"/>
      <c r="I1397" s="32"/>
      <c r="J1397" s="33"/>
      <c r="K1397" s="289"/>
    </row>
    <row r="1398" spans="1:11" x14ac:dyDescent="0.25">
      <c r="A1398" s="73"/>
      <c r="B1398" s="73" t="s">
        <v>3644</v>
      </c>
      <c r="C1398" s="73"/>
      <c r="D1398" s="73"/>
      <c r="E1398" s="73"/>
      <c r="F1398" s="32"/>
      <c r="G1398" s="32"/>
      <c r="H1398" s="32"/>
      <c r="I1398" s="32"/>
      <c r="J1398" s="33"/>
      <c r="K1398" s="289"/>
    </row>
    <row r="1399" spans="1:11" x14ac:dyDescent="0.25">
      <c r="A1399" s="31"/>
      <c r="B1399" s="31"/>
      <c r="C1399" s="31"/>
      <c r="D1399" s="31"/>
      <c r="E1399" s="31"/>
      <c r="F1399" s="32"/>
      <c r="G1399" s="32"/>
      <c r="H1399" s="32"/>
      <c r="I1399" s="32"/>
      <c r="J1399" s="33"/>
      <c r="K1399" s="34"/>
    </row>
    <row r="1400" spans="1:11" x14ac:dyDescent="0.25">
      <c r="A1400" s="73"/>
      <c r="B1400" s="73" t="s">
        <v>3645</v>
      </c>
      <c r="C1400" s="73"/>
      <c r="D1400" s="73"/>
      <c r="E1400" s="73"/>
      <c r="F1400" s="32"/>
      <c r="G1400" s="32"/>
      <c r="H1400" s="32"/>
      <c r="I1400" s="32"/>
      <c r="J1400" s="33"/>
      <c r="K1400" s="289"/>
    </row>
    <row r="1401" spans="1:11" x14ac:dyDescent="0.25">
      <c r="A1401" s="31"/>
      <c r="B1401" s="31"/>
      <c r="C1401" s="31"/>
      <c r="D1401" s="31"/>
      <c r="E1401" s="31"/>
      <c r="F1401" s="32"/>
      <c r="G1401" s="32"/>
      <c r="H1401" s="32"/>
      <c r="I1401" s="32"/>
      <c r="J1401" s="33"/>
      <c r="K1401" s="34"/>
    </row>
    <row r="1402" spans="1:11" ht="18.75" x14ac:dyDescent="0.3">
      <c r="A1402" s="337"/>
      <c r="B1402" s="337" t="s">
        <v>3646</v>
      </c>
      <c r="C1402" s="337"/>
      <c r="D1402" s="337"/>
      <c r="E1402" s="337"/>
      <c r="F1402" s="367"/>
      <c r="G1402" s="52"/>
      <c r="H1402" s="52"/>
      <c r="I1402" s="52"/>
      <c r="J1402" s="53"/>
      <c r="K1402" s="38"/>
    </row>
    <row r="1403" spans="1:11" x14ac:dyDescent="0.25">
      <c r="A1403" s="73"/>
      <c r="B1403" s="73"/>
      <c r="C1403" s="73"/>
      <c r="D1403" s="73"/>
      <c r="E1403" s="73"/>
      <c r="F1403" s="371"/>
      <c r="G1403" s="32"/>
      <c r="H1403" s="32"/>
      <c r="I1403" s="32"/>
      <c r="J1403" s="33"/>
      <c r="K1403" s="34"/>
    </row>
    <row r="1404" spans="1:11" x14ac:dyDescent="0.25">
      <c r="A1404" s="73"/>
      <c r="B1404" s="73" t="s">
        <v>3647</v>
      </c>
      <c r="C1404" s="73"/>
      <c r="D1404" s="73"/>
      <c r="E1404" s="73"/>
      <c r="F1404" s="32"/>
      <c r="G1404" s="32"/>
      <c r="H1404" s="32"/>
      <c r="I1404" s="32"/>
      <c r="J1404" s="33"/>
      <c r="K1404" s="289"/>
    </row>
    <row r="1405" spans="1:11" x14ac:dyDescent="0.25">
      <c r="A1405" s="31"/>
      <c r="B1405" s="31"/>
      <c r="C1405" s="31"/>
      <c r="D1405" s="31"/>
      <c r="E1405" s="31"/>
      <c r="F1405" s="32"/>
      <c r="G1405" s="32"/>
      <c r="H1405" s="32"/>
      <c r="I1405" s="32"/>
      <c r="J1405" s="33"/>
      <c r="K1405" s="289"/>
    </row>
    <row r="1406" spans="1:11" x14ac:dyDescent="0.25">
      <c r="A1406" s="73"/>
      <c r="B1406" s="73" t="s">
        <v>3648</v>
      </c>
      <c r="C1406" s="73"/>
      <c r="D1406" s="73"/>
      <c r="E1406" s="73"/>
      <c r="F1406" s="32"/>
      <c r="G1406" s="32"/>
      <c r="H1406" s="32"/>
      <c r="I1406" s="32"/>
      <c r="J1406" s="33"/>
      <c r="K1406" s="289"/>
    </row>
    <row r="1407" spans="1:11" x14ac:dyDescent="0.25">
      <c r="A1407" s="73"/>
      <c r="B1407" s="73" t="s">
        <v>3649</v>
      </c>
      <c r="C1407" s="73"/>
      <c r="D1407" s="73"/>
      <c r="E1407" s="73"/>
      <c r="F1407" s="32"/>
      <c r="G1407" s="32"/>
      <c r="H1407" s="32"/>
      <c r="I1407" s="32"/>
      <c r="J1407" s="33"/>
      <c r="K1407" s="289"/>
    </row>
    <row r="1408" spans="1:11" x14ac:dyDescent="0.25">
      <c r="A1408" s="73"/>
      <c r="B1408" s="73" t="s">
        <v>3650</v>
      </c>
      <c r="C1408" s="73"/>
      <c r="D1408" s="73"/>
      <c r="E1408" s="73"/>
      <c r="F1408" s="32"/>
      <c r="G1408" s="32"/>
      <c r="H1408" s="32"/>
      <c r="I1408" s="32"/>
      <c r="J1408" s="33"/>
      <c r="K1408" s="34"/>
    </row>
    <row r="1409" spans="1:11" x14ac:dyDescent="0.25">
      <c r="A1409" s="73"/>
      <c r="B1409" s="73" t="s">
        <v>3651</v>
      </c>
      <c r="C1409" s="73"/>
      <c r="D1409" s="73"/>
      <c r="E1409" s="73"/>
      <c r="F1409" s="32"/>
      <c r="G1409" s="32"/>
      <c r="H1409" s="32"/>
      <c r="I1409" s="32"/>
      <c r="J1409" s="33"/>
      <c r="K1409" s="38"/>
    </row>
    <row r="1410" spans="1:11" x14ac:dyDescent="0.25">
      <c r="A1410" s="31"/>
      <c r="B1410" s="73" t="s">
        <v>3652</v>
      </c>
      <c r="C1410" s="73"/>
      <c r="D1410" s="73"/>
      <c r="E1410" s="73"/>
      <c r="F1410" s="32"/>
      <c r="G1410" s="32"/>
      <c r="H1410" s="32"/>
      <c r="I1410" s="32"/>
      <c r="J1410" s="33"/>
      <c r="K1410" s="34"/>
    </row>
    <row r="1411" spans="1:11" x14ac:dyDescent="0.25">
      <c r="A1411" s="31"/>
      <c r="B1411" s="31"/>
      <c r="C1411" s="31"/>
      <c r="D1411" s="31"/>
      <c r="E1411" s="31"/>
      <c r="F1411" s="32"/>
      <c r="G1411" s="32"/>
      <c r="H1411" s="32"/>
      <c r="I1411" s="32"/>
      <c r="J1411" s="33"/>
      <c r="K1411" s="289"/>
    </row>
    <row r="1412" spans="1:11" x14ac:dyDescent="0.25">
      <c r="A1412" s="73"/>
      <c r="B1412" s="73" t="s">
        <v>3653</v>
      </c>
      <c r="C1412" s="73"/>
      <c r="D1412" s="73"/>
      <c r="E1412" s="73"/>
      <c r="F1412" s="32"/>
      <c r="G1412" s="32"/>
      <c r="H1412" s="32"/>
      <c r="I1412" s="32"/>
      <c r="J1412" s="33"/>
      <c r="K1412" s="289"/>
    </row>
    <row r="1413" spans="1:11" x14ac:dyDescent="0.25">
      <c r="A1413" s="31"/>
      <c r="B1413" s="71"/>
      <c r="C1413" s="71"/>
      <c r="D1413" s="31"/>
      <c r="E1413" s="31"/>
      <c r="F1413" s="31"/>
      <c r="G1413" s="31"/>
      <c r="H1413" s="31"/>
      <c r="I1413" s="31"/>
      <c r="J1413" s="33"/>
      <c r="K1413" s="34"/>
    </row>
    <row r="1414" spans="1:11" x14ac:dyDescent="0.25">
      <c r="A1414" s="31"/>
      <c r="B1414" s="31"/>
      <c r="C1414" s="31"/>
      <c r="D1414" s="31"/>
      <c r="E1414" s="31"/>
      <c r="F1414" s="32"/>
      <c r="G1414" s="32"/>
      <c r="H1414" s="32"/>
      <c r="I1414" s="32"/>
      <c r="J1414" s="33"/>
      <c r="K1414" s="289"/>
    </row>
    <row r="1415" spans="1:11" x14ac:dyDescent="0.25">
      <c r="A1415" s="73"/>
      <c r="B1415" s="73" t="s">
        <v>3654</v>
      </c>
      <c r="C1415" s="73"/>
      <c r="D1415" s="73"/>
      <c r="E1415" s="73"/>
      <c r="F1415" s="32"/>
      <c r="G1415" s="32"/>
      <c r="H1415" s="32"/>
      <c r="I1415" s="32"/>
      <c r="J1415" s="33"/>
      <c r="K1415" s="34"/>
    </row>
    <row r="1416" spans="1:11" x14ac:dyDescent="0.25">
      <c r="A1416" s="31"/>
      <c r="B1416" s="31"/>
      <c r="C1416" s="31"/>
      <c r="D1416" s="31"/>
      <c r="E1416" s="31"/>
      <c r="F1416" s="32"/>
      <c r="G1416" s="32"/>
      <c r="H1416" s="32"/>
      <c r="I1416" s="28"/>
      <c r="J1416" s="40"/>
      <c r="K1416" s="30"/>
    </row>
    <row r="1417" spans="1:11" x14ac:dyDescent="0.25">
      <c r="A1417" s="48"/>
      <c r="B1417" s="48" t="s">
        <v>3655</v>
      </c>
      <c r="C1417" s="48"/>
      <c r="D1417" s="48"/>
      <c r="E1417" s="48"/>
      <c r="F1417" s="28"/>
      <c r="G1417" s="28"/>
      <c r="H1417" s="28"/>
      <c r="I1417" s="28"/>
      <c r="J1417" s="40"/>
      <c r="K1417" s="30"/>
    </row>
    <row r="1418" spans="1:11" x14ac:dyDescent="0.25">
      <c r="A1418" s="31"/>
      <c r="B1418" s="31"/>
      <c r="C1418" s="31"/>
      <c r="D1418" s="31"/>
      <c r="E1418" s="31"/>
      <c r="F1418" s="32"/>
      <c r="G1418" s="32"/>
      <c r="H1418" s="32"/>
      <c r="I1418" s="32"/>
      <c r="J1418" s="33"/>
      <c r="K1418" s="34"/>
    </row>
    <row r="1419" spans="1:11" x14ac:dyDescent="0.25">
      <c r="A1419" s="48"/>
      <c r="B1419" s="48" t="s">
        <v>3656</v>
      </c>
      <c r="C1419" s="48"/>
      <c r="D1419" s="48"/>
      <c r="E1419" s="48"/>
      <c r="F1419" s="28"/>
      <c r="G1419" s="28"/>
      <c r="H1419" s="28"/>
      <c r="I1419" s="28"/>
      <c r="J1419" s="40"/>
      <c r="K1419" s="30"/>
    </row>
    <row r="1420" spans="1:11" x14ac:dyDescent="0.25">
      <c r="A1420" s="31"/>
      <c r="B1420" s="31"/>
      <c r="C1420" s="31"/>
      <c r="D1420" s="31"/>
      <c r="E1420" s="31"/>
      <c r="F1420" s="32"/>
      <c r="G1420" s="32"/>
      <c r="H1420" s="32"/>
      <c r="I1420" s="32"/>
      <c r="J1420" s="33"/>
      <c r="K1420" s="34"/>
    </row>
    <row r="1421" spans="1:11" x14ac:dyDescent="0.25">
      <c r="A1421" s="73"/>
      <c r="B1421" s="73" t="s">
        <v>3657</v>
      </c>
      <c r="C1421" s="73"/>
      <c r="D1421" s="73"/>
      <c r="E1421" s="73"/>
      <c r="F1421" s="32"/>
      <c r="G1421" s="32"/>
      <c r="H1421" s="32"/>
      <c r="I1421" s="32"/>
      <c r="J1421" s="33"/>
      <c r="K1421" s="34"/>
    </row>
    <row r="1422" spans="1:11" x14ac:dyDescent="0.25">
      <c r="A1422" s="48"/>
      <c r="B1422" s="48" t="s">
        <v>3658</v>
      </c>
      <c r="C1422" s="48"/>
      <c r="D1422" s="48"/>
      <c r="E1422" s="48"/>
      <c r="F1422" s="28"/>
      <c r="G1422" s="28"/>
      <c r="H1422" s="28"/>
      <c r="I1422" s="28"/>
      <c r="J1422" s="40"/>
      <c r="K1422" s="30"/>
    </row>
    <row r="1423" spans="1:11" x14ac:dyDescent="0.25">
      <c r="A1423" s="31"/>
      <c r="B1423" s="31"/>
      <c r="C1423" s="31"/>
      <c r="D1423" s="31"/>
      <c r="E1423" s="31"/>
      <c r="F1423" s="32"/>
      <c r="G1423" s="32"/>
      <c r="H1423" s="32"/>
      <c r="I1423" s="32"/>
      <c r="J1423" s="33"/>
      <c r="K1423" s="34"/>
    </row>
    <row r="1424" spans="1:11" x14ac:dyDescent="0.25">
      <c r="A1424" s="73"/>
      <c r="B1424" s="73" t="s">
        <v>3659</v>
      </c>
      <c r="C1424" s="73"/>
      <c r="D1424" s="73"/>
      <c r="E1424" s="73"/>
      <c r="F1424" s="32"/>
      <c r="G1424" s="32"/>
      <c r="H1424" s="32"/>
      <c r="I1424" s="32"/>
      <c r="J1424" s="33"/>
      <c r="K1424" s="34"/>
    </row>
    <row r="1425" spans="1:11" x14ac:dyDescent="0.25">
      <c r="A1425" s="31"/>
      <c r="B1425" s="31"/>
      <c r="C1425" s="31"/>
      <c r="D1425" s="31"/>
      <c r="E1425" s="31"/>
      <c r="F1425" s="32"/>
      <c r="G1425" s="32"/>
      <c r="H1425" s="32"/>
      <c r="I1425" s="32"/>
      <c r="J1425" s="33"/>
      <c r="K1425" s="34"/>
    </row>
    <row r="1426" spans="1:11" x14ac:dyDescent="0.25">
      <c r="A1426" s="73"/>
      <c r="B1426" s="73" t="s">
        <v>3660</v>
      </c>
      <c r="C1426" s="73"/>
      <c r="D1426" s="73"/>
      <c r="E1426" s="73"/>
      <c r="F1426" s="32"/>
      <c r="G1426" s="32"/>
      <c r="H1426" s="32"/>
      <c r="I1426" s="32"/>
      <c r="J1426" s="33"/>
      <c r="K1426" s="34"/>
    </row>
    <row r="1427" spans="1:11" x14ac:dyDescent="0.25">
      <c r="A1427" s="31"/>
      <c r="B1427" s="71"/>
      <c r="C1427" s="71"/>
      <c r="D1427" s="71"/>
      <c r="E1427" s="71"/>
      <c r="F1427" s="32"/>
      <c r="G1427" s="32"/>
      <c r="H1427" s="32"/>
      <c r="I1427" s="32"/>
      <c r="J1427" s="33"/>
      <c r="K1427" s="34"/>
    </row>
    <row r="1428" spans="1:11" x14ac:dyDescent="0.25">
      <c r="A1428" s="31"/>
      <c r="B1428" s="31"/>
      <c r="C1428" s="31"/>
      <c r="D1428" s="31"/>
      <c r="E1428" s="31"/>
      <c r="F1428" s="32"/>
      <c r="G1428" s="32"/>
      <c r="H1428" s="32"/>
      <c r="I1428" s="32"/>
      <c r="J1428" s="33"/>
      <c r="K1428" s="34"/>
    </row>
    <row r="1429" spans="1:11" x14ac:dyDescent="0.25">
      <c r="A1429" s="31"/>
      <c r="B1429" s="31"/>
      <c r="C1429" s="31"/>
      <c r="D1429" s="31"/>
      <c r="E1429" s="31"/>
      <c r="F1429" s="32"/>
      <c r="G1429" s="32"/>
      <c r="H1429" s="32"/>
      <c r="I1429" s="32"/>
      <c r="J1429" s="33"/>
      <c r="K1429" s="34"/>
    </row>
    <row r="1430" spans="1:11" ht="18.75" x14ac:dyDescent="0.3">
      <c r="A1430" s="337"/>
      <c r="B1430" s="337" t="s">
        <v>401</v>
      </c>
      <c r="C1430" s="337"/>
      <c r="D1430" s="337"/>
      <c r="E1430" s="337"/>
      <c r="F1430" s="367"/>
      <c r="G1430" s="52"/>
      <c r="H1430" s="52"/>
      <c r="I1430" s="52"/>
      <c r="J1430" s="53"/>
      <c r="K1430" s="38"/>
    </row>
    <row r="1431" spans="1:11" x14ac:dyDescent="0.25">
      <c r="A1431" s="73"/>
      <c r="B1431" s="73" t="s">
        <v>3661</v>
      </c>
      <c r="C1431" s="73"/>
      <c r="D1431" s="73"/>
      <c r="E1431" s="73"/>
      <c r="F1431" s="32"/>
      <c r="G1431" s="32"/>
      <c r="H1431" s="32"/>
      <c r="I1431" s="32"/>
      <c r="J1431" s="33"/>
      <c r="K1431" s="34"/>
    </row>
    <row r="1432" spans="1:11" x14ac:dyDescent="0.25">
      <c r="A1432" s="73"/>
      <c r="B1432" s="73" t="s">
        <v>3662</v>
      </c>
      <c r="C1432" s="73"/>
      <c r="D1432" s="73"/>
      <c r="E1432" s="73"/>
      <c r="F1432" s="32"/>
      <c r="G1432" s="32"/>
      <c r="H1432" s="32"/>
      <c r="I1432" s="32"/>
      <c r="J1432" s="33"/>
      <c r="K1432" s="34"/>
    </row>
    <row r="1433" spans="1:11" x14ac:dyDescent="0.25">
      <c r="A1433" s="31" t="s">
        <v>41</v>
      </c>
      <c r="B1433" s="31"/>
      <c r="C1433" s="31"/>
      <c r="D1433" s="31"/>
      <c r="E1433" s="31"/>
      <c r="F1433" s="32"/>
      <c r="G1433" s="32"/>
      <c r="H1433" s="32"/>
      <c r="I1433" s="32"/>
      <c r="J1433" s="33"/>
      <c r="K1433" s="34"/>
    </row>
    <row r="1434" spans="1:11" x14ac:dyDescent="0.25">
      <c r="A1434" s="73"/>
      <c r="B1434" s="73" t="s">
        <v>2308</v>
      </c>
      <c r="C1434" s="73"/>
      <c r="D1434" s="73"/>
      <c r="E1434" s="73"/>
      <c r="F1434" s="32"/>
      <c r="G1434" s="32"/>
      <c r="H1434" s="32"/>
      <c r="I1434" s="32"/>
      <c r="J1434" s="33"/>
      <c r="K1434" s="34"/>
    </row>
    <row r="1435" spans="1:11" x14ac:dyDescent="0.25">
      <c r="A1435" s="31"/>
      <c r="B1435" s="71"/>
      <c r="C1435" s="71"/>
      <c r="D1435" s="71"/>
      <c r="E1435" s="71"/>
      <c r="F1435" s="32"/>
      <c r="G1435" s="32"/>
      <c r="H1435" s="32"/>
      <c r="I1435" s="32"/>
      <c r="J1435" s="33"/>
      <c r="K1435" s="34"/>
    </row>
    <row r="1436" spans="1:11" x14ac:dyDescent="0.25">
      <c r="A1436" s="39"/>
      <c r="B1436" s="331"/>
      <c r="C1436" s="331"/>
      <c r="D1436" s="331"/>
      <c r="E1436" s="331"/>
      <c r="F1436" s="28"/>
      <c r="G1436" s="28"/>
      <c r="H1436" s="28"/>
      <c r="I1436" s="28"/>
      <c r="J1436" s="40"/>
      <c r="K1436" s="30"/>
    </row>
    <row r="1437" spans="1:11" x14ac:dyDescent="0.25">
      <c r="A1437" s="31"/>
      <c r="B1437" s="31"/>
      <c r="C1437" s="31"/>
      <c r="D1437" s="31"/>
      <c r="E1437" s="31"/>
      <c r="F1437" s="32"/>
      <c r="G1437" s="32"/>
      <c r="H1437" s="32"/>
      <c r="I1437" s="32"/>
      <c r="J1437" s="33"/>
      <c r="K1437" s="34"/>
    </row>
    <row r="1438" spans="1:11" ht="18.75" x14ac:dyDescent="0.3">
      <c r="A1438" s="333"/>
      <c r="B1438" s="327" t="s">
        <v>3663</v>
      </c>
      <c r="C1438" s="327"/>
      <c r="D1438" s="333"/>
      <c r="E1438" s="333"/>
      <c r="F1438" s="333"/>
      <c r="G1438" s="333"/>
      <c r="H1438" s="333"/>
      <c r="I1438" s="333"/>
      <c r="J1438" s="333"/>
      <c r="K1438" s="333"/>
    </row>
    <row r="1439" spans="1:11" ht="18.75" x14ac:dyDescent="0.3">
      <c r="A1439" s="333"/>
      <c r="B1439" s="343" t="s">
        <v>3664</v>
      </c>
      <c r="C1439" s="343"/>
      <c r="D1439" s="333"/>
      <c r="E1439" s="333"/>
      <c r="F1439" s="333"/>
      <c r="G1439" s="333"/>
      <c r="H1439" s="333"/>
      <c r="I1439" s="333"/>
      <c r="J1439" s="333"/>
      <c r="K1439" s="333"/>
    </row>
    <row r="1440" spans="1:11" ht="18.75" x14ac:dyDescent="0.3">
      <c r="A1440" s="56"/>
      <c r="B1440" s="19" t="s">
        <v>3665</v>
      </c>
      <c r="C1440" s="19"/>
      <c r="D1440" s="56"/>
      <c r="E1440" s="56"/>
      <c r="F1440" s="57"/>
      <c r="G1440" s="58"/>
      <c r="H1440" s="28"/>
      <c r="I1440" s="28"/>
      <c r="J1440" s="40"/>
      <c r="K1440" s="30"/>
    </row>
    <row r="1441" spans="1:11" x14ac:dyDescent="0.25">
      <c r="A1441" s="39"/>
      <c r="B1441" s="39"/>
      <c r="C1441" s="39"/>
      <c r="D1441" s="39"/>
      <c r="E1441" s="39"/>
      <c r="F1441" s="28"/>
      <c r="G1441" s="28"/>
      <c r="H1441" s="28"/>
      <c r="I1441" s="28"/>
      <c r="J1441" s="40"/>
      <c r="K1441" s="30"/>
    </row>
    <row r="1442" spans="1:11" x14ac:dyDescent="0.25">
      <c r="A1442" s="73"/>
      <c r="B1442" s="73" t="s">
        <v>3666</v>
      </c>
      <c r="C1442" s="73"/>
      <c r="D1442" s="73"/>
      <c r="E1442" s="73"/>
      <c r="F1442" s="32"/>
      <c r="G1442" s="32"/>
      <c r="H1442" s="32"/>
      <c r="I1442" s="32"/>
      <c r="J1442" s="33"/>
      <c r="K1442" s="34"/>
    </row>
    <row r="1443" spans="1:11" x14ac:dyDescent="0.25">
      <c r="A1443" s="31"/>
      <c r="B1443" s="31"/>
      <c r="C1443" s="31"/>
      <c r="D1443" s="31"/>
      <c r="E1443" s="31"/>
      <c r="F1443" s="32"/>
      <c r="G1443" s="32"/>
      <c r="H1443" s="32"/>
      <c r="I1443" s="32"/>
      <c r="J1443" s="33"/>
      <c r="K1443" s="34"/>
    </row>
    <row r="1444" spans="1:11" ht="18.75" x14ac:dyDescent="0.3">
      <c r="A1444" s="333"/>
      <c r="B1444" s="327" t="s">
        <v>3667</v>
      </c>
      <c r="C1444" s="327"/>
      <c r="D1444" s="333"/>
      <c r="E1444" s="333"/>
      <c r="F1444" s="333"/>
      <c r="G1444" s="333"/>
      <c r="H1444" s="333"/>
      <c r="I1444" s="333"/>
      <c r="J1444" s="333"/>
      <c r="K1444" s="333"/>
    </row>
    <row r="1445" spans="1:11" x14ac:dyDescent="0.25">
      <c r="A1445" s="73"/>
      <c r="B1445" s="73" t="s">
        <v>3668</v>
      </c>
      <c r="C1445" s="357"/>
      <c r="D1445" s="73"/>
      <c r="E1445" s="73"/>
      <c r="F1445" s="32"/>
      <c r="G1445" s="32"/>
      <c r="H1445" s="32"/>
      <c r="I1445" s="32"/>
      <c r="J1445" s="33"/>
      <c r="K1445" s="34"/>
    </row>
    <row r="1446" spans="1:11" x14ac:dyDescent="0.25">
      <c r="A1446" s="31"/>
      <c r="B1446" s="31"/>
      <c r="C1446" s="355"/>
      <c r="D1446" s="31"/>
      <c r="E1446" s="31"/>
      <c r="F1446" s="32"/>
      <c r="G1446" s="32"/>
      <c r="H1446" s="32"/>
      <c r="I1446" s="32"/>
      <c r="J1446" s="33"/>
      <c r="K1446" s="34"/>
    </row>
    <row r="1447" spans="1:11" x14ac:dyDescent="0.25">
      <c r="A1447" s="73"/>
      <c r="B1447" s="73" t="s">
        <v>3669</v>
      </c>
      <c r="C1447" s="357"/>
      <c r="D1447" s="73"/>
      <c r="E1447" s="73"/>
      <c r="F1447" s="32"/>
      <c r="G1447" s="32"/>
      <c r="H1447" s="32"/>
      <c r="I1447" s="32"/>
      <c r="J1447" s="33"/>
      <c r="K1447" s="34"/>
    </row>
    <row r="1448" spans="1:11" x14ac:dyDescent="0.25">
      <c r="A1448" s="31"/>
      <c r="B1448" s="31"/>
      <c r="C1448" s="31"/>
      <c r="D1448" s="31"/>
      <c r="E1448" s="31"/>
      <c r="F1448" s="32"/>
      <c r="G1448" s="32"/>
      <c r="H1448" s="32"/>
      <c r="I1448" s="32"/>
      <c r="J1448" s="33"/>
      <c r="K1448" s="34"/>
    </row>
    <row r="1449" spans="1:11" x14ac:dyDescent="0.25">
      <c r="A1449" s="73"/>
      <c r="B1449" s="73" t="s">
        <v>3670</v>
      </c>
      <c r="C1449" s="73"/>
      <c r="D1449" s="73"/>
      <c r="E1449" s="73"/>
      <c r="F1449" s="32"/>
      <c r="G1449" s="32"/>
      <c r="H1449" s="32"/>
      <c r="I1449" s="32"/>
      <c r="J1449" s="33"/>
      <c r="K1449" s="34"/>
    </row>
    <row r="1450" spans="1:11" x14ac:dyDescent="0.25">
      <c r="A1450" s="73"/>
      <c r="B1450" s="73" t="s">
        <v>3671</v>
      </c>
      <c r="C1450" s="273"/>
      <c r="D1450" s="273"/>
      <c r="E1450" s="273"/>
      <c r="F1450" s="32"/>
      <c r="G1450" s="32"/>
      <c r="H1450" s="32"/>
      <c r="I1450" s="32"/>
      <c r="J1450" s="33"/>
      <c r="K1450" s="34"/>
    </row>
    <row r="1451" spans="1:11" x14ac:dyDescent="0.25">
      <c r="A1451" s="32"/>
      <c r="B1451" s="73" t="s">
        <v>3672</v>
      </c>
      <c r="C1451" s="357"/>
      <c r="D1451" s="73"/>
      <c r="E1451" s="73"/>
      <c r="F1451" s="31"/>
      <c r="G1451" s="32"/>
      <c r="H1451" s="32"/>
      <c r="I1451" s="32"/>
      <c r="J1451" s="33"/>
      <c r="K1451" s="34"/>
    </row>
    <row r="1452" spans="1:11" x14ac:dyDescent="0.25">
      <c r="A1452" s="31"/>
      <c r="B1452" s="31"/>
      <c r="C1452" s="355"/>
      <c r="D1452" s="31"/>
      <c r="E1452" s="31"/>
      <c r="F1452" s="32"/>
      <c r="G1452" s="32"/>
      <c r="H1452" s="32"/>
      <c r="I1452" s="32"/>
      <c r="J1452" s="33"/>
      <c r="K1452" s="289"/>
    </row>
    <row r="1453" spans="1:11" ht="18.75" x14ac:dyDescent="0.3">
      <c r="A1453" s="333"/>
      <c r="B1453" s="327" t="s">
        <v>3673</v>
      </c>
      <c r="C1453" s="327"/>
      <c r="D1453" s="333"/>
      <c r="E1453" s="333"/>
      <c r="F1453" s="333"/>
      <c r="G1453" s="333"/>
      <c r="H1453" s="333"/>
      <c r="I1453" s="333"/>
      <c r="J1453" s="333"/>
      <c r="K1453" s="333"/>
    </row>
    <row r="1454" spans="1:11" x14ac:dyDescent="0.25">
      <c r="A1454" s="31"/>
      <c r="B1454" s="31"/>
      <c r="C1454" s="31"/>
      <c r="D1454" s="31"/>
      <c r="E1454" s="31"/>
      <c r="F1454" s="32"/>
      <c r="G1454" s="257"/>
      <c r="H1454" s="32"/>
      <c r="I1454" s="32"/>
      <c r="J1454" s="33"/>
      <c r="K1454" s="34"/>
    </row>
    <row r="1455" spans="1:11" x14ac:dyDescent="0.25">
      <c r="A1455" s="73"/>
      <c r="B1455" s="328" t="s">
        <v>3674</v>
      </c>
      <c r="C1455" s="73"/>
      <c r="D1455" s="73"/>
      <c r="E1455" s="73"/>
      <c r="F1455" s="32"/>
      <c r="G1455" s="32"/>
      <c r="H1455" s="32"/>
      <c r="I1455" s="32"/>
      <c r="J1455" s="33"/>
      <c r="K1455" s="34"/>
    </row>
    <row r="1456" spans="1:11" x14ac:dyDescent="0.25">
      <c r="A1456" s="31"/>
      <c r="B1456" s="31"/>
      <c r="C1456" s="31"/>
      <c r="D1456" s="31"/>
      <c r="E1456" s="31"/>
      <c r="F1456" s="32"/>
      <c r="G1456" s="32"/>
      <c r="H1456" s="32"/>
      <c r="I1456" s="32"/>
      <c r="J1456" s="33"/>
      <c r="K1456" s="34"/>
    </row>
    <row r="1457" spans="1:11" x14ac:dyDescent="0.25">
      <c r="A1457" s="73"/>
      <c r="B1457" s="328" t="s">
        <v>3675</v>
      </c>
      <c r="C1457" s="73"/>
      <c r="D1457" s="73"/>
      <c r="E1457" s="73"/>
      <c r="F1457" s="32"/>
      <c r="G1457" s="32"/>
      <c r="H1457" s="32"/>
      <c r="I1457" s="32"/>
      <c r="J1457" s="33"/>
      <c r="K1457" s="34"/>
    </row>
    <row r="1458" spans="1:11" x14ac:dyDescent="0.25">
      <c r="A1458" s="31"/>
      <c r="B1458" s="31"/>
      <c r="C1458" s="31"/>
      <c r="D1458" s="31"/>
      <c r="E1458" s="31"/>
      <c r="F1458" s="31"/>
      <c r="G1458" s="32"/>
      <c r="H1458" s="32"/>
      <c r="I1458" s="32"/>
      <c r="J1458" s="33"/>
      <c r="K1458" s="34"/>
    </row>
    <row r="1459" spans="1:11" x14ac:dyDescent="0.25">
      <c r="A1459" s="328"/>
      <c r="B1459" s="328" t="s">
        <v>80</v>
      </c>
      <c r="C1459" s="328"/>
      <c r="D1459" s="328"/>
      <c r="E1459" s="328"/>
      <c r="F1459" s="52"/>
      <c r="G1459" s="52"/>
      <c r="H1459" s="52"/>
      <c r="I1459" s="52"/>
      <c r="J1459" s="53"/>
      <c r="K1459" s="38"/>
    </row>
    <row r="1460" spans="1:11" x14ac:dyDescent="0.25">
      <c r="A1460" s="253"/>
      <c r="B1460" s="253"/>
      <c r="C1460" s="253"/>
      <c r="D1460" s="253"/>
      <c r="E1460" s="253"/>
      <c r="F1460" s="52"/>
      <c r="G1460" s="52"/>
      <c r="H1460" s="52"/>
      <c r="I1460" s="52"/>
      <c r="J1460" s="53"/>
      <c r="K1460" s="38"/>
    </row>
    <row r="1461" spans="1:11" x14ac:dyDescent="0.25">
      <c r="A1461" s="328"/>
      <c r="B1461" s="328" t="s">
        <v>3676</v>
      </c>
      <c r="C1461" s="328"/>
      <c r="D1461" s="328"/>
      <c r="E1461" s="328"/>
      <c r="F1461" s="52"/>
      <c r="G1461" s="52"/>
      <c r="H1461" s="52"/>
      <c r="I1461" s="52"/>
      <c r="J1461" s="53"/>
      <c r="K1461" s="38"/>
    </row>
    <row r="1462" spans="1:11" x14ac:dyDescent="0.25">
      <c r="A1462" s="31"/>
      <c r="B1462" s="344"/>
      <c r="C1462" s="344"/>
      <c r="D1462" s="31"/>
      <c r="E1462" s="31"/>
      <c r="F1462" s="32"/>
      <c r="G1462" s="32"/>
      <c r="H1462" s="32"/>
      <c r="I1462" s="32"/>
      <c r="J1462" s="33"/>
      <c r="K1462" s="34"/>
    </row>
    <row r="1463" spans="1:11" ht="18.75" x14ac:dyDescent="0.3">
      <c r="A1463" s="333"/>
      <c r="B1463" s="327" t="s">
        <v>474</v>
      </c>
      <c r="C1463" s="327"/>
      <c r="D1463" s="333"/>
      <c r="E1463" s="333"/>
      <c r="F1463" s="333"/>
      <c r="G1463" s="333"/>
      <c r="H1463" s="333"/>
      <c r="I1463" s="333"/>
      <c r="J1463" s="333"/>
      <c r="K1463" s="333"/>
    </row>
    <row r="1464" spans="1:11" x14ac:dyDescent="0.25">
      <c r="A1464" s="73"/>
      <c r="B1464" s="73" t="s">
        <v>3677</v>
      </c>
      <c r="C1464" s="73"/>
      <c r="D1464" s="73"/>
      <c r="E1464" s="73"/>
      <c r="F1464" s="32"/>
      <c r="G1464" s="32"/>
      <c r="H1464" s="32"/>
      <c r="I1464" s="32"/>
      <c r="J1464" s="33"/>
      <c r="K1464" s="34"/>
    </row>
    <row r="1465" spans="1:11" ht="15.75" x14ac:dyDescent="0.25">
      <c r="A1465" s="332"/>
      <c r="B1465" s="332"/>
      <c r="C1465" s="490"/>
      <c r="D1465" s="332"/>
      <c r="E1465" s="332"/>
      <c r="F1465" s="32"/>
      <c r="G1465" s="32"/>
      <c r="H1465" s="32"/>
      <c r="I1465" s="32"/>
      <c r="J1465" s="33"/>
      <c r="K1465" s="36"/>
    </row>
    <row r="1466" spans="1:11" ht="18.75" x14ac:dyDescent="0.3">
      <c r="A1466" s="333"/>
      <c r="B1466" s="327" t="s">
        <v>548</v>
      </c>
      <c r="C1466" s="327"/>
      <c r="D1466" s="333"/>
      <c r="E1466" s="333"/>
      <c r="F1466" s="333"/>
      <c r="G1466" s="333"/>
      <c r="H1466" s="333"/>
      <c r="I1466" s="333"/>
      <c r="J1466" s="333"/>
      <c r="K1466" s="333"/>
    </row>
    <row r="1467" spans="1:11" x14ac:dyDescent="0.25">
      <c r="A1467" s="51"/>
      <c r="B1467" s="51"/>
      <c r="C1467" s="51"/>
      <c r="D1467" s="51"/>
      <c r="E1467" s="51"/>
      <c r="F1467" s="32"/>
      <c r="G1467" s="32"/>
      <c r="H1467" s="32"/>
      <c r="I1467" s="32"/>
      <c r="J1467" s="33"/>
      <c r="K1467" s="34"/>
    </row>
    <row r="1468" spans="1:11" x14ac:dyDescent="0.25">
      <c r="A1468" s="31"/>
      <c r="B1468" s="31"/>
      <c r="C1468" s="31"/>
      <c r="D1468" s="31"/>
      <c r="E1468" s="31"/>
      <c r="F1468" s="32"/>
      <c r="G1468" s="32"/>
      <c r="H1468" s="32"/>
      <c r="I1468" s="32"/>
      <c r="J1468" s="33"/>
      <c r="K1468" s="36"/>
    </row>
    <row r="1469" spans="1:11" ht="18.75" x14ac:dyDescent="0.3">
      <c r="A1469" s="333"/>
      <c r="B1469" s="327" t="s">
        <v>1582</v>
      </c>
      <c r="C1469" s="327"/>
      <c r="D1469" s="333"/>
      <c r="E1469" s="333"/>
      <c r="F1469" s="333"/>
      <c r="G1469" s="333"/>
      <c r="H1469" s="333"/>
      <c r="I1469" s="333"/>
      <c r="J1469" s="333"/>
      <c r="K1469" s="333"/>
    </row>
    <row r="1470" spans="1:11" x14ac:dyDescent="0.25">
      <c r="A1470" s="51"/>
      <c r="B1470" s="51"/>
      <c r="C1470" s="51"/>
      <c r="D1470" s="51"/>
      <c r="E1470" s="51"/>
      <c r="F1470" s="52"/>
      <c r="G1470" s="51"/>
      <c r="H1470" s="52"/>
      <c r="I1470" s="52"/>
      <c r="J1470" s="54"/>
      <c r="K1470" s="38"/>
    </row>
    <row r="1471" spans="1:11" x14ac:dyDescent="0.25">
      <c r="A1471" s="51"/>
      <c r="B1471" s="326" t="s">
        <v>3678</v>
      </c>
      <c r="C1471" s="358"/>
      <c r="D1471" s="326"/>
      <c r="E1471" s="326"/>
      <c r="F1471" s="52"/>
      <c r="G1471" s="51"/>
      <c r="H1471" s="52"/>
      <c r="I1471" s="52"/>
      <c r="J1471" s="54"/>
      <c r="K1471" s="38"/>
    </row>
    <row r="1472" spans="1:11" x14ac:dyDescent="0.25">
      <c r="A1472" s="31"/>
      <c r="B1472" s="191"/>
      <c r="C1472" s="191"/>
      <c r="D1472" s="191"/>
      <c r="E1472" s="191"/>
      <c r="F1472" s="32"/>
      <c r="G1472" s="192"/>
      <c r="H1472" s="32"/>
      <c r="I1472" s="32"/>
      <c r="J1472" s="32"/>
      <c r="K1472" s="38"/>
    </row>
    <row r="1473" spans="1:11" x14ac:dyDescent="0.25">
      <c r="A1473" s="51"/>
      <c r="B1473" s="51"/>
      <c r="C1473" s="51"/>
      <c r="D1473" s="51"/>
      <c r="E1473" s="51"/>
      <c r="F1473" s="52"/>
      <c r="G1473" s="51"/>
      <c r="H1473" s="52"/>
      <c r="I1473" s="52"/>
      <c r="J1473" s="54"/>
      <c r="K1473" s="38"/>
    </row>
    <row r="1474" spans="1:11" x14ac:dyDescent="0.25">
      <c r="A1474" s="31"/>
      <c r="B1474" s="31"/>
      <c r="C1474" s="355"/>
      <c r="D1474" s="31"/>
      <c r="E1474" s="31"/>
      <c r="F1474" s="32"/>
      <c r="G1474" s="32"/>
      <c r="H1474" s="32"/>
      <c r="I1474" s="32"/>
      <c r="J1474" s="33"/>
      <c r="K1474" s="36"/>
    </row>
    <row r="1475" spans="1:11" ht="18.75" x14ac:dyDescent="0.3">
      <c r="A1475" s="25"/>
      <c r="B1475" s="19" t="s">
        <v>27</v>
      </c>
      <c r="C1475" s="19"/>
      <c r="D1475" s="25"/>
      <c r="E1475" s="25"/>
      <c r="F1475" s="25"/>
      <c r="G1475" s="25"/>
      <c r="H1475" s="25"/>
      <c r="I1475" s="25"/>
      <c r="J1475" s="25"/>
      <c r="K1475" s="25"/>
    </row>
    <row r="1476" spans="1:11" x14ac:dyDescent="0.25">
      <c r="A1476" s="326"/>
      <c r="B1476" s="326" t="s">
        <v>3679</v>
      </c>
      <c r="C1476" s="354" t="s">
        <v>3680</v>
      </c>
      <c r="D1476" s="326"/>
      <c r="E1476" s="326"/>
      <c r="F1476" s="36"/>
      <c r="G1476" s="32"/>
      <c r="H1476" s="32"/>
      <c r="I1476" s="32"/>
      <c r="J1476" s="33"/>
      <c r="K1476" s="36"/>
    </row>
    <row r="1477" spans="1:11" x14ac:dyDescent="0.25">
      <c r="A1477" s="126"/>
      <c r="B1477" s="63" t="s">
        <v>3681</v>
      </c>
      <c r="C1477" s="292"/>
      <c r="D1477" s="63"/>
      <c r="E1477" s="63"/>
      <c r="F1477" s="26"/>
      <c r="G1477" s="28"/>
      <c r="H1477" s="28"/>
      <c r="I1477" s="28"/>
      <c r="J1477" s="40"/>
      <c r="K1477" s="298"/>
    </row>
    <row r="1478" spans="1:11" x14ac:dyDescent="0.25">
      <c r="A1478" s="326"/>
      <c r="B1478" s="326" t="s">
        <v>3682</v>
      </c>
      <c r="C1478" s="326"/>
      <c r="D1478" s="326"/>
      <c r="E1478" s="326"/>
      <c r="F1478" s="36"/>
      <c r="G1478" s="32"/>
      <c r="H1478" s="32"/>
      <c r="I1478" s="32"/>
      <c r="J1478" s="33"/>
      <c r="K1478" s="36"/>
    </row>
    <row r="1479" spans="1:11" x14ac:dyDescent="0.25">
      <c r="A1479" s="326"/>
      <c r="B1479" s="326" t="s">
        <v>3683</v>
      </c>
      <c r="C1479" s="326"/>
      <c r="D1479" s="326"/>
      <c r="E1479" s="326"/>
      <c r="F1479" s="36"/>
      <c r="G1479" s="32"/>
      <c r="H1479" s="32"/>
      <c r="I1479" s="32"/>
      <c r="J1479" s="33"/>
      <c r="K1479" s="36"/>
    </row>
    <row r="1480" spans="1:11" x14ac:dyDescent="0.25">
      <c r="A1480" s="326"/>
      <c r="B1480" s="326" t="s">
        <v>3684</v>
      </c>
      <c r="C1480" s="326"/>
      <c r="D1480" s="326"/>
      <c r="E1480" s="326"/>
      <c r="F1480" s="36"/>
      <c r="G1480" s="32"/>
      <c r="H1480" s="32"/>
      <c r="I1480" s="32"/>
      <c r="J1480" s="33"/>
      <c r="K1480" s="36"/>
    </row>
    <row r="1481" spans="1:11" x14ac:dyDescent="0.25">
      <c r="A1481" s="326"/>
      <c r="B1481" s="326" t="s">
        <v>3685</v>
      </c>
      <c r="C1481" s="326"/>
      <c r="D1481" s="326"/>
      <c r="E1481" s="326"/>
      <c r="F1481" s="36"/>
      <c r="G1481" s="32"/>
      <c r="H1481" s="32"/>
      <c r="I1481" s="32"/>
      <c r="J1481" s="33"/>
      <c r="K1481" s="36"/>
    </row>
    <row r="1482" spans="1:11" x14ac:dyDescent="0.25">
      <c r="A1482" s="326"/>
      <c r="B1482" s="326" t="s">
        <v>3686</v>
      </c>
      <c r="C1482" s="326"/>
      <c r="D1482" s="326"/>
      <c r="E1482" s="326"/>
      <c r="F1482" s="36"/>
      <c r="G1482" s="32"/>
      <c r="H1482" s="32"/>
      <c r="I1482" s="32"/>
      <c r="J1482" s="33"/>
      <c r="K1482" s="36"/>
    </row>
    <row r="1483" spans="1:11" x14ac:dyDescent="0.25">
      <c r="A1483" s="334" t="s">
        <v>27</v>
      </c>
      <c r="B1483" s="334" t="s">
        <v>3687</v>
      </c>
      <c r="C1483" s="334"/>
      <c r="D1483" s="334"/>
      <c r="E1483" s="334"/>
      <c r="F1483" s="36"/>
      <c r="G1483" s="32"/>
      <c r="H1483" s="32"/>
      <c r="I1483" s="32"/>
      <c r="J1483" s="33"/>
      <c r="K1483" s="36"/>
    </row>
    <row r="1484" spans="1:11" x14ac:dyDescent="0.25">
      <c r="A1484" s="334"/>
      <c r="B1484" s="334" t="s">
        <v>3688</v>
      </c>
      <c r="C1484" s="334"/>
      <c r="D1484" s="334"/>
      <c r="E1484" s="334"/>
      <c r="F1484" s="36"/>
      <c r="G1484" s="32"/>
      <c r="H1484" s="32"/>
      <c r="I1484" s="32"/>
      <c r="J1484" s="33"/>
      <c r="K1484" s="36"/>
    </row>
    <row r="1485" spans="1:11" x14ac:dyDescent="0.25">
      <c r="A1485" s="326"/>
      <c r="B1485" s="326" t="s">
        <v>3689</v>
      </c>
      <c r="C1485" s="326"/>
      <c r="D1485" s="326"/>
      <c r="E1485" s="326"/>
      <c r="F1485" s="36"/>
      <c r="G1485" s="32"/>
      <c r="H1485" s="32"/>
      <c r="I1485" s="32"/>
      <c r="J1485" s="33"/>
      <c r="K1485" s="36"/>
    </row>
    <row r="1486" spans="1:11" x14ac:dyDescent="0.25">
      <c r="A1486" s="326"/>
      <c r="B1486" s="326" t="s">
        <v>3690</v>
      </c>
      <c r="C1486" s="326"/>
      <c r="D1486" s="326"/>
      <c r="E1486" s="326"/>
      <c r="F1486" s="36"/>
      <c r="G1486" s="32"/>
      <c r="H1486" s="32"/>
      <c r="I1486" s="32"/>
      <c r="J1486" s="33"/>
      <c r="K1486" s="36"/>
    </row>
    <row r="1487" spans="1:11" x14ac:dyDescent="0.25">
      <c r="A1487" s="51"/>
      <c r="B1487" s="51"/>
      <c r="C1487" s="51"/>
      <c r="D1487" s="51"/>
      <c r="E1487" s="51"/>
      <c r="F1487" s="52"/>
      <c r="G1487" s="52"/>
      <c r="H1487" s="52"/>
      <c r="I1487" s="52"/>
      <c r="J1487" s="54"/>
      <c r="K1487" s="38"/>
    </row>
    <row r="1488" spans="1:11" x14ac:dyDescent="0.25">
      <c r="A1488" s="51"/>
      <c r="B1488" s="51"/>
      <c r="C1488" s="51"/>
      <c r="D1488" s="51"/>
      <c r="E1488" s="51"/>
      <c r="F1488" s="52"/>
      <c r="G1488" s="52"/>
      <c r="H1488" s="52"/>
      <c r="I1488" s="52"/>
      <c r="J1488" s="54"/>
      <c r="K1488" s="38"/>
    </row>
    <row r="1489" spans="1:11" x14ac:dyDescent="0.25">
      <c r="A1489" s="326"/>
      <c r="B1489" s="326" t="s">
        <v>3691</v>
      </c>
      <c r="C1489" s="326"/>
      <c r="D1489" s="326"/>
      <c r="E1489" s="326"/>
      <c r="F1489" s="36"/>
      <c r="G1489" s="32"/>
      <c r="H1489" s="32"/>
      <c r="I1489" s="32"/>
      <c r="J1489" s="33"/>
      <c r="K1489" s="36"/>
    </row>
    <row r="1490" spans="1:11" x14ac:dyDescent="0.25">
      <c r="A1490" s="31"/>
      <c r="B1490" s="31"/>
      <c r="C1490" s="31"/>
      <c r="D1490" s="31"/>
      <c r="E1490" s="31"/>
      <c r="F1490" s="32"/>
      <c r="G1490" s="32"/>
      <c r="H1490" s="32"/>
      <c r="I1490" s="32"/>
      <c r="J1490" s="33"/>
      <c r="K1490" s="36"/>
    </row>
    <row r="1491" spans="1:11" x14ac:dyDescent="0.25">
      <c r="A1491" s="31"/>
      <c r="B1491" s="31"/>
      <c r="C1491" s="31"/>
      <c r="D1491" s="31"/>
      <c r="E1491" s="31"/>
      <c r="F1491" s="32"/>
      <c r="G1491" s="32"/>
      <c r="H1491" s="32"/>
      <c r="I1491" s="32"/>
      <c r="J1491" s="33"/>
      <c r="K1491" s="36"/>
    </row>
    <row r="1492" spans="1:11" x14ac:dyDescent="0.25">
      <c r="A1492" s="51"/>
      <c r="B1492" s="51"/>
      <c r="C1492" s="51"/>
      <c r="D1492" s="166"/>
      <c r="E1492" s="166"/>
      <c r="F1492" s="52"/>
      <c r="G1492" s="52"/>
      <c r="H1492" s="52"/>
      <c r="I1492" s="52"/>
      <c r="J1492" s="54"/>
      <c r="K1492" s="38"/>
    </row>
    <row r="1493" spans="1:11" x14ac:dyDescent="0.25">
      <c r="A1493" s="31"/>
      <c r="B1493" s="73" t="s">
        <v>2649</v>
      </c>
      <c r="C1493" s="73"/>
      <c r="D1493" s="31"/>
      <c r="E1493" s="31"/>
      <c r="F1493" s="32"/>
      <c r="G1493" s="32"/>
      <c r="H1493" s="32"/>
      <c r="I1493" s="32"/>
      <c r="J1493" s="33"/>
      <c r="K1493" s="36"/>
    </row>
    <row r="1494" spans="1:11" x14ac:dyDescent="0.25">
      <c r="A1494" s="31"/>
      <c r="B1494" s="73" t="s">
        <v>3406</v>
      </c>
      <c r="C1494" s="73"/>
      <c r="D1494" s="31"/>
      <c r="E1494" s="31"/>
      <c r="F1494" s="32"/>
      <c r="G1494" s="32"/>
      <c r="H1494" s="32"/>
      <c r="I1494" s="32"/>
      <c r="J1494" s="33"/>
      <c r="K1494" s="36"/>
    </row>
    <row r="1495" spans="1:11" x14ac:dyDescent="0.25">
      <c r="A1495" s="62"/>
      <c r="B1495" s="62"/>
      <c r="C1495" s="62"/>
      <c r="D1495" s="62"/>
      <c r="E1495" s="62"/>
      <c r="F1495" s="9"/>
      <c r="G1495" s="9"/>
      <c r="H1495" s="9"/>
      <c r="I1495" s="9"/>
      <c r="J1495" s="61"/>
      <c r="K1495" s="47"/>
    </row>
    <row r="1496" spans="1:11" x14ac:dyDescent="0.25">
      <c r="A1496" s="253"/>
      <c r="B1496" s="253"/>
      <c r="C1496" s="253"/>
      <c r="D1496" s="253"/>
      <c r="E1496" s="253"/>
      <c r="F1496" s="52"/>
      <c r="G1496" s="52"/>
      <c r="H1496" s="52"/>
      <c r="I1496" s="52"/>
      <c r="J1496" s="54"/>
      <c r="K1496" s="38"/>
    </row>
    <row r="1497" spans="1:11" x14ac:dyDescent="0.25">
      <c r="A1497" s="31"/>
      <c r="B1497" s="73" t="s">
        <v>3692</v>
      </c>
      <c r="C1497" s="31"/>
      <c r="D1497" s="31"/>
      <c r="E1497" s="31"/>
      <c r="F1497" s="32"/>
      <c r="G1497" s="32"/>
      <c r="H1497" s="32"/>
      <c r="I1497" s="32"/>
      <c r="J1497" s="33"/>
      <c r="K1497" s="36"/>
    </row>
    <row r="1498" spans="1:11" x14ac:dyDescent="0.25">
      <c r="A1498" s="39"/>
      <c r="B1498" s="39"/>
      <c r="C1498" s="39"/>
      <c r="D1498" s="39"/>
      <c r="E1498" s="39"/>
      <c r="F1498" s="28"/>
      <c r="G1498" s="28"/>
      <c r="H1498" s="28"/>
      <c r="I1498" s="28"/>
      <c r="J1498" s="40"/>
      <c r="K1498" s="26"/>
    </row>
    <row r="1499" spans="1:11" x14ac:dyDescent="0.25">
      <c r="A1499" s="39"/>
      <c r="B1499" s="39"/>
      <c r="C1499" s="39"/>
      <c r="D1499" s="39"/>
      <c r="E1499" s="39"/>
      <c r="F1499" s="28"/>
      <c r="G1499" s="28"/>
      <c r="H1499" s="28"/>
      <c r="I1499" s="28"/>
      <c r="J1499" s="40"/>
      <c r="K1499" s="26"/>
    </row>
    <row r="1500" spans="1:11" x14ac:dyDescent="0.25">
      <c r="A1500" s="39"/>
      <c r="B1500" s="39"/>
      <c r="C1500" s="39"/>
      <c r="D1500" s="39"/>
      <c r="E1500" s="39"/>
      <c r="F1500" s="28"/>
      <c r="G1500" s="28"/>
      <c r="H1500" s="28"/>
      <c r="I1500" s="28"/>
      <c r="J1500" s="40"/>
      <c r="K1500" s="26"/>
    </row>
    <row r="1501" spans="1:11" x14ac:dyDescent="0.25">
      <c r="A1501" s="39"/>
      <c r="B1501" s="39"/>
      <c r="C1501" s="39"/>
      <c r="D1501" s="39"/>
      <c r="E1501" s="39"/>
      <c r="F1501" s="28"/>
      <c r="G1501" s="28"/>
      <c r="H1501" s="28"/>
      <c r="I1501" s="28"/>
      <c r="J1501" s="40"/>
      <c r="K1501" s="26"/>
    </row>
    <row r="1502" spans="1:11" x14ac:dyDescent="0.25">
      <c r="A1502" s="39"/>
      <c r="B1502" s="39"/>
      <c r="C1502" s="39"/>
      <c r="D1502" s="39"/>
      <c r="E1502" s="39"/>
      <c r="F1502" s="28"/>
      <c r="G1502" s="28"/>
      <c r="H1502" s="28"/>
      <c r="I1502" s="28"/>
      <c r="J1502" s="40"/>
      <c r="K1502" s="26"/>
    </row>
    <row r="1503" spans="1:11" x14ac:dyDescent="0.25">
      <c r="A1503" s="39"/>
      <c r="B1503" s="39"/>
      <c r="C1503" s="39"/>
      <c r="D1503" s="39"/>
      <c r="E1503" s="39"/>
      <c r="F1503" s="28"/>
      <c r="G1503" s="28"/>
      <c r="H1503" s="28"/>
      <c r="I1503" s="28"/>
      <c r="J1503" s="40"/>
      <c r="K1503" s="26"/>
    </row>
    <row r="1504" spans="1:11" x14ac:dyDescent="0.25">
      <c r="A1504" s="39"/>
      <c r="B1504" s="39"/>
      <c r="C1504" s="39"/>
      <c r="D1504" s="39"/>
      <c r="E1504" s="39"/>
      <c r="F1504" s="28"/>
      <c r="G1504" s="28"/>
      <c r="H1504" s="28"/>
      <c r="I1504" s="28"/>
      <c r="J1504" s="40"/>
      <c r="K1504" s="26"/>
    </row>
    <row r="1505" spans="1:11" x14ac:dyDescent="0.25">
      <c r="A1505" s="39"/>
      <c r="B1505" s="39"/>
      <c r="C1505" s="39"/>
      <c r="D1505" s="39"/>
      <c r="E1505" s="39"/>
      <c r="F1505" s="28"/>
      <c r="G1505" s="28"/>
      <c r="H1505" s="28"/>
      <c r="I1505" s="28"/>
      <c r="J1505" s="40"/>
      <c r="K1505" s="26"/>
    </row>
    <row r="1506" spans="1:11" x14ac:dyDescent="0.25">
      <c r="A1506" s="39"/>
      <c r="B1506" s="39"/>
      <c r="C1506" s="39"/>
      <c r="D1506" s="39"/>
      <c r="E1506" s="39"/>
      <c r="F1506" s="28"/>
      <c r="G1506" s="28"/>
      <c r="H1506" s="28"/>
      <c r="I1506" s="28"/>
      <c r="J1506" s="40"/>
      <c r="K1506" s="26"/>
    </row>
    <row r="1572" spans="1:11" x14ac:dyDescent="0.25">
      <c r="A1572" s="31" t="s">
        <v>401</v>
      </c>
      <c r="B1572" s="71">
        <v>7883000582700</v>
      </c>
      <c r="C1572" s="71"/>
      <c r="D1572" s="71"/>
      <c r="E1572" s="71"/>
      <c r="F1572" s="32" t="s">
        <v>3417</v>
      </c>
      <c r="G1572" s="32"/>
      <c r="H1572" s="32"/>
      <c r="I1572" s="32"/>
      <c r="J1572" s="33"/>
      <c r="K1572" s="34"/>
    </row>
    <row r="1578" spans="1:11" x14ac:dyDescent="0.25">
      <c r="F1578" s="449"/>
    </row>
  </sheetData>
  <autoFilter ref="A1:K1578" xr:uid="{00000000-0001-0000-0400-000000000000}"/>
  <phoneticPr fontId="20" type="noConversion"/>
  <conditionalFormatting sqref="B226">
    <cfRule type="duplicateValues" dxfId="122" priority="12"/>
    <cfRule type="duplicateValues" dxfId="121" priority="13"/>
  </conditionalFormatting>
  <conditionalFormatting sqref="B1157:B1158">
    <cfRule type="duplicateValues" dxfId="120" priority="24"/>
    <cfRule type="duplicateValues" dxfId="119" priority="25"/>
  </conditionalFormatting>
  <conditionalFormatting sqref="B1474 D1474:E1474">
    <cfRule type="duplicateValues" dxfId="118" priority="45"/>
  </conditionalFormatting>
  <conditionalFormatting sqref="B187:C194">
    <cfRule type="duplicateValues" dxfId="117" priority="41"/>
  </conditionalFormatting>
  <conditionalFormatting sqref="B446:C446">
    <cfRule type="duplicateValues" dxfId="116" priority="71"/>
  </conditionalFormatting>
  <conditionalFormatting sqref="B501:C502">
    <cfRule type="duplicateValues" dxfId="115" priority="43"/>
  </conditionalFormatting>
  <conditionalFormatting sqref="B537:C539">
    <cfRule type="duplicateValues" dxfId="114" priority="70"/>
  </conditionalFormatting>
  <conditionalFormatting sqref="B540:C540">
    <cfRule type="duplicateValues" dxfId="113" priority="69"/>
  </conditionalFormatting>
  <conditionalFormatting sqref="B590:C590">
    <cfRule type="duplicateValues" dxfId="112" priority="35"/>
  </conditionalFormatting>
  <conditionalFormatting sqref="B610:C610">
    <cfRule type="duplicateValues" dxfId="111" priority="68"/>
  </conditionalFormatting>
  <conditionalFormatting sqref="B745:C746">
    <cfRule type="duplicateValues" dxfId="110" priority="67"/>
  </conditionalFormatting>
  <conditionalFormatting sqref="B904:C904">
    <cfRule type="duplicateValues" dxfId="109" priority="66"/>
  </conditionalFormatting>
  <conditionalFormatting sqref="B1352:C1355">
    <cfRule type="duplicateValues" dxfId="108" priority="63"/>
  </conditionalFormatting>
  <conditionalFormatting sqref="B1358:C1358">
    <cfRule type="duplicateValues" dxfId="107" priority="62"/>
  </conditionalFormatting>
  <conditionalFormatting sqref="B1369:C1369">
    <cfRule type="duplicateValues" dxfId="106" priority="60"/>
  </conditionalFormatting>
  <conditionalFormatting sqref="B1382:C1382">
    <cfRule type="duplicateValues" dxfId="105" priority="59"/>
  </conditionalFormatting>
  <conditionalFormatting sqref="B1501:C1502 B705 B948:C950 D590:E590 B1505:C1506 B387:C396 B386 B629:C632 B628 B643:C651 B642 B969:C972 B984:C986 B987 B1472:C1473 B1471 B641:C641 B640 B353:B354 B398:C400 B397 B401 B532 B619:C627 B618 B634:C634 B633 B637:C639 B635:B636 B678:C686 B677 B688:C689 B687 B691:C704 B690 B761:B762 B954:C956 B951:B953 B961:C964 B974:C979 B973 B980 B1010 B1185:C1195 B1183:B1184 B1215:C1215 B1451:B1452 B1466:C1470 B1465 B1474 B965:B968 B1196 B1448:C1450 B1445:B1447 B653:C676 B652 B1216:B1219 B1348 B763:C793 B355:C355 B991:C1009 C1157:C1158 B282:C307 C281 B1238 B1349:C1444 B1197:C1200 B309:C352 B1230:C1236 B105:C124 B98:F98 C543 B957:B960 C957 C97 B1202:C1210 B223:C225 C222 B227:C244 C226 C356:C357 B1211:B1214 B1453:C1464 B1154:C1156 B1475:C1499 B247:C280 B988:C989 B1220:C1228 B544:C593 B533:C542 B595:C617 C594 B795:C908 B402:C472 B1011:C1152 B503:C531 B358:C385 B706:C760 B1:C96 B126:C221 B983 B474:C500 C473 C1237:C1316 B1317:C1319 C1320:C1334 B1159:C1182 C1343:C1348">
    <cfRule type="duplicateValues" dxfId="104" priority="50"/>
  </conditionalFormatting>
  <conditionalFormatting sqref="B1501:C1502 B705 D590:E590 B948:C950 B1505:C1506 B387:C396 B386 B629:C632 B628 B643:C651 B642 B969:C972 B984:C986 B987 B1472:C1473 B1471 B641:C641 B640 B353:B354 B398:C400 B397 B401 B532 B619:C627 B618 B634:C634 B633 B637:C639 B635:B636 B678:C686 B677 B688:C689 B687 B691:C704 B690 B761:B762 B954:C956 B951:B953 B961:C964 B974:C979 B973 B980 B1010 B1185:C1195 B1183:B1184 B1215:C1215 B1451:B1452 B1466:C1470 B1465 B1474 B965:B968 B1196 B1448:C1450 B1445:B1447 B653:C676 B652 B1216:B1219 B1348 B355:C355 C1157:C1158 B282:C307 C281 B1238 B1349:C1444 B1197:C1200 B309:C352 B1230:C1236 B98:F98 C543 B957:B960 C957 C97 B1202:C1210 B223:C225 C222 C226 C356:C357 B1211:B1214 B1453:C1464 B1154:C1156 B1475:C1499 B227:C280 B988:C1009 B1220:C1228 B544:C593 B533:C542 B595:C617 C594 B763:C908 B1011:C1152 B402:C472 B358:C385 B706:C760 B1:C96 B105:C221 B983 B474:C531 C473 C1237:C1316 B1317:C1319 C1320:C1334 B1159:C1182 C1343:C1348">
    <cfRule type="duplicateValues" dxfId="103" priority="36"/>
  </conditionalFormatting>
  <conditionalFormatting sqref="B1572:C1572">
    <cfRule type="duplicateValues" dxfId="102" priority="1"/>
    <cfRule type="duplicateValues" dxfId="101" priority="2"/>
  </conditionalFormatting>
  <conditionalFormatting sqref="B184:E184">
    <cfRule type="duplicateValues" dxfId="100" priority="65"/>
  </conditionalFormatting>
  <conditionalFormatting sqref="B185:E186 D187:E194">
    <cfRule type="duplicateValues" dxfId="99" priority="64"/>
  </conditionalFormatting>
  <conditionalFormatting sqref="B195:E195 B126:E183">
    <cfRule type="duplicateValues" dxfId="98" priority="72"/>
  </conditionalFormatting>
  <conditionalFormatting sqref="B303:E303">
    <cfRule type="duplicateValues" dxfId="97" priority="76"/>
  </conditionalFormatting>
  <conditionalFormatting sqref="B462:E462">
    <cfRule type="duplicateValues" dxfId="96" priority="82"/>
  </conditionalFormatting>
  <conditionalFormatting sqref="B495:E495">
    <cfRule type="duplicateValues" dxfId="95" priority="96"/>
  </conditionalFormatting>
  <conditionalFormatting sqref="B496:E496">
    <cfRule type="duplicateValues" dxfId="94" priority="97"/>
  </conditionalFormatting>
  <conditionalFormatting sqref="B497:E497">
    <cfRule type="duplicateValues" dxfId="93" priority="98"/>
  </conditionalFormatting>
  <conditionalFormatting sqref="B585:E586">
    <cfRule type="duplicateValues" dxfId="92" priority="93"/>
  </conditionalFormatting>
  <conditionalFormatting sqref="B587:E587">
    <cfRule type="duplicateValues" dxfId="91" priority="94"/>
  </conditionalFormatting>
  <conditionalFormatting sqref="B588:E588">
    <cfRule type="duplicateValues" dxfId="90" priority="91"/>
  </conditionalFormatting>
  <conditionalFormatting sqref="B589:E589 D590:E590">
    <cfRule type="duplicateValues" dxfId="89" priority="92"/>
  </conditionalFormatting>
  <conditionalFormatting sqref="B630:E630">
    <cfRule type="duplicateValues" dxfId="88" priority="95"/>
  </conditionalFormatting>
  <conditionalFormatting sqref="B641:E641 B642 D642:E642 B640 D640:E640">
    <cfRule type="duplicateValues" dxfId="87" priority="87"/>
  </conditionalFormatting>
  <conditionalFormatting sqref="B643:E644">
    <cfRule type="duplicateValues" dxfId="86" priority="83"/>
  </conditionalFormatting>
  <conditionalFormatting sqref="B657:E657">
    <cfRule type="duplicateValues" dxfId="85" priority="90"/>
  </conditionalFormatting>
  <conditionalFormatting sqref="B658:E658">
    <cfRule type="duplicateValues" dxfId="84" priority="88"/>
  </conditionalFormatting>
  <conditionalFormatting sqref="B659:E659">
    <cfRule type="duplicateValues" dxfId="83" priority="89"/>
  </conditionalFormatting>
  <conditionalFormatting sqref="B997:E997">
    <cfRule type="duplicateValues" dxfId="82" priority="78"/>
  </conditionalFormatting>
  <conditionalFormatting sqref="B998:E998">
    <cfRule type="duplicateValues" dxfId="81" priority="79"/>
  </conditionalFormatting>
  <conditionalFormatting sqref="B999:E999">
    <cfRule type="duplicateValues" dxfId="80" priority="80"/>
  </conditionalFormatting>
  <conditionalFormatting sqref="B1000:E1000">
    <cfRule type="duplicateValues" dxfId="79" priority="77"/>
  </conditionalFormatting>
  <conditionalFormatting sqref="B1005:E1005">
    <cfRule type="duplicateValues" dxfId="78" priority="81"/>
  </conditionalFormatting>
  <conditionalFormatting sqref="B1363:E1363">
    <cfRule type="duplicateValues" dxfId="77" priority="61"/>
  </conditionalFormatting>
  <conditionalFormatting sqref="B1398:E1398">
    <cfRule type="duplicateValues" dxfId="76" priority="57"/>
  </conditionalFormatting>
  <conditionalFormatting sqref="B1404:E1416">
    <cfRule type="duplicateValues" dxfId="75" priority="56"/>
  </conditionalFormatting>
  <conditionalFormatting sqref="B1428:E1430">
    <cfRule type="duplicateValues" dxfId="74" priority="54"/>
  </conditionalFormatting>
  <conditionalFormatting sqref="B1435:E1435">
    <cfRule type="duplicateValues" dxfId="73" priority="53"/>
  </conditionalFormatting>
  <conditionalFormatting sqref="B1442:E1442">
    <cfRule type="duplicateValues" dxfId="72" priority="51"/>
  </conditionalFormatting>
  <conditionalFormatting sqref="B1443:E1444 B661:E662 B1472:E1473 B1471 D1471:E1471 B1451:B1452 D1451:E1452 B1466:E1470 B1465 D1465:E1465 B1448:E1450 B1445:B1447 D1445:E1447 B1453:E1464">
    <cfRule type="duplicateValues" dxfId="71" priority="99"/>
  </conditionalFormatting>
  <conditionalFormatting sqref="B1476:E1476">
    <cfRule type="duplicateValues" dxfId="70" priority="32"/>
  </conditionalFormatting>
  <conditionalFormatting sqref="B1487:E1493">
    <cfRule type="duplicateValues" dxfId="69" priority="28"/>
  </conditionalFormatting>
  <conditionalFormatting sqref="B1494:E1494">
    <cfRule type="duplicateValues" dxfId="68" priority="26"/>
  </conditionalFormatting>
  <conditionalFormatting sqref="B1496:E1496 B1478:E1486">
    <cfRule type="duplicateValues" dxfId="67" priority="325"/>
  </conditionalFormatting>
  <conditionalFormatting sqref="B1497:E1497">
    <cfRule type="duplicateValues" dxfId="66" priority="8"/>
  </conditionalFormatting>
  <conditionalFormatting sqref="B1025:G1028 I1025:I1028">
    <cfRule type="duplicateValues" dxfId="65" priority="119"/>
  </conditionalFormatting>
  <conditionalFormatting sqref="B245:I246">
    <cfRule type="duplicateValues" dxfId="64" priority="127"/>
  </conditionalFormatting>
  <conditionalFormatting sqref="D225:D226">
    <cfRule type="duplicateValues" dxfId="63" priority="14"/>
    <cfRule type="duplicateValues" dxfId="62" priority="15"/>
  </conditionalFormatting>
  <conditionalFormatting sqref="D691">
    <cfRule type="duplicateValues" dxfId="61" priority="39"/>
  </conditionalFormatting>
  <conditionalFormatting sqref="D965">
    <cfRule type="duplicateValues" dxfId="60" priority="38"/>
  </conditionalFormatting>
  <conditionalFormatting sqref="D1217">
    <cfRule type="duplicateValues" dxfId="59" priority="37"/>
  </conditionalFormatting>
  <conditionalFormatting sqref="D1:E1">
    <cfRule type="duplicateValues" dxfId="58" priority="73"/>
  </conditionalFormatting>
  <conditionalFormatting sqref="D302:E302">
    <cfRule type="duplicateValues" dxfId="57" priority="42"/>
  </conditionalFormatting>
  <conditionalFormatting sqref="D1463:E1463">
    <cfRule type="duplicateValues" dxfId="56" priority="120"/>
  </conditionalFormatting>
  <conditionalFormatting sqref="E238">
    <cfRule type="duplicateValues" dxfId="55" priority="20"/>
    <cfRule type="duplicateValues" dxfId="54" priority="21"/>
  </conditionalFormatting>
  <conditionalFormatting sqref="G253">
    <cfRule type="duplicateValues" dxfId="53" priority="27"/>
  </conditionalFormatting>
  <conditionalFormatting sqref="G613">
    <cfRule type="duplicateValues" dxfId="52" priority="3"/>
    <cfRule type="duplicateValues" dxfId="51" priority="4"/>
  </conditionalFormatting>
  <conditionalFormatting sqref="G1176:G1179">
    <cfRule type="duplicateValues" dxfId="50" priority="22"/>
    <cfRule type="duplicateValues" dxfId="49" priority="23"/>
  </conditionalFormatting>
  <conditionalFormatting sqref="G1200">
    <cfRule type="duplicateValues" dxfId="48" priority="30"/>
    <cfRule type="duplicateValues" dxfId="47" priority="31"/>
  </conditionalFormatting>
  <conditionalFormatting sqref="G1206">
    <cfRule type="duplicateValues" dxfId="46" priority="18"/>
    <cfRule type="duplicateValues" dxfId="45" priority="19"/>
  </conditionalFormatting>
  <conditionalFormatting sqref="G1227 G1230:G1232">
    <cfRule type="duplicateValues" dxfId="44" priority="40"/>
  </conditionalFormatting>
  <conditionalFormatting sqref="G1382">
    <cfRule type="duplicateValues" dxfId="43" priority="58"/>
  </conditionalFormatting>
  <conditionalFormatting sqref="G1410:G1414">
    <cfRule type="duplicateValues" dxfId="42" priority="55"/>
  </conditionalFormatting>
  <conditionalFormatting sqref="G1497">
    <cfRule type="duplicateValues" dxfId="41" priority="5"/>
    <cfRule type="duplicateValues" dxfId="40" priority="6"/>
    <cfRule type="duplicateValues" dxfId="39" priority="7"/>
  </conditionalFormatting>
  <conditionalFormatting sqref="K209">
    <cfRule type="expression" dxfId="38" priority="118">
      <formula>#REF!</formula>
    </cfRule>
  </conditionalFormatting>
  <hyperlinks>
    <hyperlink ref="H784" r:id="rId1" xr:uid="{790DE5EE-7950-40C6-BA87-0F17E85012DF}"/>
    <hyperlink ref="H783" r:id="rId2" xr:uid="{990AE990-817E-4409-AB5A-9EFBF059C3B2}"/>
  </hyperlinks>
  <pageMargins left="0.27559055118110237" right="0.19685039370078741" top="0.74803149606299213" bottom="0.74803149606299213" header="0.31496062992125984" footer="0.31496062992125984"/>
  <pageSetup paperSize="9" scale="10" orientation="landscape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6"/>
  <sheetViews>
    <sheetView workbookViewId="0">
      <selection activeCell="D13" sqref="D13"/>
    </sheetView>
  </sheetViews>
  <sheetFormatPr baseColWidth="10" defaultColWidth="11.42578125" defaultRowHeight="15" x14ac:dyDescent="0.25"/>
  <cols>
    <col min="2" max="2" width="14" customWidth="1"/>
  </cols>
  <sheetData>
    <row r="1" spans="1:3" x14ac:dyDescent="0.25">
      <c r="A1" t="s">
        <v>3693</v>
      </c>
      <c r="B1" t="s">
        <v>3694</v>
      </c>
      <c r="C1" t="s">
        <v>3617</v>
      </c>
    </row>
    <row r="3" spans="1:3" x14ac:dyDescent="0.25">
      <c r="A3" t="s">
        <v>3695</v>
      </c>
    </row>
    <row r="4" spans="1:3" x14ac:dyDescent="0.25">
      <c r="A4" s="120" t="s">
        <v>81</v>
      </c>
      <c r="B4" s="121" t="s">
        <v>27</v>
      </c>
    </row>
    <row r="5" spans="1:3" x14ac:dyDescent="0.25">
      <c r="A5" s="120" t="s">
        <v>107</v>
      </c>
      <c r="B5" s="121" t="s">
        <v>105</v>
      </c>
    </row>
    <row r="6" spans="1:3" x14ac:dyDescent="0.25">
      <c r="A6" s="120" t="s">
        <v>54</v>
      </c>
      <c r="B6" s="121" t="s">
        <v>3567</v>
      </c>
    </row>
    <row r="7" spans="1:3" x14ac:dyDescent="0.25">
      <c r="A7" s="120" t="s">
        <v>303</v>
      </c>
      <c r="B7" s="121" t="s">
        <v>3696</v>
      </c>
    </row>
    <row r="8" spans="1:3" x14ac:dyDescent="0.25">
      <c r="A8" s="120" t="s">
        <v>114</v>
      </c>
      <c r="B8" s="121" t="s">
        <v>3595</v>
      </c>
    </row>
    <row r="9" spans="1:3" x14ac:dyDescent="0.25">
      <c r="A9" s="120" t="s">
        <v>40</v>
      </c>
      <c r="B9" s="121" t="s">
        <v>3569</v>
      </c>
    </row>
    <row r="10" spans="1:3" x14ac:dyDescent="0.25">
      <c r="A10" s="120" t="s">
        <v>232</v>
      </c>
      <c r="B10" s="121" t="s">
        <v>26</v>
      </c>
    </row>
    <row r="11" spans="1:3" x14ac:dyDescent="0.25">
      <c r="A11" s="120" t="s">
        <v>175</v>
      </c>
      <c r="B11" s="121" t="s">
        <v>3697</v>
      </c>
    </row>
    <row r="12" spans="1:3" x14ac:dyDescent="0.25">
      <c r="A12" s="120" t="s">
        <v>223</v>
      </c>
      <c r="B12" s="121" t="s">
        <v>3698</v>
      </c>
    </row>
    <row r="13" spans="1:3" x14ac:dyDescent="0.25">
      <c r="A13" s="120" t="s">
        <v>371</v>
      </c>
      <c r="B13" s="121" t="s">
        <v>366</v>
      </c>
    </row>
    <row r="14" spans="1:3" x14ac:dyDescent="0.25">
      <c r="A14" s="120" t="s">
        <v>161</v>
      </c>
      <c r="B14" s="121" t="s">
        <v>3699</v>
      </c>
    </row>
    <row r="15" spans="1:3" x14ac:dyDescent="0.25">
      <c r="A15" s="120" t="s">
        <v>47</v>
      </c>
      <c r="B15" s="121" t="s">
        <v>3624</v>
      </c>
    </row>
    <row r="16" spans="1:3" x14ac:dyDescent="0.25">
      <c r="A16" s="120" t="s">
        <v>73</v>
      </c>
      <c r="B16" s="121" t="s">
        <v>3625</v>
      </c>
    </row>
    <row r="17" spans="1:2" x14ac:dyDescent="0.25">
      <c r="A17" s="120" t="s">
        <v>3700</v>
      </c>
      <c r="B17" s="121" t="s">
        <v>3701</v>
      </c>
    </row>
    <row r="18" spans="1:2" x14ac:dyDescent="0.25">
      <c r="A18" s="120" t="s">
        <v>3702</v>
      </c>
      <c r="B18" s="121" t="s">
        <v>25</v>
      </c>
    </row>
    <row r="19" spans="1:2" x14ac:dyDescent="0.25">
      <c r="A19" s="120" t="s">
        <v>3703</v>
      </c>
      <c r="B19" s="121" t="s">
        <v>3704</v>
      </c>
    </row>
    <row r="88" spans="2:7" x14ac:dyDescent="0.25">
      <c r="B88" t="s">
        <v>2406</v>
      </c>
      <c r="G88" t="s">
        <v>2407</v>
      </c>
    </row>
    <row r="89" spans="2:7" x14ac:dyDescent="0.25">
      <c r="B89" t="s">
        <v>2408</v>
      </c>
      <c r="G89" t="s">
        <v>2409</v>
      </c>
    </row>
    <row r="90" spans="2:7" x14ac:dyDescent="0.25">
      <c r="B90" t="s">
        <v>2410</v>
      </c>
      <c r="G90" t="s">
        <v>2411</v>
      </c>
    </row>
    <row r="91" spans="2:7" x14ac:dyDescent="0.25">
      <c r="B91" t="s">
        <v>2412</v>
      </c>
      <c r="G91" t="s">
        <v>2413</v>
      </c>
    </row>
    <row r="92" spans="2:7" x14ac:dyDescent="0.25">
      <c r="B92" t="s">
        <v>1956</v>
      </c>
      <c r="G92" t="s">
        <v>2414</v>
      </c>
    </row>
    <row r="796" spans="2:28" x14ac:dyDescent="0.25">
      <c r="B796" s="314" t="s">
        <v>1400</v>
      </c>
      <c r="F796" t="s">
        <v>1401</v>
      </c>
      <c r="G796" t="s">
        <v>1402</v>
      </c>
      <c r="J796">
        <v>2</v>
      </c>
      <c r="N796">
        <v>1</v>
      </c>
      <c r="Q796" s="420">
        <v>45737</v>
      </c>
      <c r="T796">
        <v>2</v>
      </c>
      <c r="X796">
        <v>111</v>
      </c>
      <c r="Z796" t="s">
        <v>274</v>
      </c>
      <c r="AB79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2"/>
  <sheetViews>
    <sheetView zoomScale="70" zoomScaleNormal="70" workbookViewId="0">
      <pane ySplit="2" topLeftCell="A3" activePane="bottomLeft" state="frozen"/>
      <selection pane="bottomLeft" activeCell="F15" sqref="F15"/>
    </sheetView>
  </sheetViews>
  <sheetFormatPr baseColWidth="10" defaultColWidth="11.42578125" defaultRowHeight="15" x14ac:dyDescent="0.25"/>
  <cols>
    <col min="4" max="4" width="20.7109375" customWidth="1"/>
    <col min="5" max="5" width="15.7109375" bestFit="1" customWidth="1"/>
    <col min="6" max="6" width="54.7109375" customWidth="1"/>
    <col min="7" max="7" width="33.5703125" customWidth="1"/>
    <col min="8" max="8" width="15.28515625" customWidth="1"/>
    <col min="9" max="9" width="26.42578125" customWidth="1"/>
    <col min="10" max="10" width="5.7109375" bestFit="1" customWidth="1"/>
    <col min="11" max="11" width="13.28515625" bestFit="1" customWidth="1"/>
    <col min="13" max="13" width="6.5703125" bestFit="1" customWidth="1"/>
    <col min="14" max="14" width="10.28515625" bestFit="1" customWidth="1"/>
    <col min="16" max="16" width="14.7109375" bestFit="1" customWidth="1"/>
    <col min="17" max="17" width="12.28515625" bestFit="1" customWidth="1"/>
    <col min="18" max="18" width="6" customWidth="1"/>
    <col min="19" max="19" width="16.5703125" customWidth="1"/>
    <col min="20" max="20" width="13.42578125" bestFit="1" customWidth="1"/>
    <col min="21" max="21" width="5.7109375" bestFit="1" customWidth="1"/>
    <col min="22" max="22" width="10" bestFit="1" customWidth="1"/>
    <col min="23" max="23" width="6.28515625" bestFit="1" customWidth="1"/>
    <col min="24" max="24" width="16.7109375" bestFit="1" customWidth="1"/>
    <col min="25" max="25" width="12" bestFit="1" customWidth="1"/>
    <col min="26" max="26" width="15.42578125" bestFit="1" customWidth="1"/>
    <col min="27" max="27" width="8.7109375" bestFit="1" customWidth="1"/>
    <col min="28" max="28" width="9.7109375" bestFit="1" customWidth="1"/>
  </cols>
  <sheetData>
    <row r="1" spans="1:28" ht="34.5" customHeight="1" x14ac:dyDescent="0.25">
      <c r="A1" t="s">
        <v>23</v>
      </c>
      <c r="B1" t="s">
        <v>23</v>
      </c>
      <c r="C1" s="10" t="s">
        <v>0</v>
      </c>
      <c r="D1" s="10" t="s">
        <v>1</v>
      </c>
      <c r="E1" s="10" t="s">
        <v>3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74" t="s">
        <v>10</v>
      </c>
      <c r="L1" s="13" t="s">
        <v>11</v>
      </c>
      <c r="M1" s="11" t="s">
        <v>12</v>
      </c>
      <c r="N1" s="11" t="s">
        <v>13</v>
      </c>
      <c r="O1" s="13" t="s">
        <v>11</v>
      </c>
      <c r="P1" s="91" t="s">
        <v>14</v>
      </c>
      <c r="Q1" s="93" t="s">
        <v>15</v>
      </c>
      <c r="R1" s="91" t="s">
        <v>3705</v>
      </c>
      <c r="S1" s="13" t="s">
        <v>16</v>
      </c>
      <c r="T1" s="13" t="s">
        <v>17</v>
      </c>
      <c r="U1" s="13" t="s">
        <v>18</v>
      </c>
      <c r="V1" s="104" t="s">
        <v>19</v>
      </c>
      <c r="W1" s="104" t="s">
        <v>0</v>
      </c>
      <c r="X1" s="104" t="s">
        <v>21</v>
      </c>
      <c r="Y1" s="106" t="s">
        <v>20</v>
      </c>
      <c r="Z1" s="106" t="s">
        <v>22</v>
      </c>
      <c r="AA1" s="106" t="s">
        <v>23</v>
      </c>
      <c r="AB1" s="106" t="s">
        <v>24</v>
      </c>
    </row>
    <row r="2" spans="1:28" ht="15.75" thickBot="1" x14ac:dyDescent="0.3">
      <c r="A2" t="s">
        <v>3706</v>
      </c>
      <c r="B2" t="s">
        <v>9</v>
      </c>
      <c r="C2" s="15"/>
      <c r="D2" s="15"/>
      <c r="E2" s="15"/>
      <c r="F2" s="16"/>
      <c r="G2" s="16"/>
      <c r="H2" s="16"/>
      <c r="I2" s="16"/>
      <c r="J2" s="17"/>
      <c r="K2" s="75"/>
      <c r="L2" s="18" t="s">
        <v>2307</v>
      </c>
      <c r="M2" s="16"/>
      <c r="N2" s="16"/>
      <c r="O2" s="18" t="s">
        <v>32</v>
      </c>
      <c r="P2" s="92"/>
      <c r="Q2" s="94"/>
      <c r="R2" s="18"/>
      <c r="S2" s="18"/>
      <c r="T2" s="18"/>
      <c r="U2" s="18"/>
      <c r="V2" s="105"/>
      <c r="W2" s="105"/>
      <c r="X2" s="105"/>
      <c r="Y2" s="105"/>
      <c r="Z2" s="105"/>
      <c r="AA2" s="105"/>
      <c r="AB2" s="105"/>
    </row>
    <row r="3" spans="1:28" x14ac:dyDescent="0.25">
      <c r="C3" s="119" t="s">
        <v>3617</v>
      </c>
      <c r="D3" s="110"/>
      <c r="E3" s="110"/>
      <c r="F3" s="110"/>
      <c r="G3" s="110"/>
      <c r="H3" s="110"/>
      <c r="I3" s="110"/>
      <c r="J3" s="107"/>
      <c r="K3" s="111"/>
      <c r="L3" s="110"/>
      <c r="M3" s="110"/>
      <c r="N3" s="110"/>
      <c r="O3" s="110"/>
      <c r="P3" s="112"/>
      <c r="Q3" s="110"/>
      <c r="R3" s="110"/>
      <c r="S3" s="110"/>
      <c r="T3" s="110"/>
      <c r="U3" s="110"/>
      <c r="V3" s="113"/>
      <c r="W3" s="113"/>
      <c r="X3" s="113"/>
      <c r="Y3" s="113"/>
      <c r="Z3" s="113"/>
      <c r="AA3" s="113"/>
      <c r="AB3" s="113"/>
    </row>
    <row r="4" spans="1:28" ht="18.75" x14ac:dyDescent="0.3">
      <c r="C4" s="19"/>
      <c r="D4" s="19" t="s">
        <v>37</v>
      </c>
      <c r="E4" s="19"/>
      <c r="F4" s="20"/>
      <c r="G4" s="21"/>
      <c r="H4" s="21"/>
      <c r="I4" s="21"/>
      <c r="J4" s="22"/>
      <c r="K4" s="22"/>
      <c r="L4" s="23"/>
      <c r="M4" s="24"/>
      <c r="N4" s="22"/>
      <c r="O4" s="23"/>
      <c r="P4" s="23"/>
      <c r="Q4" s="95"/>
      <c r="R4" s="23"/>
      <c r="S4" s="25"/>
      <c r="T4" s="76"/>
      <c r="U4" s="76"/>
      <c r="V4" s="76"/>
      <c r="W4" s="76"/>
      <c r="X4" s="76"/>
      <c r="Y4" s="76"/>
      <c r="Z4" s="76"/>
      <c r="AA4" s="76"/>
      <c r="AB4" s="76"/>
    </row>
    <row r="5" spans="1:28" ht="15.75" x14ac:dyDescent="0.25">
      <c r="C5" s="27"/>
      <c r="D5" s="27" t="s">
        <v>3618</v>
      </c>
      <c r="E5" s="27"/>
      <c r="F5" s="28"/>
      <c r="G5" s="28"/>
      <c r="H5" s="28"/>
      <c r="I5" s="28"/>
      <c r="J5" s="29"/>
      <c r="K5" s="26"/>
      <c r="L5" s="30"/>
      <c r="M5" s="26"/>
      <c r="N5" s="26"/>
      <c r="O5" s="30"/>
      <c r="P5" s="30"/>
      <c r="Q5" s="96"/>
      <c r="R5" s="30"/>
      <c r="S5" s="30"/>
      <c r="T5" s="77"/>
      <c r="U5" s="77"/>
      <c r="V5" s="77"/>
      <c r="W5" s="77"/>
      <c r="X5" s="77"/>
      <c r="Y5" s="77"/>
      <c r="Z5" s="77"/>
      <c r="AA5" s="77"/>
      <c r="AB5" s="77"/>
    </row>
    <row r="6" spans="1:28" x14ac:dyDescent="0.25">
      <c r="A6" t="str">
        <f>IF(EXACT('BOM A320 FFS'!B6,obsoleta!D6),"OK","ERROR")</f>
        <v>OK</v>
      </c>
      <c r="C6" s="31" t="s">
        <v>37</v>
      </c>
      <c r="D6" s="31"/>
      <c r="E6" s="31"/>
      <c r="F6" s="32" t="s">
        <v>88</v>
      </c>
      <c r="G6" s="32" t="s">
        <v>89</v>
      </c>
      <c r="H6" s="32" t="s">
        <v>90</v>
      </c>
      <c r="I6" s="32" t="s">
        <v>90</v>
      </c>
      <c r="J6" s="33">
        <v>2</v>
      </c>
      <c r="K6" s="34">
        <v>44400</v>
      </c>
      <c r="L6" s="35">
        <v>88800</v>
      </c>
      <c r="M6" s="36" t="s">
        <v>39</v>
      </c>
      <c r="N6" s="37">
        <v>0.85</v>
      </c>
      <c r="O6" s="35">
        <v>75480</v>
      </c>
      <c r="P6" s="35" t="s">
        <v>55</v>
      </c>
      <c r="Q6" s="35" t="s">
        <v>55</v>
      </c>
      <c r="R6" s="35" t="s">
        <v>55</v>
      </c>
      <c r="S6" s="38" t="s">
        <v>91</v>
      </c>
      <c r="T6" s="78">
        <v>1</v>
      </c>
      <c r="U6" s="78"/>
      <c r="V6" s="78"/>
      <c r="W6" s="78" t="s">
        <v>40</v>
      </c>
      <c r="X6" s="78"/>
      <c r="Y6" s="78"/>
      <c r="Z6" s="78"/>
      <c r="AA6" s="78" t="s">
        <v>225</v>
      </c>
      <c r="AB6" s="78"/>
    </row>
    <row r="7" spans="1:28" x14ac:dyDescent="0.25">
      <c r="A7" t="str">
        <f>IF(EXACT('BOM A320 FFS'!B7,obsoleta!D7),"OK","ERROR")</f>
        <v>ERROR</v>
      </c>
      <c r="C7" s="31" t="s">
        <v>28</v>
      </c>
      <c r="D7" s="71">
        <v>1390700590500</v>
      </c>
      <c r="E7" s="71"/>
      <c r="F7" s="32" t="s">
        <v>67</v>
      </c>
      <c r="G7" s="32" t="s">
        <v>68</v>
      </c>
      <c r="H7" s="32" t="s">
        <v>58</v>
      </c>
      <c r="I7" s="32" t="s">
        <v>58</v>
      </c>
      <c r="J7" s="33">
        <v>1</v>
      </c>
      <c r="K7" s="34">
        <v>82800</v>
      </c>
      <c r="L7" s="35">
        <v>82800</v>
      </c>
      <c r="M7" s="36" t="s">
        <v>39</v>
      </c>
      <c r="N7" s="37">
        <v>0.85</v>
      </c>
      <c r="O7" s="35">
        <v>70380</v>
      </c>
      <c r="P7" s="35" t="s">
        <v>33</v>
      </c>
      <c r="Q7" s="97">
        <v>45453</v>
      </c>
      <c r="R7" s="35" t="s">
        <v>62</v>
      </c>
      <c r="S7" s="38" t="s">
        <v>35</v>
      </c>
      <c r="T7" s="78">
        <v>3</v>
      </c>
      <c r="U7" s="78"/>
      <c r="V7" s="78"/>
      <c r="W7" s="78" t="s">
        <v>63</v>
      </c>
      <c r="X7" s="78"/>
      <c r="Y7" s="78"/>
      <c r="Z7" s="78"/>
      <c r="AA7" s="78" t="s">
        <v>225</v>
      </c>
      <c r="AB7" s="78"/>
    </row>
    <row r="8" spans="1:28" x14ac:dyDescent="0.25">
      <c r="A8" t="str">
        <f>IF(EXACT('BOM A320 FFS'!B8,obsoleta!D8),"OK","ERROR")</f>
        <v>ERROR</v>
      </c>
      <c r="C8" s="31" t="s">
        <v>37</v>
      </c>
      <c r="D8" s="71">
        <v>1279901170900</v>
      </c>
      <c r="E8" s="71"/>
      <c r="F8" s="32" t="s">
        <v>203</v>
      </c>
      <c r="G8" s="32" t="s">
        <v>204</v>
      </c>
      <c r="H8" s="32" t="s">
        <v>205</v>
      </c>
      <c r="I8" s="32" t="s">
        <v>205</v>
      </c>
      <c r="J8" s="33">
        <v>1</v>
      </c>
      <c r="K8" s="34">
        <v>4800</v>
      </c>
      <c r="L8" s="35">
        <v>4800</v>
      </c>
      <c r="M8" s="36" t="s">
        <v>39</v>
      </c>
      <c r="N8" s="37">
        <v>0.85</v>
      </c>
      <c r="O8" s="35">
        <v>4080</v>
      </c>
      <c r="P8" s="35" t="s">
        <v>33</v>
      </c>
      <c r="Q8" s="97">
        <v>45453</v>
      </c>
      <c r="R8" s="35" t="s">
        <v>62</v>
      </c>
      <c r="S8" s="38"/>
      <c r="T8" s="78">
        <v>1</v>
      </c>
      <c r="U8" s="78" t="s">
        <v>34</v>
      </c>
      <c r="V8" s="78"/>
      <c r="W8" s="78" t="s">
        <v>40</v>
      </c>
      <c r="X8" s="78" t="s">
        <v>3707</v>
      </c>
      <c r="Y8" s="78">
        <v>1</v>
      </c>
      <c r="Z8" s="78" t="s">
        <v>48</v>
      </c>
      <c r="AA8" s="78" t="s">
        <v>225</v>
      </c>
      <c r="AB8" s="78">
        <v>1</v>
      </c>
    </row>
    <row r="9" spans="1:28" ht="24.75" x14ac:dyDescent="0.25">
      <c r="A9" t="str">
        <f>IF(EXACT('BOM A320 FFS'!B10,obsoleta!D9),"OK","ERROR")</f>
        <v>ERROR</v>
      </c>
      <c r="C9" s="31" t="s">
        <v>37</v>
      </c>
      <c r="D9" s="31"/>
      <c r="E9" s="31"/>
      <c r="F9" s="32" t="s">
        <v>190</v>
      </c>
      <c r="G9" s="32" t="s">
        <v>70</v>
      </c>
      <c r="H9" s="32" t="s">
        <v>125</v>
      </c>
      <c r="I9" s="32" t="s">
        <v>125</v>
      </c>
      <c r="J9" s="33">
        <v>6</v>
      </c>
      <c r="K9" s="34">
        <v>16800</v>
      </c>
      <c r="L9" s="35">
        <v>100800</v>
      </c>
      <c r="M9" s="36" t="s">
        <v>39</v>
      </c>
      <c r="N9" s="37">
        <v>0.85</v>
      </c>
      <c r="O9" s="35">
        <v>85680</v>
      </c>
      <c r="P9" s="35" t="s">
        <v>130</v>
      </c>
      <c r="Q9" s="97">
        <v>45442</v>
      </c>
      <c r="R9" s="35" t="s">
        <v>62</v>
      </c>
      <c r="S9" s="79" t="s">
        <v>133</v>
      </c>
      <c r="T9" s="78">
        <v>1</v>
      </c>
      <c r="U9" s="78" t="s">
        <v>34</v>
      </c>
      <c r="V9" s="78"/>
      <c r="W9" s="78" t="s">
        <v>40</v>
      </c>
      <c r="X9" s="78"/>
      <c r="Y9" s="78"/>
      <c r="Z9" s="78"/>
      <c r="AA9" s="78" t="s">
        <v>225</v>
      </c>
      <c r="AB9" s="78"/>
    </row>
    <row r="10" spans="1:28" ht="24.75" x14ac:dyDescent="0.25">
      <c r="A10" t="str">
        <f>IF(EXACT('BOM A320 FFS'!B11,obsoleta!D10),"OK","ERROR")</f>
        <v>ERROR</v>
      </c>
      <c r="C10" s="31" t="s">
        <v>37</v>
      </c>
      <c r="D10" s="31"/>
      <c r="E10" s="31"/>
      <c r="F10" s="32" t="s">
        <v>132</v>
      </c>
      <c r="G10" s="32"/>
      <c r="H10" s="32" t="s">
        <v>125</v>
      </c>
      <c r="I10" s="32" t="s">
        <v>125</v>
      </c>
      <c r="J10" s="33">
        <v>1</v>
      </c>
      <c r="K10" s="34">
        <v>18000</v>
      </c>
      <c r="L10" s="35">
        <v>18000</v>
      </c>
      <c r="M10" s="36" t="s">
        <v>39</v>
      </c>
      <c r="N10" s="37">
        <v>0.85</v>
      </c>
      <c r="O10" s="35">
        <v>15300</v>
      </c>
      <c r="P10" s="35" t="s">
        <v>130</v>
      </c>
      <c r="Q10" s="97">
        <v>45442</v>
      </c>
      <c r="R10" s="35" t="s">
        <v>62</v>
      </c>
      <c r="S10" s="79" t="s">
        <v>133</v>
      </c>
      <c r="T10" s="78">
        <v>1</v>
      </c>
      <c r="U10" s="78" t="s">
        <v>34</v>
      </c>
      <c r="V10" s="78"/>
      <c r="W10" s="78" t="s">
        <v>40</v>
      </c>
      <c r="X10" s="78"/>
      <c r="Y10" s="78"/>
      <c r="Z10" s="78"/>
      <c r="AA10" s="78" t="s">
        <v>225</v>
      </c>
      <c r="AB10" s="78"/>
    </row>
    <row r="11" spans="1:28" x14ac:dyDescent="0.25">
      <c r="A11" t="str">
        <f>IF(EXACT('BOM A320 FFS'!B12,obsoleta!D11),"OK","ERROR")</f>
        <v>ERROR</v>
      </c>
      <c r="C11" s="71" t="s">
        <v>37</v>
      </c>
      <c r="D11" s="71">
        <v>1390701500700</v>
      </c>
      <c r="E11" s="71"/>
      <c r="F11" s="32" t="s">
        <v>123</v>
      </c>
      <c r="G11" s="32" t="s">
        <v>124</v>
      </c>
      <c r="H11" s="32" t="s">
        <v>125</v>
      </c>
      <c r="I11" s="32" t="s">
        <v>125</v>
      </c>
      <c r="J11" s="33">
        <v>2</v>
      </c>
      <c r="K11" s="34">
        <v>19200</v>
      </c>
      <c r="L11" s="35">
        <v>38400</v>
      </c>
      <c r="M11" s="36" t="s">
        <v>39</v>
      </c>
      <c r="N11" s="37">
        <v>0.85</v>
      </c>
      <c r="O11" s="35">
        <v>32640</v>
      </c>
      <c r="P11" s="35" t="s">
        <v>33</v>
      </c>
      <c r="Q11" s="97">
        <v>45453</v>
      </c>
      <c r="R11" s="35" t="s">
        <v>62</v>
      </c>
      <c r="S11" s="38" t="s">
        <v>125</v>
      </c>
      <c r="T11" s="78">
        <v>1</v>
      </c>
      <c r="U11" s="78" t="s">
        <v>34</v>
      </c>
      <c r="V11" s="78"/>
      <c r="W11" s="78" t="s">
        <v>40</v>
      </c>
      <c r="X11" s="78" t="s">
        <v>3707</v>
      </c>
      <c r="Y11" s="78">
        <v>1</v>
      </c>
      <c r="Z11" s="78" t="s">
        <v>48</v>
      </c>
      <c r="AA11" s="78" t="s">
        <v>225</v>
      </c>
      <c r="AB11" s="78">
        <v>2</v>
      </c>
    </row>
    <row r="12" spans="1:28" x14ac:dyDescent="0.25">
      <c r="A12" t="str">
        <f>IF(EXACT('BOM A320 FFS'!B17,obsoleta!D12),"OK","ERROR")</f>
        <v>OK</v>
      </c>
      <c r="C12" s="39"/>
      <c r="D12" s="39"/>
      <c r="E12" s="39"/>
      <c r="F12" s="28"/>
      <c r="G12" s="28"/>
      <c r="H12" s="28"/>
      <c r="I12" s="28"/>
      <c r="J12" s="40"/>
      <c r="K12" s="30"/>
      <c r="L12" s="30"/>
      <c r="M12" s="26"/>
      <c r="N12" s="26"/>
      <c r="O12" s="41"/>
      <c r="P12" s="41"/>
      <c r="Q12" s="98"/>
      <c r="R12" s="41"/>
      <c r="S12" s="30"/>
      <c r="T12" s="82"/>
      <c r="U12" s="82"/>
      <c r="V12" s="82"/>
      <c r="W12" s="82"/>
      <c r="X12" s="82"/>
      <c r="Y12" s="82"/>
      <c r="Z12" s="82"/>
      <c r="AA12" s="82" t="s">
        <v>225</v>
      </c>
      <c r="AB12" s="82"/>
    </row>
    <row r="13" spans="1:28" ht="15.75" x14ac:dyDescent="0.25">
      <c r="A13" t="str">
        <f>IF(EXACT('BOM A320 FFS'!B20,obsoleta!D13),"OK","ERROR")</f>
        <v>ERROR</v>
      </c>
      <c r="C13" s="27"/>
      <c r="D13" s="27" t="s">
        <v>3212</v>
      </c>
      <c r="E13" s="27"/>
      <c r="F13" s="42" t="s">
        <v>3213</v>
      </c>
      <c r="G13" s="43"/>
      <c r="H13" s="28"/>
      <c r="I13" s="28"/>
      <c r="J13" s="40"/>
      <c r="K13" s="30"/>
      <c r="L13" s="30"/>
      <c r="M13" s="26"/>
      <c r="N13" s="26"/>
      <c r="O13" s="41"/>
      <c r="P13" s="41"/>
      <c r="Q13" s="98"/>
      <c r="R13" s="41"/>
      <c r="S13" s="30"/>
      <c r="T13" s="82"/>
      <c r="U13" s="82"/>
      <c r="V13" s="82"/>
      <c r="W13" s="82"/>
      <c r="X13" s="82"/>
      <c r="Y13" s="82"/>
      <c r="Z13" s="82"/>
      <c r="AA13" s="82" t="s">
        <v>225</v>
      </c>
      <c r="AB13" s="82"/>
    </row>
    <row r="14" spans="1:28" x14ac:dyDescent="0.25">
      <c r="A14" t="str">
        <f>IF(EXACT('BOM A320 FFS'!B21,obsoleta!D14),"OK","ERROR")</f>
        <v>ERROR</v>
      </c>
      <c r="C14" s="31" t="s">
        <v>28</v>
      </c>
      <c r="D14" s="31"/>
      <c r="E14" s="31"/>
      <c r="F14" s="32" t="s">
        <v>3708</v>
      </c>
      <c r="G14" s="32"/>
      <c r="H14" s="32" t="s">
        <v>30</v>
      </c>
      <c r="I14" s="32" t="s">
        <v>31</v>
      </c>
      <c r="J14" s="33">
        <v>1</v>
      </c>
      <c r="K14" s="34">
        <v>2578500</v>
      </c>
      <c r="L14" s="35">
        <v>2578500</v>
      </c>
      <c r="M14" s="36" t="s">
        <v>32</v>
      </c>
      <c r="N14" s="37">
        <v>1</v>
      </c>
      <c r="O14" s="35">
        <v>2578500</v>
      </c>
      <c r="P14" s="35" t="s">
        <v>33</v>
      </c>
      <c r="Q14" s="97"/>
      <c r="R14" s="35" t="s">
        <v>34</v>
      </c>
      <c r="S14" s="38" t="s">
        <v>35</v>
      </c>
      <c r="T14" s="78">
        <v>1</v>
      </c>
      <c r="U14" s="78"/>
      <c r="V14" s="78"/>
      <c r="W14" s="78" t="s">
        <v>36</v>
      </c>
      <c r="X14" s="78"/>
      <c r="Y14" s="78"/>
      <c r="Z14" s="78"/>
      <c r="AA14" s="78" t="s">
        <v>225</v>
      </c>
      <c r="AB14" s="78"/>
    </row>
    <row r="15" spans="1:28" x14ac:dyDescent="0.25">
      <c r="A15" t="str">
        <f>IF(EXACT('BOM A320 FFS'!B22,obsoleta!D15),"OK","ERROR")</f>
        <v>OK</v>
      </c>
      <c r="C15" s="31"/>
      <c r="D15" s="31"/>
      <c r="E15" s="31"/>
      <c r="F15" s="32" t="s">
        <v>3709</v>
      </c>
      <c r="G15" s="32"/>
      <c r="H15" s="32" t="s">
        <v>30</v>
      </c>
      <c r="I15" s="32" t="s">
        <v>31</v>
      </c>
      <c r="J15" s="33">
        <v>1</v>
      </c>
      <c r="K15" s="34">
        <v>35000</v>
      </c>
      <c r="L15" s="35">
        <v>35000</v>
      </c>
      <c r="M15" s="36" t="s">
        <v>39</v>
      </c>
      <c r="N15" s="37">
        <v>0.85</v>
      </c>
      <c r="O15" s="35">
        <v>29750</v>
      </c>
      <c r="P15" s="35" t="s">
        <v>99</v>
      </c>
      <c r="Q15" s="97"/>
      <c r="R15" s="35" t="s">
        <v>62</v>
      </c>
      <c r="S15" s="38"/>
      <c r="T15" s="78"/>
      <c r="U15" s="78"/>
      <c r="V15" s="78"/>
      <c r="W15" s="78" t="s">
        <v>36</v>
      </c>
      <c r="X15" s="78"/>
      <c r="Y15" s="78"/>
      <c r="Z15" s="78"/>
      <c r="AA15" s="78" t="s">
        <v>225</v>
      </c>
      <c r="AB15" s="78"/>
    </row>
    <row r="16" spans="1:28" x14ac:dyDescent="0.25">
      <c r="A16" t="str">
        <f>IF(EXACT('BOM A320 FFS'!B23,obsoleta!D16),"OK","ERROR")</f>
        <v>ERROR</v>
      </c>
      <c r="C16" s="31" t="s">
        <v>37</v>
      </c>
      <c r="D16" s="31"/>
      <c r="E16" s="31"/>
      <c r="F16" s="32" t="s">
        <v>38</v>
      </c>
      <c r="G16" s="32"/>
      <c r="H16" s="32" t="s">
        <v>30</v>
      </c>
      <c r="I16" s="32" t="s">
        <v>31</v>
      </c>
      <c r="J16" s="33">
        <v>1</v>
      </c>
      <c r="K16" s="34">
        <v>1140000</v>
      </c>
      <c r="L16" s="35">
        <v>1140000</v>
      </c>
      <c r="M16" s="36" t="s">
        <v>39</v>
      </c>
      <c r="N16" s="37">
        <v>0.85</v>
      </c>
      <c r="O16" s="35">
        <v>969000</v>
      </c>
      <c r="P16" s="35" t="s">
        <v>33</v>
      </c>
      <c r="Q16" s="97"/>
      <c r="R16" s="35" t="s">
        <v>34</v>
      </c>
      <c r="S16" s="38" t="s">
        <v>35</v>
      </c>
      <c r="T16" s="78">
        <v>1</v>
      </c>
      <c r="U16" s="78" t="s">
        <v>34</v>
      </c>
      <c r="V16" s="78"/>
      <c r="W16" s="78" t="s">
        <v>40</v>
      </c>
      <c r="X16" s="78"/>
      <c r="Y16" s="78"/>
      <c r="Z16" s="78"/>
      <c r="AA16" s="78" t="s">
        <v>225</v>
      </c>
      <c r="AB16" s="78"/>
    </row>
    <row r="17" spans="1:28" x14ac:dyDescent="0.25">
      <c r="A17" t="str">
        <f>IF(EXACT('BOM A320 FFS'!B24,obsoleta!D17),"OK","ERROR")</f>
        <v>ERROR</v>
      </c>
      <c r="C17" s="39"/>
      <c r="D17" s="39"/>
      <c r="E17" s="39"/>
      <c r="F17" s="28"/>
      <c r="G17" s="28"/>
      <c r="H17" s="28"/>
      <c r="I17" s="28"/>
      <c r="J17" s="40"/>
      <c r="K17" s="30"/>
      <c r="L17" s="30"/>
      <c r="M17" s="26"/>
      <c r="N17" s="26"/>
      <c r="O17" s="41"/>
      <c r="P17" s="41"/>
      <c r="Q17" s="98"/>
      <c r="R17" s="41"/>
      <c r="S17" s="30"/>
      <c r="T17" s="82"/>
      <c r="U17" s="82"/>
      <c r="V17" s="82"/>
      <c r="W17" s="82"/>
      <c r="X17" s="82"/>
      <c r="Y17" s="82"/>
      <c r="Z17" s="82"/>
      <c r="AA17" s="82" t="str">
        <f t="shared" ref="AA17" si="0">IF(AC17&gt;AB17,"falta","ok")</f>
        <v>ok</v>
      </c>
      <c r="AB17" s="82"/>
    </row>
    <row r="18" spans="1:28" ht="15.75" x14ac:dyDescent="0.25">
      <c r="A18" t="str">
        <f>IF(EXACT('BOM A320 FFS'!B25,obsoleta!D18),"OK","ERROR")</f>
        <v>ERROR</v>
      </c>
      <c r="C18" s="27"/>
      <c r="D18" s="27" t="s">
        <v>3619</v>
      </c>
      <c r="E18" s="27"/>
      <c r="F18" s="28"/>
      <c r="G18" s="28"/>
      <c r="H18" s="28"/>
      <c r="I18" s="28"/>
      <c r="J18" s="40"/>
      <c r="K18" s="30"/>
      <c r="L18" s="30"/>
      <c r="M18" s="26"/>
      <c r="N18" s="26"/>
      <c r="O18" s="41"/>
      <c r="P18" s="41"/>
      <c r="Q18" s="98"/>
      <c r="R18" s="41"/>
      <c r="S18" s="30"/>
      <c r="T18" s="82"/>
      <c r="U18" s="82"/>
      <c r="V18" s="82"/>
      <c r="W18" s="82"/>
      <c r="X18" s="82"/>
      <c r="Y18" s="82"/>
      <c r="Z18" s="82"/>
      <c r="AA18" s="82" t="s">
        <v>225</v>
      </c>
      <c r="AB18" s="82"/>
    </row>
    <row r="19" spans="1:28" x14ac:dyDescent="0.25">
      <c r="A19" t="str">
        <f>IF(EXACT('BOM A320 FFS'!B26,obsoleta!D19),"OK","ERROR")</f>
        <v>ERROR</v>
      </c>
      <c r="C19" s="31" t="s">
        <v>37</v>
      </c>
      <c r="D19" s="31"/>
      <c r="E19" s="31"/>
      <c r="F19" s="32" t="s">
        <v>49</v>
      </c>
      <c r="G19" s="32"/>
      <c r="H19" s="32" t="s">
        <v>50</v>
      </c>
      <c r="I19" s="32" t="s">
        <v>50</v>
      </c>
      <c r="J19" s="33">
        <v>1</v>
      </c>
      <c r="K19" s="34">
        <v>223899.6</v>
      </c>
      <c r="L19" s="35">
        <v>223899.6</v>
      </c>
      <c r="M19" s="36" t="s">
        <v>32</v>
      </c>
      <c r="N19" s="37">
        <v>1</v>
      </c>
      <c r="O19" s="35">
        <v>223899.6</v>
      </c>
      <c r="P19" s="35" t="s">
        <v>33</v>
      </c>
      <c r="Q19" s="97"/>
      <c r="R19" s="35" t="s">
        <v>34</v>
      </c>
      <c r="S19" s="38" t="s">
        <v>35</v>
      </c>
      <c r="T19" s="78">
        <v>1</v>
      </c>
      <c r="U19" s="78"/>
      <c r="V19" s="78"/>
      <c r="W19" s="78" t="s">
        <v>40</v>
      </c>
      <c r="X19" s="78"/>
      <c r="Y19" s="78"/>
      <c r="Z19" s="78"/>
      <c r="AA19" s="78" t="s">
        <v>225</v>
      </c>
      <c r="AB19" s="78"/>
    </row>
    <row r="20" spans="1:28" x14ac:dyDescent="0.25">
      <c r="A20" t="str">
        <f>IF(EXACT('BOM A320 FFS'!B27,obsoleta!D20),"OK","ERROR")</f>
        <v>ERROR</v>
      </c>
      <c r="C20" s="31" t="s">
        <v>28</v>
      </c>
      <c r="D20" s="31"/>
      <c r="E20" s="31"/>
      <c r="F20" s="32" t="s">
        <v>3710</v>
      </c>
      <c r="G20" s="32"/>
      <c r="H20" s="32" t="s">
        <v>50</v>
      </c>
      <c r="I20" s="32" t="s">
        <v>50</v>
      </c>
      <c r="J20" s="33">
        <v>1</v>
      </c>
      <c r="K20" s="34">
        <v>92911.2</v>
      </c>
      <c r="L20" s="35">
        <v>92911.2</v>
      </c>
      <c r="M20" s="36" t="s">
        <v>32</v>
      </c>
      <c r="N20" s="37">
        <v>1</v>
      </c>
      <c r="O20" s="35">
        <v>92911.2</v>
      </c>
      <c r="P20" s="35" t="s">
        <v>33</v>
      </c>
      <c r="Q20" s="97">
        <v>45453</v>
      </c>
      <c r="R20" s="35" t="s">
        <v>62</v>
      </c>
      <c r="S20" s="38" t="s">
        <v>35</v>
      </c>
      <c r="T20" s="78">
        <v>2</v>
      </c>
      <c r="U20" s="78"/>
      <c r="V20" s="78"/>
      <c r="W20" s="78" t="s">
        <v>63</v>
      </c>
      <c r="X20" s="78"/>
      <c r="Y20" s="78"/>
      <c r="Z20" s="78"/>
      <c r="AA20" s="78" t="s">
        <v>225</v>
      </c>
      <c r="AB20" s="78"/>
    </row>
    <row r="21" spans="1:28" x14ac:dyDescent="0.25">
      <c r="A21" t="str">
        <f>IF(EXACT('BOM A320 FFS'!B28,obsoleta!D21),"OK","ERROR")</f>
        <v>ERROR</v>
      </c>
      <c r="C21" s="31" t="s">
        <v>28</v>
      </c>
      <c r="D21" s="31"/>
      <c r="E21" s="31"/>
      <c r="F21" s="32" t="s">
        <v>3711</v>
      </c>
      <c r="G21" s="32"/>
      <c r="H21" s="32" t="s">
        <v>50</v>
      </c>
      <c r="I21" s="32" t="s">
        <v>50</v>
      </c>
      <c r="J21" s="33">
        <v>1</v>
      </c>
      <c r="K21" s="34">
        <v>52840.800000000003</v>
      </c>
      <c r="L21" s="35">
        <v>52840.800000000003</v>
      </c>
      <c r="M21" s="36" t="s">
        <v>32</v>
      </c>
      <c r="N21" s="37">
        <v>1</v>
      </c>
      <c r="O21" s="35">
        <v>52840.800000000003</v>
      </c>
      <c r="P21" s="35" t="s">
        <v>33</v>
      </c>
      <c r="Q21" s="97">
        <v>45453</v>
      </c>
      <c r="R21" s="35" t="s">
        <v>62</v>
      </c>
      <c r="S21" s="38" t="s">
        <v>35</v>
      </c>
      <c r="T21" s="78">
        <v>2</v>
      </c>
      <c r="U21" s="78"/>
      <c r="V21" s="78"/>
      <c r="W21" s="78" t="s">
        <v>63</v>
      </c>
      <c r="X21" s="78"/>
      <c r="Y21" s="78"/>
      <c r="Z21" s="78"/>
      <c r="AA21" s="78" t="s">
        <v>225</v>
      </c>
      <c r="AB21" s="78"/>
    </row>
    <row r="22" spans="1:28" x14ac:dyDescent="0.25">
      <c r="A22" t="str">
        <f>IF(EXACT('BOM A320 FFS'!B29,obsoleta!D22),"OK","ERROR")</f>
        <v>ERROR</v>
      </c>
      <c r="C22" s="39"/>
      <c r="D22" s="39"/>
      <c r="E22" s="39"/>
      <c r="F22" s="28"/>
      <c r="G22" s="28"/>
      <c r="H22" s="28"/>
      <c r="I22" s="28"/>
      <c r="J22" s="40"/>
      <c r="K22" s="30"/>
      <c r="L22" s="30"/>
      <c r="M22" s="26"/>
      <c r="N22" s="26"/>
      <c r="O22" s="41"/>
      <c r="P22" s="41"/>
      <c r="Q22" s="98"/>
      <c r="R22" s="41"/>
      <c r="S22" s="30"/>
      <c r="T22" s="83"/>
      <c r="U22" s="83"/>
      <c r="V22" s="83"/>
      <c r="W22" s="83"/>
      <c r="X22" s="83"/>
      <c r="Y22" s="83"/>
      <c r="Z22" s="83"/>
      <c r="AA22" s="83" t="s">
        <v>225</v>
      </c>
      <c r="AB22" s="83"/>
    </row>
    <row r="23" spans="1:28" ht="15.75" x14ac:dyDescent="0.25">
      <c r="A23" t="str">
        <f>IF(EXACT('BOM A320 FFS'!B33,obsoleta!D23),"OK","ERROR")</f>
        <v>ERROR</v>
      </c>
      <c r="C23" s="27"/>
      <c r="D23" s="27" t="s">
        <v>3620</v>
      </c>
      <c r="E23" s="27"/>
      <c r="F23" s="28"/>
      <c r="G23" s="28"/>
      <c r="H23" s="28"/>
      <c r="I23" s="28"/>
      <c r="J23" s="40"/>
      <c r="K23" s="30"/>
      <c r="L23" s="30"/>
      <c r="M23" s="26"/>
      <c r="N23" s="26"/>
      <c r="O23" s="41"/>
      <c r="P23" s="41"/>
      <c r="Q23" s="98"/>
      <c r="R23" s="41"/>
      <c r="S23" s="30"/>
      <c r="T23" s="83"/>
      <c r="U23" s="83"/>
      <c r="V23" s="83"/>
      <c r="W23" s="83"/>
      <c r="X23" s="83"/>
      <c r="Y23" s="83"/>
      <c r="Z23" s="83"/>
      <c r="AA23" s="83" t="s">
        <v>225</v>
      </c>
      <c r="AB23" s="83"/>
    </row>
    <row r="24" spans="1:28" x14ac:dyDescent="0.25">
      <c r="A24" t="str">
        <f>IF(EXACT('BOM A320 FFS'!B34,obsoleta!D24),"OK","ERROR")</f>
        <v>ERROR</v>
      </c>
      <c r="C24" s="31" t="s">
        <v>105</v>
      </c>
      <c r="D24" s="31"/>
      <c r="E24" s="31"/>
      <c r="F24" s="32" t="s">
        <v>238</v>
      </c>
      <c r="G24" s="32"/>
      <c r="H24" s="32" t="s">
        <v>53</v>
      </c>
      <c r="I24" s="32" t="s">
        <v>53</v>
      </c>
      <c r="J24" s="33">
        <v>1</v>
      </c>
      <c r="K24" s="34">
        <v>3016</v>
      </c>
      <c r="L24" s="35">
        <v>3619.2</v>
      </c>
      <c r="M24" s="36" t="s">
        <v>32</v>
      </c>
      <c r="N24" s="37">
        <v>1</v>
      </c>
      <c r="O24" s="35">
        <v>3619.2</v>
      </c>
      <c r="P24" s="35" t="s">
        <v>33</v>
      </c>
      <c r="Q24" s="97"/>
      <c r="R24" s="35" t="s">
        <v>34</v>
      </c>
      <c r="S24" s="38" t="s">
        <v>35</v>
      </c>
      <c r="T24" s="78">
        <v>1</v>
      </c>
      <c r="U24" s="78" t="s">
        <v>34</v>
      </c>
      <c r="V24" s="78"/>
      <c r="W24" s="78" t="s">
        <v>107</v>
      </c>
      <c r="X24" s="78"/>
      <c r="Y24" s="78"/>
      <c r="Z24" s="78"/>
      <c r="AA24" s="78" t="s">
        <v>225</v>
      </c>
      <c r="AB24" s="78"/>
    </row>
    <row r="25" spans="1:28" x14ac:dyDescent="0.25">
      <c r="A25" t="str">
        <f>IF(EXACT('BOM A320 FFS'!B35,obsoleta!D25),"OK","ERROR")</f>
        <v>ERROR</v>
      </c>
      <c r="C25" s="31" t="s">
        <v>105</v>
      </c>
      <c r="D25" s="31"/>
      <c r="E25" s="31"/>
      <c r="F25" s="32" t="s">
        <v>106</v>
      </c>
      <c r="G25" s="32"/>
      <c r="H25" s="32" t="s">
        <v>53</v>
      </c>
      <c r="I25" s="32" t="s">
        <v>53</v>
      </c>
      <c r="J25" s="33">
        <v>1</v>
      </c>
      <c r="K25" s="34">
        <v>29390.400000000001</v>
      </c>
      <c r="L25" s="35">
        <v>35268.480000000003</v>
      </c>
      <c r="M25" s="36" t="s">
        <v>32</v>
      </c>
      <c r="N25" s="37">
        <v>1</v>
      </c>
      <c r="O25" s="35">
        <v>35268.480000000003</v>
      </c>
      <c r="P25" s="35" t="s">
        <v>33</v>
      </c>
      <c r="Q25" s="97"/>
      <c r="R25" s="35" t="s">
        <v>34</v>
      </c>
      <c r="S25" s="38" t="s">
        <v>35</v>
      </c>
      <c r="T25" s="78">
        <v>1</v>
      </c>
      <c r="U25" s="78" t="s">
        <v>34</v>
      </c>
      <c r="V25" s="78"/>
      <c r="W25" s="78" t="s">
        <v>107</v>
      </c>
      <c r="X25" s="78"/>
      <c r="Y25" s="78"/>
      <c r="Z25" s="78"/>
      <c r="AA25" s="78" t="s">
        <v>225</v>
      </c>
      <c r="AB25" s="78"/>
    </row>
    <row r="26" spans="1:28" x14ac:dyDescent="0.25">
      <c r="A26" t="str">
        <f>IF(EXACT('BOM A320 FFS'!B36,obsoleta!D26),"OK","ERROR")</f>
        <v>ERROR</v>
      </c>
      <c r="C26" s="31" t="s">
        <v>105</v>
      </c>
      <c r="D26" s="31"/>
      <c r="E26" s="31"/>
      <c r="F26" s="32" t="s">
        <v>188</v>
      </c>
      <c r="G26" s="32"/>
      <c r="H26" s="32" t="s">
        <v>53</v>
      </c>
      <c r="I26" s="32" t="s">
        <v>53</v>
      </c>
      <c r="J26" s="33">
        <v>1</v>
      </c>
      <c r="K26" s="34">
        <v>6240</v>
      </c>
      <c r="L26" s="35">
        <v>7488</v>
      </c>
      <c r="M26" s="36" t="s">
        <v>32</v>
      </c>
      <c r="N26" s="37">
        <v>1</v>
      </c>
      <c r="O26" s="35">
        <v>7488</v>
      </c>
      <c r="P26" s="35" t="s">
        <v>33</v>
      </c>
      <c r="Q26" s="97"/>
      <c r="R26" s="35" t="s">
        <v>34</v>
      </c>
      <c r="S26" s="38" t="s">
        <v>35</v>
      </c>
      <c r="T26" s="78">
        <v>1</v>
      </c>
      <c r="U26" s="78" t="s">
        <v>34</v>
      </c>
      <c r="V26" s="78"/>
      <c r="W26" s="78" t="s">
        <v>107</v>
      </c>
      <c r="X26" s="78"/>
      <c r="Y26" s="78"/>
      <c r="Z26" s="78"/>
      <c r="AA26" s="78" t="s">
        <v>225</v>
      </c>
      <c r="AB26" s="78"/>
    </row>
    <row r="27" spans="1:28" x14ac:dyDescent="0.25">
      <c r="A27" t="str">
        <f>IF(EXACT('BOM A320 FFS'!B37,obsoleta!D27),"OK","ERROR")</f>
        <v>ERROR</v>
      </c>
      <c r="C27" s="31" t="s">
        <v>105</v>
      </c>
      <c r="D27" s="31"/>
      <c r="E27" s="31"/>
      <c r="F27" s="32" t="s">
        <v>470</v>
      </c>
      <c r="G27" s="32"/>
      <c r="H27" s="32" t="s">
        <v>53</v>
      </c>
      <c r="I27" s="32" t="s">
        <v>53</v>
      </c>
      <c r="J27" s="33">
        <v>1</v>
      </c>
      <c r="K27" s="34">
        <v>312</v>
      </c>
      <c r="L27" s="35">
        <v>374.4</v>
      </c>
      <c r="M27" s="36" t="s">
        <v>32</v>
      </c>
      <c r="N27" s="37">
        <v>1</v>
      </c>
      <c r="O27" s="35">
        <v>374.4</v>
      </c>
      <c r="P27" s="35" t="s">
        <v>33</v>
      </c>
      <c r="Q27" s="97"/>
      <c r="R27" s="35" t="s">
        <v>34</v>
      </c>
      <c r="S27" s="38" t="s">
        <v>35</v>
      </c>
      <c r="T27" s="78">
        <v>1</v>
      </c>
      <c r="U27" s="78" t="s">
        <v>34</v>
      </c>
      <c r="V27" s="78"/>
      <c r="W27" s="78" t="s">
        <v>107</v>
      </c>
      <c r="X27" s="78"/>
      <c r="Y27" s="78"/>
      <c r="Z27" s="78"/>
      <c r="AA27" s="78" t="s">
        <v>225</v>
      </c>
      <c r="AB27" s="78"/>
    </row>
    <row r="28" spans="1:28" x14ac:dyDescent="0.25">
      <c r="A28" t="str">
        <f>IF(EXACT('BOM A320 FFS'!B39,obsoleta!D28),"OK","ERROR")</f>
        <v>ERROR</v>
      </c>
      <c r="C28" s="39"/>
      <c r="D28" s="39"/>
      <c r="E28" s="39"/>
      <c r="F28" s="28"/>
      <c r="G28" s="28"/>
      <c r="H28" s="28"/>
      <c r="I28" s="28"/>
      <c r="J28" s="39"/>
      <c r="K28" s="44"/>
      <c r="L28" s="28"/>
      <c r="M28" s="28"/>
      <c r="N28" s="45"/>
      <c r="O28" s="46"/>
      <c r="P28" s="46"/>
      <c r="Q28" s="99"/>
      <c r="R28" s="46"/>
      <c r="S28" s="47"/>
      <c r="T28" s="82"/>
      <c r="U28" s="82"/>
      <c r="V28" s="82"/>
      <c r="W28" s="82"/>
      <c r="X28" s="82"/>
      <c r="Y28" s="82"/>
      <c r="Z28" s="82"/>
      <c r="AA28" s="82" t="s">
        <v>225</v>
      </c>
      <c r="AB28" s="82"/>
    </row>
    <row r="29" spans="1:28" x14ac:dyDescent="0.25">
      <c r="A29" t="str">
        <f>IF(EXACT('BOM A320 FFS'!B40,obsoleta!D29),"OK","ERROR")</f>
        <v>ERROR</v>
      </c>
      <c r="C29" s="48"/>
      <c r="D29" s="48" t="s">
        <v>3621</v>
      </c>
      <c r="E29" s="48"/>
      <c r="F29" s="28"/>
      <c r="G29" s="28"/>
      <c r="H29" s="28"/>
      <c r="I29" s="28"/>
      <c r="J29" s="40"/>
      <c r="K29" s="30"/>
      <c r="L29" s="30"/>
      <c r="M29" s="26"/>
      <c r="N29" s="26"/>
      <c r="O29" s="41"/>
      <c r="P29" s="41"/>
      <c r="Q29" s="98"/>
      <c r="R29" s="41"/>
      <c r="S29" s="30"/>
      <c r="T29" s="82"/>
      <c r="U29" s="82"/>
      <c r="V29" s="82"/>
      <c r="W29" s="82"/>
      <c r="X29" s="82"/>
      <c r="Y29" s="82"/>
      <c r="Z29" s="82"/>
      <c r="AA29" s="82" t="s">
        <v>225</v>
      </c>
      <c r="AB29" s="82"/>
    </row>
    <row r="30" spans="1:28" x14ac:dyDescent="0.25">
      <c r="A30" t="str">
        <f>IF(EXACT('BOM A320 FFS'!B41,obsoleta!D30),"OK","ERROR")</f>
        <v>ERROR</v>
      </c>
      <c r="C30" s="31" t="s">
        <v>37</v>
      </c>
      <c r="D30" s="71">
        <v>1124510125000</v>
      </c>
      <c r="E30" s="71"/>
      <c r="F30" s="32" t="s">
        <v>1172</v>
      </c>
      <c r="G30" s="32" t="s">
        <v>1173</v>
      </c>
      <c r="H30" s="32" t="s">
        <v>1151</v>
      </c>
      <c r="I30" s="32" t="s">
        <v>1152</v>
      </c>
      <c r="J30" s="33">
        <v>290</v>
      </c>
      <c r="K30" s="34">
        <v>25.5</v>
      </c>
      <c r="L30" s="35">
        <v>30.6</v>
      </c>
      <c r="M30" s="36" t="s">
        <v>32</v>
      </c>
      <c r="N30" s="37">
        <v>1</v>
      </c>
      <c r="O30" s="35">
        <v>30.6</v>
      </c>
      <c r="P30" s="35" t="s">
        <v>33</v>
      </c>
      <c r="Q30" s="97">
        <v>45453</v>
      </c>
      <c r="R30" s="35" t="s">
        <v>62</v>
      </c>
      <c r="S30" s="38"/>
      <c r="T30" s="78">
        <v>2</v>
      </c>
      <c r="U30" s="78"/>
      <c r="V30" s="78"/>
      <c r="W30" s="78" t="s">
        <v>40</v>
      </c>
      <c r="X30" s="78" t="s">
        <v>3707</v>
      </c>
      <c r="Y30" s="78">
        <v>1</v>
      </c>
      <c r="Z30" s="78" t="s">
        <v>48</v>
      </c>
      <c r="AA30" s="78" t="s">
        <v>225</v>
      </c>
      <c r="AB30" s="78">
        <v>290</v>
      </c>
    </row>
    <row r="31" spans="1:28" x14ac:dyDescent="0.25">
      <c r="A31" t="str">
        <f>IF(EXACT('BOM A320 FFS'!B43,obsoleta!D31),"OK","ERROR")</f>
        <v>ERROR</v>
      </c>
      <c r="C31" s="31" t="s">
        <v>37</v>
      </c>
      <c r="D31" s="71">
        <v>1128990390300</v>
      </c>
      <c r="E31" s="71"/>
      <c r="F31" s="32" t="s">
        <v>1472</v>
      </c>
      <c r="G31" s="32" t="s">
        <v>1473</v>
      </c>
      <c r="H31" s="32" t="s">
        <v>1151</v>
      </c>
      <c r="I31" s="32" t="s">
        <v>1152</v>
      </c>
      <c r="J31" s="33">
        <v>25</v>
      </c>
      <c r="K31" s="34">
        <v>4.58</v>
      </c>
      <c r="L31" s="35">
        <v>5.5</v>
      </c>
      <c r="M31" s="36" t="s">
        <v>32</v>
      </c>
      <c r="N31" s="37">
        <v>1</v>
      </c>
      <c r="O31" s="35">
        <v>5.5</v>
      </c>
      <c r="P31" s="35" t="s">
        <v>33</v>
      </c>
      <c r="Q31" s="97">
        <v>45453</v>
      </c>
      <c r="R31" s="35" t="s">
        <v>62</v>
      </c>
      <c r="S31" s="38"/>
      <c r="T31" s="78">
        <v>2</v>
      </c>
      <c r="U31" s="78"/>
      <c r="V31" s="78"/>
      <c r="W31" s="78" t="s">
        <v>40</v>
      </c>
      <c r="X31" s="78" t="s">
        <v>3707</v>
      </c>
      <c r="Y31" s="78">
        <v>1</v>
      </c>
      <c r="Z31" s="78" t="s">
        <v>48</v>
      </c>
      <c r="AA31" s="78" t="s">
        <v>225</v>
      </c>
      <c r="AB31" s="78">
        <v>25</v>
      </c>
    </row>
    <row r="32" spans="1:28" x14ac:dyDescent="0.25">
      <c r="A32" t="str">
        <f>IF(EXACT('BOM A320 FFS'!B44,obsoleta!D32),"OK","ERROR")</f>
        <v>ERROR</v>
      </c>
      <c r="C32" s="31" t="s">
        <v>37</v>
      </c>
      <c r="D32" s="71">
        <v>1124510126100</v>
      </c>
      <c r="E32" s="71"/>
      <c r="F32" s="32" t="s">
        <v>1163</v>
      </c>
      <c r="G32" s="32" t="s">
        <v>1164</v>
      </c>
      <c r="H32" s="32" t="s">
        <v>1151</v>
      </c>
      <c r="I32" s="32" t="s">
        <v>1152</v>
      </c>
      <c r="J32" s="33">
        <v>113</v>
      </c>
      <c r="K32" s="34">
        <v>25.5</v>
      </c>
      <c r="L32" s="35">
        <v>30.6</v>
      </c>
      <c r="M32" s="36" t="s">
        <v>32</v>
      </c>
      <c r="N32" s="37">
        <v>1</v>
      </c>
      <c r="O32" s="35">
        <v>30.6</v>
      </c>
      <c r="P32" s="35" t="s">
        <v>33</v>
      </c>
      <c r="Q32" s="97">
        <v>45453</v>
      </c>
      <c r="R32" s="35" t="s">
        <v>62</v>
      </c>
      <c r="S32" s="38"/>
      <c r="T32" s="78">
        <v>2</v>
      </c>
      <c r="U32" s="78"/>
      <c r="V32" s="78"/>
      <c r="W32" s="78" t="s">
        <v>40</v>
      </c>
      <c r="X32" s="78" t="s">
        <v>3707</v>
      </c>
      <c r="Y32" s="78">
        <v>1</v>
      </c>
      <c r="Z32" s="78" t="s">
        <v>48</v>
      </c>
      <c r="AA32" s="78" t="s">
        <v>225</v>
      </c>
      <c r="AB32" s="78">
        <v>113</v>
      </c>
    </row>
    <row r="33" spans="1:28" x14ac:dyDescent="0.25">
      <c r="A33" t="str">
        <f>IF(EXACT('BOM A320 FFS'!B46,obsoleta!D33),"OK","ERROR")</f>
        <v>ERROR</v>
      </c>
      <c r="C33" s="31" t="s">
        <v>37</v>
      </c>
      <c r="D33" s="71">
        <v>1124510125200</v>
      </c>
      <c r="E33" s="71"/>
      <c r="F33" s="32" t="s">
        <v>1157</v>
      </c>
      <c r="G33" s="32" t="s">
        <v>1158</v>
      </c>
      <c r="H33" s="32" t="s">
        <v>1151</v>
      </c>
      <c r="I33" s="32" t="s">
        <v>1152</v>
      </c>
      <c r="J33" s="33">
        <v>24</v>
      </c>
      <c r="K33" s="34">
        <v>25.5</v>
      </c>
      <c r="L33" s="35">
        <v>30.6</v>
      </c>
      <c r="M33" s="36" t="s">
        <v>32</v>
      </c>
      <c r="N33" s="37">
        <v>1</v>
      </c>
      <c r="O33" s="35">
        <v>30.6</v>
      </c>
      <c r="P33" s="35" t="s">
        <v>33</v>
      </c>
      <c r="Q33" s="97">
        <v>45453</v>
      </c>
      <c r="R33" s="35" t="s">
        <v>62</v>
      </c>
      <c r="S33" s="38"/>
      <c r="T33" s="78">
        <v>2</v>
      </c>
      <c r="U33" s="78"/>
      <c r="V33" s="78"/>
      <c r="W33" s="78" t="s">
        <v>40</v>
      </c>
      <c r="X33" s="78" t="s">
        <v>3707</v>
      </c>
      <c r="Y33" s="78">
        <v>1</v>
      </c>
      <c r="Z33" s="78" t="s">
        <v>48</v>
      </c>
      <c r="AA33" s="78" t="s">
        <v>225</v>
      </c>
      <c r="AB33" s="78">
        <v>24</v>
      </c>
    </row>
    <row r="34" spans="1:28" x14ac:dyDescent="0.25">
      <c r="A34" t="str">
        <f>IF(EXACT('BOM A320 FFS'!B47,obsoleta!D34),"OK","ERROR")</f>
        <v>ERROR</v>
      </c>
      <c r="C34" s="31" t="s">
        <v>37</v>
      </c>
      <c r="D34" s="71">
        <v>1124510125300</v>
      </c>
      <c r="E34" s="71"/>
      <c r="F34" s="32" t="s">
        <v>1149</v>
      </c>
      <c r="G34" s="32" t="s">
        <v>1150</v>
      </c>
      <c r="H34" s="32" t="s">
        <v>1151</v>
      </c>
      <c r="I34" s="32" t="s">
        <v>1152</v>
      </c>
      <c r="J34" s="33">
        <v>1</v>
      </c>
      <c r="K34" s="34">
        <v>25.5</v>
      </c>
      <c r="L34" s="35">
        <v>30.6</v>
      </c>
      <c r="M34" s="36" t="s">
        <v>32</v>
      </c>
      <c r="N34" s="37">
        <v>1</v>
      </c>
      <c r="O34" s="35">
        <v>30.6</v>
      </c>
      <c r="P34" s="35" t="s">
        <v>33</v>
      </c>
      <c r="Q34" s="97">
        <v>45453</v>
      </c>
      <c r="R34" s="35" t="s">
        <v>62</v>
      </c>
      <c r="S34" s="38"/>
      <c r="T34" s="78">
        <v>2</v>
      </c>
      <c r="U34" s="78"/>
      <c r="V34" s="78"/>
      <c r="W34" s="78" t="s">
        <v>40</v>
      </c>
      <c r="X34" s="78" t="s">
        <v>3707</v>
      </c>
      <c r="Y34" s="78">
        <v>1</v>
      </c>
      <c r="Z34" s="78" t="s">
        <v>48</v>
      </c>
      <c r="AA34" s="78" t="s">
        <v>225</v>
      </c>
      <c r="AB34" s="78">
        <v>5</v>
      </c>
    </row>
    <row r="35" spans="1:28" x14ac:dyDescent="0.25">
      <c r="A35" t="str">
        <f>IF(EXACT('BOM A320 FFS'!B48,obsoleta!D35),"OK","ERROR")</f>
        <v>ERROR</v>
      </c>
      <c r="C35" s="31" t="s">
        <v>37</v>
      </c>
      <c r="D35" s="71">
        <v>1124510125400</v>
      </c>
      <c r="E35" s="71"/>
      <c r="F35" s="32" t="s">
        <v>1154</v>
      </c>
      <c r="G35" s="32" t="s">
        <v>1155</v>
      </c>
      <c r="H35" s="32" t="s">
        <v>1151</v>
      </c>
      <c r="I35" s="32" t="s">
        <v>1152</v>
      </c>
      <c r="J35" s="33">
        <v>27</v>
      </c>
      <c r="K35" s="34">
        <v>25.5</v>
      </c>
      <c r="L35" s="35">
        <v>30.6</v>
      </c>
      <c r="M35" s="36" t="s">
        <v>32</v>
      </c>
      <c r="N35" s="37">
        <v>1</v>
      </c>
      <c r="O35" s="35">
        <v>30.6</v>
      </c>
      <c r="P35" s="35" t="s">
        <v>33</v>
      </c>
      <c r="Q35" s="97">
        <v>45453</v>
      </c>
      <c r="R35" s="35" t="s">
        <v>62</v>
      </c>
      <c r="S35" s="38"/>
      <c r="T35" s="78">
        <v>2</v>
      </c>
      <c r="U35" s="78"/>
      <c r="V35" s="78"/>
      <c r="W35" s="78" t="s">
        <v>40</v>
      </c>
      <c r="X35" s="78" t="s">
        <v>3707</v>
      </c>
      <c r="Y35" s="78">
        <v>1</v>
      </c>
      <c r="Z35" s="78" t="s">
        <v>48</v>
      </c>
      <c r="AA35" s="78" t="s">
        <v>225</v>
      </c>
      <c r="AB35" s="78">
        <v>27</v>
      </c>
    </row>
    <row r="36" spans="1:28" x14ac:dyDescent="0.25">
      <c r="A36" t="str">
        <f>IF(EXACT('BOM A320 FFS'!B50,obsoleta!D36),"OK","ERROR")</f>
        <v>ERROR</v>
      </c>
      <c r="C36" s="31" t="s">
        <v>37</v>
      </c>
      <c r="D36" s="71">
        <v>1124510125500</v>
      </c>
      <c r="E36" s="71"/>
      <c r="F36" s="32" t="s">
        <v>1178</v>
      </c>
      <c r="G36" s="32" t="s">
        <v>1179</v>
      </c>
      <c r="H36" s="32" t="s">
        <v>1151</v>
      </c>
      <c r="I36" s="32" t="s">
        <v>1152</v>
      </c>
      <c r="J36" s="33">
        <v>4</v>
      </c>
      <c r="K36" s="34">
        <v>25.5</v>
      </c>
      <c r="L36" s="35">
        <v>30.6</v>
      </c>
      <c r="M36" s="36" t="s">
        <v>32</v>
      </c>
      <c r="N36" s="37">
        <v>1</v>
      </c>
      <c r="O36" s="35">
        <v>30.6</v>
      </c>
      <c r="P36" s="35" t="s">
        <v>33</v>
      </c>
      <c r="Q36" s="97">
        <v>45453</v>
      </c>
      <c r="R36" s="35" t="s">
        <v>62</v>
      </c>
      <c r="S36" s="38"/>
      <c r="T36" s="78">
        <v>2</v>
      </c>
      <c r="U36" s="78"/>
      <c r="V36" s="78"/>
      <c r="W36" s="78" t="s">
        <v>40</v>
      </c>
      <c r="X36" s="78" t="s">
        <v>3707</v>
      </c>
      <c r="Y36" s="78">
        <v>1</v>
      </c>
      <c r="Z36" s="78" t="s">
        <v>48</v>
      </c>
      <c r="AA36" s="78" t="s">
        <v>225</v>
      </c>
      <c r="AB36" s="78">
        <v>5</v>
      </c>
    </row>
    <row r="37" spans="1:28" x14ac:dyDescent="0.25">
      <c r="A37" t="str">
        <f>IF(EXACT('BOM A320 FFS'!B51,obsoleta!D37),"OK","ERROR")</f>
        <v>ERROR</v>
      </c>
      <c r="C37" s="31" t="s">
        <v>37</v>
      </c>
      <c r="D37" s="71">
        <v>1124510125600</v>
      </c>
      <c r="E37" s="71"/>
      <c r="F37" s="32" t="s">
        <v>1175</v>
      </c>
      <c r="G37" s="32" t="s">
        <v>1176</v>
      </c>
      <c r="H37" s="32" t="s">
        <v>1151</v>
      </c>
      <c r="I37" s="32" t="s">
        <v>1152</v>
      </c>
      <c r="J37" s="33">
        <v>6</v>
      </c>
      <c r="K37" s="34">
        <v>25.5</v>
      </c>
      <c r="L37" s="35">
        <v>30.6</v>
      </c>
      <c r="M37" s="36" t="s">
        <v>32</v>
      </c>
      <c r="N37" s="37">
        <v>1</v>
      </c>
      <c r="O37" s="35">
        <v>30.6</v>
      </c>
      <c r="P37" s="35" t="s">
        <v>33</v>
      </c>
      <c r="Q37" s="97">
        <v>45453</v>
      </c>
      <c r="R37" s="35" t="s">
        <v>62</v>
      </c>
      <c r="S37" s="38"/>
      <c r="T37" s="78">
        <v>2</v>
      </c>
      <c r="U37" s="78"/>
      <c r="V37" s="78"/>
      <c r="W37" s="78" t="s">
        <v>40</v>
      </c>
      <c r="X37" s="78" t="s">
        <v>3707</v>
      </c>
      <c r="Y37" s="78">
        <v>1</v>
      </c>
      <c r="Z37" s="78" t="s">
        <v>48</v>
      </c>
      <c r="AA37" s="78" t="s">
        <v>225</v>
      </c>
      <c r="AB37" s="78">
        <v>6</v>
      </c>
    </row>
    <row r="38" spans="1:28" x14ac:dyDescent="0.25">
      <c r="A38" t="str">
        <f>IF(EXACT('BOM A320 FFS'!B52,obsoleta!D38),"OK","ERROR")</f>
        <v>ERROR</v>
      </c>
      <c r="C38" s="31" t="s">
        <v>37</v>
      </c>
      <c r="D38" s="71">
        <v>1124510125900</v>
      </c>
      <c r="E38" s="71"/>
      <c r="F38" s="32" t="s">
        <v>1166</v>
      </c>
      <c r="G38" s="32" t="s">
        <v>1167</v>
      </c>
      <c r="H38" s="32" t="s">
        <v>1151</v>
      </c>
      <c r="I38" s="32" t="s">
        <v>1152</v>
      </c>
      <c r="J38" s="33">
        <v>2</v>
      </c>
      <c r="K38" s="34">
        <v>25.5</v>
      </c>
      <c r="L38" s="35">
        <v>30.6</v>
      </c>
      <c r="M38" s="36" t="s">
        <v>32</v>
      </c>
      <c r="N38" s="37">
        <v>1</v>
      </c>
      <c r="O38" s="35">
        <v>30.6</v>
      </c>
      <c r="P38" s="35" t="s">
        <v>33</v>
      </c>
      <c r="Q38" s="97">
        <v>45453</v>
      </c>
      <c r="R38" s="35" t="s">
        <v>62</v>
      </c>
      <c r="S38" s="38"/>
      <c r="T38" s="78">
        <v>2</v>
      </c>
      <c r="U38" s="78"/>
      <c r="V38" s="78"/>
      <c r="W38" s="78" t="s">
        <v>40</v>
      </c>
      <c r="X38" s="78" t="s">
        <v>3707</v>
      </c>
      <c r="Y38" s="78">
        <v>1</v>
      </c>
      <c r="Z38" s="78" t="s">
        <v>48</v>
      </c>
      <c r="AA38" s="78" t="s">
        <v>225</v>
      </c>
      <c r="AB38" s="78">
        <v>5</v>
      </c>
    </row>
    <row r="39" spans="1:28" x14ac:dyDescent="0.25">
      <c r="A39" t="str">
        <f>IF(EXACT('BOM A320 FFS'!B53,obsoleta!D39),"OK","ERROR")</f>
        <v>ERROR</v>
      </c>
      <c r="C39" s="31" t="s">
        <v>37</v>
      </c>
      <c r="D39" s="71">
        <v>1124510126000</v>
      </c>
      <c r="E39" s="71"/>
      <c r="F39" s="32" t="s">
        <v>1160</v>
      </c>
      <c r="G39" s="32" t="s">
        <v>1161</v>
      </c>
      <c r="H39" s="32" t="s">
        <v>1151</v>
      </c>
      <c r="I39" s="32" t="s">
        <v>1152</v>
      </c>
      <c r="J39" s="33">
        <v>2</v>
      </c>
      <c r="K39" s="34">
        <v>25.5</v>
      </c>
      <c r="L39" s="35">
        <v>30.6</v>
      </c>
      <c r="M39" s="36" t="s">
        <v>32</v>
      </c>
      <c r="N39" s="37">
        <v>1</v>
      </c>
      <c r="O39" s="35">
        <v>30.6</v>
      </c>
      <c r="P39" s="35" t="s">
        <v>33</v>
      </c>
      <c r="Q39" s="97">
        <v>45453</v>
      </c>
      <c r="R39" s="35" t="s">
        <v>62</v>
      </c>
      <c r="S39" s="38"/>
      <c r="T39" s="78">
        <v>2</v>
      </c>
      <c r="U39" s="78"/>
      <c r="V39" s="78"/>
      <c r="W39" s="78" t="s">
        <v>40</v>
      </c>
      <c r="X39" s="78" t="s">
        <v>3707</v>
      </c>
      <c r="Y39" s="78">
        <v>1</v>
      </c>
      <c r="Z39" s="78" t="s">
        <v>48</v>
      </c>
      <c r="AA39" s="78" t="s">
        <v>225</v>
      </c>
      <c r="AB39" s="78">
        <v>5</v>
      </c>
    </row>
    <row r="40" spans="1:28" x14ac:dyDescent="0.25">
      <c r="A40" t="str">
        <f>IF(EXACT('BOM A320 FFS'!B54,obsoleta!D40),"OK","ERROR")</f>
        <v>ERROR</v>
      </c>
      <c r="C40" s="31" t="s">
        <v>37</v>
      </c>
      <c r="D40" s="71">
        <v>1124510125700</v>
      </c>
      <c r="E40" s="71"/>
      <c r="F40" s="32" t="s">
        <v>1169</v>
      </c>
      <c r="G40" s="32" t="s">
        <v>1170</v>
      </c>
      <c r="H40" s="32" t="s">
        <v>1151</v>
      </c>
      <c r="I40" s="32" t="s">
        <v>1152</v>
      </c>
      <c r="J40" s="33">
        <v>4</v>
      </c>
      <c r="K40" s="34">
        <v>25.5</v>
      </c>
      <c r="L40" s="35">
        <v>30.6</v>
      </c>
      <c r="M40" s="36" t="s">
        <v>32</v>
      </c>
      <c r="N40" s="37">
        <v>1</v>
      </c>
      <c r="O40" s="35">
        <v>30.6</v>
      </c>
      <c r="P40" s="35" t="s">
        <v>33</v>
      </c>
      <c r="Q40" s="97">
        <v>45453</v>
      </c>
      <c r="R40" s="35" t="s">
        <v>62</v>
      </c>
      <c r="S40" s="38"/>
      <c r="T40" s="78">
        <v>2</v>
      </c>
      <c r="U40" s="78"/>
      <c r="V40" s="78"/>
      <c r="W40" s="78" t="s">
        <v>40</v>
      </c>
      <c r="X40" s="78" t="s">
        <v>3707</v>
      </c>
      <c r="Y40" s="78">
        <v>1</v>
      </c>
      <c r="Z40" s="78" t="s">
        <v>48</v>
      </c>
      <c r="AA40" s="78" t="s">
        <v>225</v>
      </c>
      <c r="AB40" s="78">
        <v>5</v>
      </c>
    </row>
    <row r="41" spans="1:28" x14ac:dyDescent="0.25">
      <c r="A41" t="str">
        <f>IF(EXACT('BOM A320 FFS'!B56,obsoleta!D41),"OK","ERROR")</f>
        <v>ERROR</v>
      </c>
      <c r="C41" s="31" t="s">
        <v>37</v>
      </c>
      <c r="D41" s="71">
        <v>1128990400800</v>
      </c>
      <c r="E41" s="71"/>
      <c r="F41" s="32" t="s">
        <v>1699</v>
      </c>
      <c r="G41" s="32" t="s">
        <v>1700</v>
      </c>
      <c r="H41" s="32" t="s">
        <v>1151</v>
      </c>
      <c r="I41" s="32" t="s">
        <v>1152</v>
      </c>
      <c r="J41" s="33">
        <v>178</v>
      </c>
      <c r="K41" s="34">
        <v>1.51</v>
      </c>
      <c r="L41" s="35">
        <v>1.81</v>
      </c>
      <c r="M41" s="36" t="s">
        <v>32</v>
      </c>
      <c r="N41" s="37">
        <v>1</v>
      </c>
      <c r="O41" s="35">
        <v>1.81</v>
      </c>
      <c r="P41" s="35" t="s">
        <v>33</v>
      </c>
      <c r="Q41" s="97">
        <v>45453</v>
      </c>
      <c r="R41" s="35" t="s">
        <v>62</v>
      </c>
      <c r="S41" s="38"/>
      <c r="T41" s="78">
        <v>2</v>
      </c>
      <c r="U41" s="78"/>
      <c r="V41" s="78"/>
      <c r="W41" s="78" t="s">
        <v>40</v>
      </c>
      <c r="X41" s="78" t="s">
        <v>3707</v>
      </c>
      <c r="Y41" s="78">
        <v>1</v>
      </c>
      <c r="Z41" s="78" t="s">
        <v>48</v>
      </c>
      <c r="AA41" s="78" t="s">
        <v>225</v>
      </c>
      <c r="AB41" s="78">
        <v>178</v>
      </c>
    </row>
    <row r="42" spans="1:28" x14ac:dyDescent="0.25">
      <c r="A42" t="str">
        <f>IF(EXACT('BOM A320 FFS'!B58,obsoleta!D42),"OK","ERROR")</f>
        <v>ERROR</v>
      </c>
      <c r="C42" s="31" t="s">
        <v>37</v>
      </c>
      <c r="D42" s="71">
        <v>1128990400900</v>
      </c>
      <c r="E42" s="71"/>
      <c r="F42" s="32" t="s">
        <v>1696</v>
      </c>
      <c r="G42" s="32" t="s">
        <v>1697</v>
      </c>
      <c r="H42" s="32" t="s">
        <v>1151</v>
      </c>
      <c r="I42" s="32" t="s">
        <v>1152</v>
      </c>
      <c r="J42" s="33">
        <v>31</v>
      </c>
      <c r="K42" s="34">
        <v>1.51</v>
      </c>
      <c r="L42" s="35">
        <v>1.81</v>
      </c>
      <c r="M42" s="36" t="s">
        <v>32</v>
      </c>
      <c r="N42" s="37">
        <v>1</v>
      </c>
      <c r="O42" s="35">
        <v>1.81</v>
      </c>
      <c r="P42" s="35" t="s">
        <v>33</v>
      </c>
      <c r="Q42" s="97">
        <v>45453</v>
      </c>
      <c r="R42" s="35" t="s">
        <v>62</v>
      </c>
      <c r="S42" s="38"/>
      <c r="T42" s="78">
        <v>2</v>
      </c>
      <c r="U42" s="78"/>
      <c r="V42" s="78"/>
      <c r="W42" s="78" t="s">
        <v>40</v>
      </c>
      <c r="X42" s="78" t="s">
        <v>3707</v>
      </c>
      <c r="Y42" s="78">
        <v>1</v>
      </c>
      <c r="Z42" s="78" t="s">
        <v>48</v>
      </c>
      <c r="AA42" s="78" t="s">
        <v>225</v>
      </c>
      <c r="AB42" s="78">
        <v>31</v>
      </c>
    </row>
    <row r="43" spans="1:28" x14ac:dyDescent="0.25">
      <c r="A43" t="str">
        <f>IF(EXACT('BOM A320 FFS'!B60,obsoleta!D43),"OK","ERROR")</f>
        <v>ERROR</v>
      </c>
      <c r="C43" s="31" t="s">
        <v>37</v>
      </c>
      <c r="D43" s="71">
        <v>1128990401500</v>
      </c>
      <c r="E43" s="71"/>
      <c r="F43" s="32" t="s">
        <v>1690</v>
      </c>
      <c r="G43" s="32" t="s">
        <v>1691</v>
      </c>
      <c r="H43" s="32" t="s">
        <v>1151</v>
      </c>
      <c r="I43" s="32" t="s">
        <v>1152</v>
      </c>
      <c r="J43" s="33">
        <v>33</v>
      </c>
      <c r="K43" s="34">
        <v>1.51</v>
      </c>
      <c r="L43" s="35">
        <v>1.81</v>
      </c>
      <c r="M43" s="36" t="s">
        <v>32</v>
      </c>
      <c r="N43" s="37">
        <v>1</v>
      </c>
      <c r="O43" s="35">
        <v>1.81</v>
      </c>
      <c r="P43" s="35" t="s">
        <v>33</v>
      </c>
      <c r="Q43" s="97">
        <v>45453</v>
      </c>
      <c r="R43" s="35" t="s">
        <v>62</v>
      </c>
      <c r="S43" s="38"/>
      <c r="T43" s="78">
        <v>2</v>
      </c>
      <c r="U43" s="78"/>
      <c r="V43" s="78"/>
      <c r="W43" s="78" t="s">
        <v>40</v>
      </c>
      <c r="X43" s="78" t="s">
        <v>3707</v>
      </c>
      <c r="Y43" s="78">
        <v>1</v>
      </c>
      <c r="Z43" s="78" t="s">
        <v>48</v>
      </c>
      <c r="AA43" s="78" t="s">
        <v>225</v>
      </c>
      <c r="AB43" s="78">
        <v>33</v>
      </c>
    </row>
    <row r="44" spans="1:28" x14ac:dyDescent="0.25">
      <c r="A44" t="str">
        <f>IF(EXACT('BOM A320 FFS'!B61,obsoleta!D44),"OK","ERROR")</f>
        <v>ERROR</v>
      </c>
      <c r="C44" s="31" t="s">
        <v>37</v>
      </c>
      <c r="D44" s="71">
        <v>1128990400400</v>
      </c>
      <c r="E44" s="71"/>
      <c r="F44" s="32" t="s">
        <v>1711</v>
      </c>
      <c r="G44" s="32" t="s">
        <v>1712</v>
      </c>
      <c r="H44" s="32" t="s">
        <v>1151</v>
      </c>
      <c r="I44" s="32" t="s">
        <v>1152</v>
      </c>
      <c r="J44" s="33">
        <v>30</v>
      </c>
      <c r="K44" s="34">
        <v>1.51</v>
      </c>
      <c r="L44" s="35">
        <v>1.81</v>
      </c>
      <c r="M44" s="36" t="s">
        <v>32</v>
      </c>
      <c r="N44" s="37">
        <v>1</v>
      </c>
      <c r="O44" s="35">
        <v>1.81</v>
      </c>
      <c r="P44" s="35" t="s">
        <v>33</v>
      </c>
      <c r="Q44" s="97">
        <v>45453</v>
      </c>
      <c r="R44" s="35" t="s">
        <v>62</v>
      </c>
      <c r="S44" s="38"/>
      <c r="T44" s="78">
        <v>2</v>
      </c>
      <c r="U44" s="78"/>
      <c r="V44" s="78"/>
      <c r="W44" s="78" t="s">
        <v>40</v>
      </c>
      <c r="X44" s="78" t="s">
        <v>3707</v>
      </c>
      <c r="Y44" s="78">
        <v>1</v>
      </c>
      <c r="Z44" s="78" t="s">
        <v>48</v>
      </c>
      <c r="AA44" s="78" t="s">
        <v>225</v>
      </c>
      <c r="AB44" s="78">
        <v>30</v>
      </c>
    </row>
    <row r="45" spans="1:28" x14ac:dyDescent="0.25">
      <c r="A45" t="str">
        <f>IF(EXACT('BOM A320 FFS'!B62,obsoleta!D45),"OK","ERROR")</f>
        <v>ERROR</v>
      </c>
      <c r="C45" s="31" t="s">
        <v>37</v>
      </c>
      <c r="D45" s="71">
        <v>1128990400200</v>
      </c>
      <c r="E45" s="71"/>
      <c r="F45" s="32" t="s">
        <v>1708</v>
      </c>
      <c r="G45" s="32" t="s">
        <v>1709</v>
      </c>
      <c r="H45" s="32" t="s">
        <v>1151</v>
      </c>
      <c r="I45" s="32" t="s">
        <v>1152</v>
      </c>
      <c r="J45" s="33">
        <v>4</v>
      </c>
      <c r="K45" s="34">
        <v>1.51</v>
      </c>
      <c r="L45" s="35">
        <v>1.81</v>
      </c>
      <c r="M45" s="36" t="s">
        <v>32</v>
      </c>
      <c r="N45" s="37">
        <v>1</v>
      </c>
      <c r="O45" s="35">
        <v>1.81</v>
      </c>
      <c r="P45" s="35" t="s">
        <v>33</v>
      </c>
      <c r="Q45" s="97">
        <v>45453</v>
      </c>
      <c r="R45" s="35" t="s">
        <v>62</v>
      </c>
      <c r="S45" s="38"/>
      <c r="T45" s="78">
        <v>2</v>
      </c>
      <c r="U45" s="78"/>
      <c r="V45" s="78"/>
      <c r="W45" s="78" t="s">
        <v>40</v>
      </c>
      <c r="X45" s="78" t="s">
        <v>3707</v>
      </c>
      <c r="Y45" s="78">
        <v>1</v>
      </c>
      <c r="Z45" s="78" t="s">
        <v>48</v>
      </c>
      <c r="AA45" s="78" t="s">
        <v>225</v>
      </c>
      <c r="AB45" s="78">
        <v>4</v>
      </c>
    </row>
    <row r="46" spans="1:28" x14ac:dyDescent="0.25">
      <c r="A46" t="str">
        <f>IF(EXACT('BOM A320 FFS'!B63,obsoleta!D46),"OK","ERROR")</f>
        <v>ERROR</v>
      </c>
      <c r="C46" s="31" t="s">
        <v>37</v>
      </c>
      <c r="D46" s="71">
        <v>1128990400300</v>
      </c>
      <c r="E46" s="71"/>
      <c r="F46" s="32" t="s">
        <v>1705</v>
      </c>
      <c r="G46" s="32" t="s">
        <v>1706</v>
      </c>
      <c r="H46" s="32" t="s">
        <v>1151</v>
      </c>
      <c r="I46" s="32" t="s">
        <v>1152</v>
      </c>
      <c r="J46" s="33">
        <v>6</v>
      </c>
      <c r="K46" s="34">
        <v>1.51</v>
      </c>
      <c r="L46" s="35">
        <v>1.81</v>
      </c>
      <c r="M46" s="36" t="s">
        <v>32</v>
      </c>
      <c r="N46" s="37">
        <v>1</v>
      </c>
      <c r="O46" s="35">
        <v>1.81</v>
      </c>
      <c r="P46" s="35" t="s">
        <v>33</v>
      </c>
      <c r="Q46" s="97">
        <v>45453</v>
      </c>
      <c r="R46" s="35" t="s">
        <v>62</v>
      </c>
      <c r="S46" s="38"/>
      <c r="T46" s="78">
        <v>2</v>
      </c>
      <c r="U46" s="78"/>
      <c r="V46" s="78"/>
      <c r="W46" s="78" t="s">
        <v>40</v>
      </c>
      <c r="X46" s="78" t="s">
        <v>3707</v>
      </c>
      <c r="Y46" s="78">
        <v>1</v>
      </c>
      <c r="Z46" s="78" t="s">
        <v>48</v>
      </c>
      <c r="AA46" s="78" t="s">
        <v>225</v>
      </c>
      <c r="AB46" s="78">
        <v>6</v>
      </c>
    </row>
    <row r="47" spans="1:28" x14ac:dyDescent="0.25">
      <c r="A47" t="str">
        <f>IF(EXACT('BOM A320 FFS'!B65,obsoleta!D47),"OK","ERROR")</f>
        <v>ERROR</v>
      </c>
      <c r="C47" s="31" t="s">
        <v>37</v>
      </c>
      <c r="D47" s="71">
        <v>1128990401100</v>
      </c>
      <c r="E47" s="71"/>
      <c r="F47" s="32" t="s">
        <v>1702</v>
      </c>
      <c r="G47" s="32" t="s">
        <v>1703</v>
      </c>
      <c r="H47" s="32" t="s">
        <v>1151</v>
      </c>
      <c r="I47" s="32" t="s">
        <v>1152</v>
      </c>
      <c r="J47" s="33">
        <v>4</v>
      </c>
      <c r="K47" s="34">
        <v>1.51</v>
      </c>
      <c r="L47" s="35">
        <v>1.81</v>
      </c>
      <c r="M47" s="36" t="s">
        <v>32</v>
      </c>
      <c r="N47" s="37">
        <v>1</v>
      </c>
      <c r="O47" s="35">
        <v>1.81</v>
      </c>
      <c r="P47" s="35" t="s">
        <v>33</v>
      </c>
      <c r="Q47" s="97">
        <v>45453</v>
      </c>
      <c r="R47" s="35" t="s">
        <v>62</v>
      </c>
      <c r="S47" s="38"/>
      <c r="T47" s="78">
        <v>2</v>
      </c>
      <c r="U47" s="78"/>
      <c r="V47" s="78"/>
      <c r="W47" s="78" t="s">
        <v>40</v>
      </c>
      <c r="X47" s="78" t="s">
        <v>3707</v>
      </c>
      <c r="Y47" s="78">
        <v>1</v>
      </c>
      <c r="Z47" s="78" t="s">
        <v>48</v>
      </c>
      <c r="AA47" s="78" t="s">
        <v>225</v>
      </c>
      <c r="AB47" s="78">
        <v>4</v>
      </c>
    </row>
    <row r="48" spans="1:28" x14ac:dyDescent="0.25">
      <c r="A48" t="str">
        <f>IF(EXACT('BOM A320 FFS'!B66,obsoleta!D48),"OK","ERROR")</f>
        <v>ERROR</v>
      </c>
      <c r="C48" s="31" t="s">
        <v>37</v>
      </c>
      <c r="D48" s="71">
        <v>1128990400100</v>
      </c>
      <c r="E48" s="71"/>
      <c r="F48" s="32" t="s">
        <v>1693</v>
      </c>
      <c r="G48" s="32" t="s">
        <v>1694</v>
      </c>
      <c r="H48" s="32" t="s">
        <v>1151</v>
      </c>
      <c r="I48" s="32" t="s">
        <v>1152</v>
      </c>
      <c r="J48" s="33">
        <v>24</v>
      </c>
      <c r="K48" s="34">
        <v>1.51</v>
      </c>
      <c r="L48" s="35">
        <v>1.81</v>
      </c>
      <c r="M48" s="36" t="s">
        <v>32</v>
      </c>
      <c r="N48" s="37">
        <v>1</v>
      </c>
      <c r="O48" s="35">
        <v>1.81</v>
      </c>
      <c r="P48" s="35" t="s">
        <v>33</v>
      </c>
      <c r="Q48" s="97">
        <v>45453</v>
      </c>
      <c r="R48" s="35" t="s">
        <v>62</v>
      </c>
      <c r="S48" s="38"/>
      <c r="T48" s="78">
        <v>2</v>
      </c>
      <c r="U48" s="78"/>
      <c r="V48" s="78"/>
      <c r="W48" s="78" t="s">
        <v>40</v>
      </c>
      <c r="X48" s="78" t="s">
        <v>3707</v>
      </c>
      <c r="Y48" s="78">
        <v>1</v>
      </c>
      <c r="Z48" s="78" t="s">
        <v>48</v>
      </c>
      <c r="AA48" s="78" t="s">
        <v>225</v>
      </c>
      <c r="AB48" s="78">
        <v>24</v>
      </c>
    </row>
    <row r="49" spans="1:28" x14ac:dyDescent="0.25">
      <c r="A49" t="str">
        <f>IF(EXACT('BOM A320 FFS'!B67,obsoleta!D49),"OK","ERROR")</f>
        <v>ERROR</v>
      </c>
      <c r="C49" s="39"/>
      <c r="D49" s="39"/>
      <c r="E49" s="39"/>
      <c r="F49" s="28"/>
      <c r="G49" s="28"/>
      <c r="H49" s="28"/>
      <c r="I49" s="28"/>
      <c r="J49" s="40"/>
      <c r="K49" s="30"/>
      <c r="L49" s="30"/>
      <c r="M49" s="26"/>
      <c r="N49" s="26"/>
      <c r="O49" s="41"/>
      <c r="P49" s="41"/>
      <c r="Q49" s="98"/>
      <c r="R49" s="41"/>
      <c r="S49" s="30"/>
      <c r="T49" s="82"/>
      <c r="U49" s="82"/>
      <c r="V49" s="82"/>
      <c r="W49" s="82"/>
      <c r="X49" s="82"/>
      <c r="Y49" s="82"/>
      <c r="Z49" s="82"/>
      <c r="AA49" s="82" t="s">
        <v>225</v>
      </c>
      <c r="AB49" s="82"/>
    </row>
    <row r="50" spans="1:28" ht="18.75" x14ac:dyDescent="0.3">
      <c r="A50" t="str">
        <f>IF(EXACT('BOM A320 FFS'!B68,obsoleta!D50),"OK","ERROR")</f>
        <v>ERROR</v>
      </c>
      <c r="C50" s="19"/>
      <c r="D50" s="19" t="s">
        <v>3622</v>
      </c>
      <c r="E50" s="19"/>
      <c r="F50" s="20"/>
      <c r="G50" s="21"/>
      <c r="H50" s="21"/>
      <c r="I50" s="21"/>
      <c r="J50" s="22"/>
      <c r="K50" s="25"/>
      <c r="L50" s="25"/>
      <c r="M50" s="24"/>
      <c r="N50" s="24"/>
      <c r="O50" s="49"/>
      <c r="P50" s="49"/>
      <c r="Q50" s="100"/>
      <c r="R50" s="49"/>
      <c r="S50" s="25"/>
      <c r="T50" s="25"/>
      <c r="U50" s="25"/>
      <c r="V50" s="25"/>
      <c r="W50" s="25"/>
      <c r="X50" s="25"/>
      <c r="Y50" s="25"/>
      <c r="Z50" s="25"/>
      <c r="AA50" s="25" t="s">
        <v>225</v>
      </c>
      <c r="AB50" s="25"/>
    </row>
    <row r="51" spans="1:28" ht="15.75" x14ac:dyDescent="0.25">
      <c r="A51" t="str">
        <f>IF(EXACT('BOM A320 FFS'!B69,obsoleta!D51),"OK","ERROR")</f>
        <v>ERROR</v>
      </c>
      <c r="C51" s="27"/>
      <c r="D51" s="27" t="s">
        <v>3623</v>
      </c>
      <c r="E51" s="27"/>
      <c r="F51" s="28"/>
      <c r="G51" s="28"/>
      <c r="H51" s="28"/>
      <c r="I51" s="28"/>
      <c r="J51" s="40"/>
      <c r="K51" s="30"/>
      <c r="L51" s="30"/>
      <c r="M51" s="26"/>
      <c r="N51" s="26"/>
      <c r="O51" s="41"/>
      <c r="P51" s="41"/>
      <c r="Q51" s="98"/>
      <c r="R51" s="41"/>
      <c r="S51" s="30"/>
      <c r="T51" s="82"/>
      <c r="U51" s="82"/>
      <c r="V51" s="82"/>
      <c r="W51" s="82"/>
      <c r="X51" s="82"/>
      <c r="Y51" s="82"/>
      <c r="Z51" s="82"/>
      <c r="AA51" s="82" t="s">
        <v>225</v>
      </c>
      <c r="AB51" s="82"/>
    </row>
    <row r="52" spans="1:28" x14ac:dyDescent="0.25">
      <c r="A52" t="str">
        <f>IF(EXACT('BOM A320 FFS'!B70,obsoleta!D52),"OK","ERROR")</f>
        <v>ERROR</v>
      </c>
      <c r="C52" s="31" t="s">
        <v>51</v>
      </c>
      <c r="D52" s="31"/>
      <c r="E52" s="31"/>
      <c r="F52" s="32" t="s">
        <v>52</v>
      </c>
      <c r="G52" s="32"/>
      <c r="H52" s="32" t="s">
        <v>53</v>
      </c>
      <c r="I52" s="32" t="s">
        <v>53</v>
      </c>
      <c r="J52" s="33">
        <v>1</v>
      </c>
      <c r="K52" s="34">
        <v>180000</v>
      </c>
      <c r="L52" s="35">
        <v>180000</v>
      </c>
      <c r="M52" s="36" t="s">
        <v>32</v>
      </c>
      <c r="N52" s="37">
        <v>1</v>
      </c>
      <c r="O52" s="35">
        <v>180000</v>
      </c>
      <c r="P52" s="35" t="s">
        <v>33</v>
      </c>
      <c r="Q52" s="97"/>
      <c r="R52" s="35" t="s">
        <v>34</v>
      </c>
      <c r="S52" s="38" t="s">
        <v>35</v>
      </c>
      <c r="T52" s="78">
        <v>1</v>
      </c>
      <c r="U52" s="78" t="s">
        <v>34</v>
      </c>
      <c r="V52" s="78"/>
      <c r="W52" s="78" t="s">
        <v>54</v>
      </c>
      <c r="X52" s="78"/>
      <c r="Y52" s="78"/>
      <c r="Z52" s="78"/>
      <c r="AA52" s="78" t="s">
        <v>225</v>
      </c>
      <c r="AB52" s="78"/>
    </row>
    <row r="53" spans="1:28" x14ac:dyDescent="0.25">
      <c r="A53" t="str">
        <f>IF(EXACT('BOM A320 FFS'!B71,obsoleta!D53),"OK","ERROR")</f>
        <v>ERROR</v>
      </c>
      <c r="C53" s="31" t="s">
        <v>51</v>
      </c>
      <c r="D53" s="31"/>
      <c r="E53" s="31"/>
      <c r="F53" s="32" t="s">
        <v>293</v>
      </c>
      <c r="G53" s="32"/>
      <c r="H53" s="32" t="s">
        <v>53</v>
      </c>
      <c r="I53" s="32" t="s">
        <v>53</v>
      </c>
      <c r="J53" s="33">
        <v>1</v>
      </c>
      <c r="K53" s="34">
        <v>1946.88</v>
      </c>
      <c r="L53" s="35">
        <v>1946.88</v>
      </c>
      <c r="M53" s="36" t="s">
        <v>32</v>
      </c>
      <c r="N53" s="37">
        <v>1</v>
      </c>
      <c r="O53" s="35">
        <v>1946.88</v>
      </c>
      <c r="P53" s="35" t="s">
        <v>33</v>
      </c>
      <c r="Q53" s="97"/>
      <c r="R53" s="35" t="s">
        <v>34</v>
      </c>
      <c r="S53" s="38"/>
      <c r="T53" s="78">
        <v>1</v>
      </c>
      <c r="U53" s="78" t="s">
        <v>34</v>
      </c>
      <c r="V53" s="78"/>
      <c r="W53" s="78" t="s">
        <v>54</v>
      </c>
      <c r="X53" s="78"/>
      <c r="Y53" s="78"/>
      <c r="Z53" s="78"/>
      <c r="AA53" s="78" t="s">
        <v>225</v>
      </c>
      <c r="AB53" s="78"/>
    </row>
    <row r="54" spans="1:28" x14ac:dyDescent="0.25">
      <c r="A54" t="str">
        <f>IF(EXACT('BOM A320 FFS'!B72,obsoleta!D54),"OK","ERROR")</f>
        <v>OK</v>
      </c>
      <c r="C54" s="31" t="s">
        <v>51</v>
      </c>
      <c r="D54" s="31"/>
      <c r="E54" s="31"/>
      <c r="F54" s="32" t="s">
        <v>226</v>
      </c>
      <c r="G54" s="32"/>
      <c r="H54" s="32" t="s">
        <v>53</v>
      </c>
      <c r="I54" s="32" t="s">
        <v>53</v>
      </c>
      <c r="J54" s="33">
        <v>1</v>
      </c>
      <c r="K54" s="34">
        <v>3350.88</v>
      </c>
      <c r="L54" s="35">
        <v>3350.88</v>
      </c>
      <c r="M54" s="36" t="s">
        <v>32</v>
      </c>
      <c r="N54" s="37">
        <v>1</v>
      </c>
      <c r="O54" s="35">
        <v>3350.88</v>
      </c>
      <c r="P54" s="35" t="s">
        <v>33</v>
      </c>
      <c r="Q54" s="97"/>
      <c r="R54" s="35" t="s">
        <v>34</v>
      </c>
      <c r="S54" s="38"/>
      <c r="T54" s="78">
        <v>1</v>
      </c>
      <c r="U54" s="78" t="s">
        <v>34</v>
      </c>
      <c r="V54" s="78"/>
      <c r="W54" s="78" t="s">
        <v>54</v>
      </c>
      <c r="X54" s="78"/>
      <c r="Y54" s="78"/>
      <c r="Z54" s="78"/>
      <c r="AA54" s="78" t="s">
        <v>225</v>
      </c>
      <c r="AB54" s="78"/>
    </row>
    <row r="55" spans="1:28" x14ac:dyDescent="0.25">
      <c r="A55" t="str">
        <f>IF(EXACT('BOM A320 FFS'!B73,obsoleta!D55),"OK","ERROR")</f>
        <v>ERROR</v>
      </c>
      <c r="C55" s="31" t="s">
        <v>51</v>
      </c>
      <c r="D55" s="31"/>
      <c r="E55" s="31"/>
      <c r="F55" s="32" t="s">
        <v>284</v>
      </c>
      <c r="G55" s="32"/>
      <c r="H55" s="32" t="s">
        <v>53</v>
      </c>
      <c r="I55" s="32" t="s">
        <v>53</v>
      </c>
      <c r="J55" s="33">
        <v>1</v>
      </c>
      <c r="K55" s="34">
        <v>2106</v>
      </c>
      <c r="L55" s="35">
        <v>2106</v>
      </c>
      <c r="M55" s="36" t="s">
        <v>32</v>
      </c>
      <c r="N55" s="37">
        <v>1</v>
      </c>
      <c r="O55" s="35">
        <v>2106</v>
      </c>
      <c r="P55" s="35" t="s">
        <v>33</v>
      </c>
      <c r="Q55" s="97"/>
      <c r="R55" s="35" t="s">
        <v>34</v>
      </c>
      <c r="S55" s="38"/>
      <c r="T55" s="78">
        <v>1</v>
      </c>
      <c r="U55" s="78" t="s">
        <v>34</v>
      </c>
      <c r="V55" s="78"/>
      <c r="W55" s="78" t="s">
        <v>54</v>
      </c>
      <c r="X55" s="78"/>
      <c r="Y55" s="78"/>
      <c r="Z55" s="78"/>
      <c r="AA55" s="78" t="s">
        <v>225</v>
      </c>
      <c r="AB55" s="78"/>
    </row>
    <row r="56" spans="1:28" x14ac:dyDescent="0.25">
      <c r="A56" t="str">
        <f>IF(EXACT('BOM A320 FFS'!B74,obsoleta!D56),"OK","ERROR")</f>
        <v>OK</v>
      </c>
      <c r="C56" s="31" t="s">
        <v>51</v>
      </c>
      <c r="D56" s="31"/>
      <c r="E56" s="31"/>
      <c r="F56" s="32" t="s">
        <v>2280</v>
      </c>
      <c r="G56" s="32"/>
      <c r="H56" s="32" t="s">
        <v>53</v>
      </c>
      <c r="I56" s="32" t="s">
        <v>53</v>
      </c>
      <c r="J56" s="33">
        <v>1</v>
      </c>
      <c r="K56" s="34">
        <v>0</v>
      </c>
      <c r="L56" s="35">
        <v>0</v>
      </c>
      <c r="M56" s="36" t="s">
        <v>32</v>
      </c>
      <c r="N56" s="37">
        <v>1</v>
      </c>
      <c r="O56" s="35">
        <v>0</v>
      </c>
      <c r="P56" s="35" t="s">
        <v>33</v>
      </c>
      <c r="Q56" s="97"/>
      <c r="R56" s="35" t="s">
        <v>34</v>
      </c>
      <c r="S56" s="38"/>
      <c r="T56" s="78">
        <v>1</v>
      </c>
      <c r="U56" s="78" t="s">
        <v>34</v>
      </c>
      <c r="V56" s="78"/>
      <c r="W56" s="78" t="s">
        <v>54</v>
      </c>
      <c r="X56" s="78"/>
      <c r="Y56" s="78"/>
      <c r="Z56" s="78"/>
      <c r="AA56" s="78" t="s">
        <v>225</v>
      </c>
      <c r="AB56" s="78"/>
    </row>
    <row r="57" spans="1:28" x14ac:dyDescent="0.25">
      <c r="A57" t="str">
        <f>IF(EXACT('BOM A320 FFS'!B76,obsoleta!D57),"OK","ERROR")</f>
        <v>ERROR</v>
      </c>
      <c r="C57" s="39"/>
      <c r="D57" s="39"/>
      <c r="E57" s="39"/>
      <c r="F57" s="28"/>
      <c r="G57" s="28"/>
      <c r="H57" s="28"/>
      <c r="I57" s="28"/>
      <c r="J57" s="39"/>
      <c r="K57" s="44"/>
      <c r="L57" s="28"/>
      <c r="M57" s="28"/>
      <c r="N57" s="45"/>
      <c r="O57" s="46"/>
      <c r="P57" s="46"/>
      <c r="Q57" s="99"/>
      <c r="R57" s="46"/>
      <c r="S57" s="47"/>
      <c r="T57" s="82"/>
      <c r="U57" s="82"/>
      <c r="V57" s="82"/>
      <c r="W57" s="82"/>
      <c r="X57" s="82"/>
      <c r="Y57" s="82"/>
      <c r="Z57" s="82"/>
      <c r="AA57" s="82" t="s">
        <v>225</v>
      </c>
      <c r="AB57" s="82"/>
    </row>
    <row r="58" spans="1:28" ht="15.75" x14ac:dyDescent="0.25">
      <c r="A58" t="str">
        <f>IF(EXACT('BOM A320 FFS'!B77,obsoleta!D58),"OK","ERROR")</f>
        <v>ERROR</v>
      </c>
      <c r="C58" s="27"/>
      <c r="D58" s="27" t="s">
        <v>401</v>
      </c>
      <c r="E58" s="27"/>
      <c r="F58" s="28"/>
      <c r="G58" s="28"/>
      <c r="H58" s="28"/>
      <c r="I58" s="28"/>
      <c r="J58" s="39"/>
      <c r="K58" s="44"/>
      <c r="L58" s="28"/>
      <c r="M58" s="28"/>
      <c r="N58" s="45"/>
      <c r="O58" s="46"/>
      <c r="P58" s="46"/>
      <c r="Q58" s="99"/>
      <c r="R58" s="46"/>
      <c r="S58" s="47"/>
      <c r="T58" s="82"/>
      <c r="U58" s="82"/>
      <c r="V58" s="82"/>
      <c r="W58" s="82"/>
      <c r="X58" s="82"/>
      <c r="Y58" s="82"/>
      <c r="Z58" s="82"/>
      <c r="AA58" s="82" t="s">
        <v>225</v>
      </c>
      <c r="AB58" s="82"/>
    </row>
    <row r="59" spans="1:28" x14ac:dyDescent="0.25">
      <c r="A59" t="str">
        <f>IF(EXACT('BOM A320 FFS'!B78,obsoleta!D59),"OK","ERROR")</f>
        <v>ERROR</v>
      </c>
      <c r="C59" s="71" t="s">
        <v>41</v>
      </c>
      <c r="D59" s="71">
        <v>1390701501200</v>
      </c>
      <c r="E59" s="71"/>
      <c r="F59" s="32" t="s">
        <v>154</v>
      </c>
      <c r="G59" s="70">
        <v>712100000001</v>
      </c>
      <c r="H59" s="32" t="s">
        <v>53</v>
      </c>
      <c r="I59" s="32" t="s">
        <v>53</v>
      </c>
      <c r="J59" s="33">
        <v>1</v>
      </c>
      <c r="K59" s="34">
        <v>10108.799999999999</v>
      </c>
      <c r="L59" s="35">
        <v>10108.799999999999</v>
      </c>
      <c r="M59" s="36" t="s">
        <v>32</v>
      </c>
      <c r="N59" s="37">
        <v>1</v>
      </c>
      <c r="O59" s="35">
        <v>10108.799999999999</v>
      </c>
      <c r="P59" s="35" t="s">
        <v>33</v>
      </c>
      <c r="Q59" s="97">
        <v>45453</v>
      </c>
      <c r="R59" s="35" t="s">
        <v>62</v>
      </c>
      <c r="S59" s="38"/>
      <c r="T59" s="78">
        <v>1</v>
      </c>
      <c r="U59" s="78" t="s">
        <v>34</v>
      </c>
      <c r="V59" s="78"/>
      <c r="W59" s="78" t="s">
        <v>47</v>
      </c>
      <c r="X59" s="78" t="s">
        <v>3712</v>
      </c>
      <c r="Y59" s="78">
        <v>1</v>
      </c>
      <c r="Z59" s="78" t="s">
        <v>48</v>
      </c>
      <c r="AA59" s="78" t="s">
        <v>225</v>
      </c>
      <c r="AB59" s="78">
        <v>1</v>
      </c>
    </row>
    <row r="60" spans="1:28" ht="15.75" x14ac:dyDescent="0.25">
      <c r="A60" t="str">
        <f>IF(EXACT('BOM A320 FFS'!B79,obsoleta!D60),"OK","ERROR")</f>
        <v>ERROR</v>
      </c>
      <c r="C60" s="50"/>
      <c r="D60" s="50"/>
      <c r="E60" s="50"/>
      <c r="F60" s="28"/>
      <c r="G60" s="28"/>
      <c r="H60" s="28"/>
      <c r="I60" s="28"/>
      <c r="J60" s="40"/>
      <c r="K60" s="30"/>
      <c r="L60" s="30"/>
      <c r="M60" s="26"/>
      <c r="N60" s="26"/>
      <c r="O60" s="41"/>
      <c r="P60" s="41"/>
      <c r="Q60" s="98"/>
      <c r="R60" s="41"/>
      <c r="S60" s="30"/>
      <c r="T60" s="82"/>
      <c r="U60" s="82"/>
      <c r="V60" s="82"/>
      <c r="W60" s="82"/>
      <c r="X60" s="82"/>
      <c r="Y60" s="82"/>
      <c r="Z60" s="82"/>
      <c r="AA60" s="82" t="s">
        <v>225</v>
      </c>
      <c r="AB60" s="82"/>
    </row>
    <row r="61" spans="1:28" ht="18.75" x14ac:dyDescent="0.3">
      <c r="A61" t="str">
        <f>IF(EXACT('BOM A320 FFS'!B80,obsoleta!D61),"OK","ERROR")</f>
        <v>ERROR</v>
      </c>
      <c r="C61" s="19"/>
      <c r="D61" s="19" t="s">
        <v>3624</v>
      </c>
      <c r="E61" s="19"/>
      <c r="F61" s="20"/>
      <c r="G61" s="21"/>
      <c r="H61" s="21"/>
      <c r="I61" s="21"/>
      <c r="J61" s="22"/>
      <c r="K61" s="25"/>
      <c r="L61" s="25"/>
      <c r="M61" s="24"/>
      <c r="N61" s="24"/>
      <c r="O61" s="49"/>
      <c r="P61" s="49"/>
      <c r="Q61" s="100"/>
      <c r="R61" s="49"/>
      <c r="S61" s="25"/>
      <c r="T61" s="25"/>
      <c r="U61" s="25"/>
      <c r="V61" s="25"/>
      <c r="W61" s="25"/>
      <c r="X61" s="25"/>
      <c r="Y61" s="25"/>
      <c r="Z61" s="25"/>
      <c r="AA61" s="25" t="s">
        <v>225</v>
      </c>
      <c r="AB61" s="25"/>
    </row>
    <row r="62" spans="1:28" x14ac:dyDescent="0.25">
      <c r="A62" t="str">
        <f>IF(EXACT('BOM A320 FFS'!B81,obsoleta!D62),"OK","ERROR")</f>
        <v>ERROR</v>
      </c>
      <c r="C62" s="31" t="s">
        <v>41</v>
      </c>
      <c r="D62" s="31">
        <v>1390705229900</v>
      </c>
      <c r="E62" s="31"/>
      <c r="F62" s="32" t="s">
        <v>43</v>
      </c>
      <c r="G62" s="32" t="s">
        <v>44</v>
      </c>
      <c r="H62" s="32" t="s">
        <v>45</v>
      </c>
      <c r="I62" s="32" t="s">
        <v>45</v>
      </c>
      <c r="J62" s="33">
        <v>1</v>
      </c>
      <c r="K62" s="34">
        <v>480000</v>
      </c>
      <c r="L62" s="35">
        <v>480000</v>
      </c>
      <c r="M62" s="36" t="s">
        <v>39</v>
      </c>
      <c r="N62" s="37">
        <v>0.85</v>
      </c>
      <c r="O62" s="35">
        <v>408000</v>
      </c>
      <c r="P62" s="35"/>
      <c r="Q62" s="97"/>
      <c r="R62" s="35"/>
      <c r="S62" s="38" t="s">
        <v>46</v>
      </c>
      <c r="T62" s="78">
        <v>1</v>
      </c>
      <c r="U62" s="78" t="s">
        <v>34</v>
      </c>
      <c r="V62" s="78"/>
      <c r="W62" s="78" t="s">
        <v>47</v>
      </c>
      <c r="X62" s="78" t="s">
        <v>3712</v>
      </c>
      <c r="Y62" s="78">
        <v>1</v>
      </c>
      <c r="Z62" s="78"/>
      <c r="AA62" s="78" t="s">
        <v>225</v>
      </c>
      <c r="AB62" s="78"/>
    </row>
    <row r="63" spans="1:28" x14ac:dyDescent="0.25">
      <c r="A63" t="str">
        <f>IF(EXACT('BOM A320 FFS'!B82,obsoleta!D63),"OK","ERROR")</f>
        <v>ERROR</v>
      </c>
      <c r="C63" s="39"/>
      <c r="D63" s="39"/>
      <c r="E63" s="39"/>
      <c r="F63" s="28"/>
      <c r="G63" s="28"/>
      <c r="H63" s="28"/>
      <c r="I63" s="28"/>
      <c r="J63" s="40"/>
      <c r="K63" s="30"/>
      <c r="L63" s="41"/>
      <c r="M63" s="26"/>
      <c r="N63" s="26"/>
      <c r="O63" s="41"/>
      <c r="P63" s="41"/>
      <c r="Q63" s="98"/>
      <c r="R63" s="41"/>
      <c r="S63" s="30"/>
      <c r="T63" s="82"/>
      <c r="U63" s="82"/>
      <c r="V63" s="82"/>
      <c r="W63" s="82"/>
      <c r="X63" s="82"/>
      <c r="Y63" s="82"/>
      <c r="Z63" s="82"/>
      <c r="AA63" s="82" t="s">
        <v>225</v>
      </c>
      <c r="AB63" s="82"/>
    </row>
    <row r="64" spans="1:28" ht="18.75" x14ac:dyDescent="0.3">
      <c r="A64" t="str">
        <f>IF(EXACT('BOM A320 FFS'!B83,obsoleta!D64),"OK","ERROR")</f>
        <v>ERROR</v>
      </c>
      <c r="C64" s="19"/>
      <c r="D64" s="19" t="s">
        <v>3625</v>
      </c>
      <c r="E64" s="19"/>
      <c r="F64" s="20"/>
      <c r="G64" s="21"/>
      <c r="H64" s="21"/>
      <c r="I64" s="21"/>
      <c r="J64" s="22"/>
      <c r="K64" s="25"/>
      <c r="L64" s="25"/>
      <c r="M64" s="24"/>
      <c r="N64" s="24"/>
      <c r="O64" s="49"/>
      <c r="P64" s="49"/>
      <c r="Q64" s="100"/>
      <c r="R64" s="49"/>
      <c r="S64" s="25"/>
      <c r="T64" s="25"/>
      <c r="U64" s="25"/>
      <c r="V64" s="25"/>
      <c r="W64" s="25"/>
      <c r="X64" s="25"/>
      <c r="Y64" s="25"/>
      <c r="Z64" s="25"/>
      <c r="AA64" s="25" t="s">
        <v>225</v>
      </c>
      <c r="AB64" s="25"/>
    </row>
    <row r="65" spans="1:28" x14ac:dyDescent="0.25">
      <c r="A65" t="str">
        <f>IF(EXACT('BOM A320 FFS'!B84,obsoleta!D65),"OK","ERROR")</f>
        <v>ERROR</v>
      </c>
      <c r="C65" s="31" t="s">
        <v>69</v>
      </c>
      <c r="D65" s="31" t="s">
        <v>70</v>
      </c>
      <c r="E65" s="31"/>
      <c r="F65" s="32" t="s">
        <v>71</v>
      </c>
      <c r="G65" s="32" t="s">
        <v>72</v>
      </c>
      <c r="H65" s="32" t="s">
        <v>45</v>
      </c>
      <c r="I65" s="32" t="s">
        <v>45</v>
      </c>
      <c r="J65" s="33">
        <v>1</v>
      </c>
      <c r="K65" s="34">
        <v>82432</v>
      </c>
      <c r="L65" s="35">
        <v>82432</v>
      </c>
      <c r="M65" s="36" t="s">
        <v>39</v>
      </c>
      <c r="N65" s="37">
        <v>0.85</v>
      </c>
      <c r="O65" s="35">
        <v>70067.199999999997</v>
      </c>
      <c r="P65" s="35" t="s">
        <v>33</v>
      </c>
      <c r="Q65" s="97"/>
      <c r="R65" s="35" t="s">
        <v>34</v>
      </c>
      <c r="S65" s="38" t="s">
        <v>46</v>
      </c>
      <c r="T65" s="81">
        <v>1</v>
      </c>
      <c r="U65" s="81" t="s">
        <v>34</v>
      </c>
      <c r="V65" s="81"/>
      <c r="W65" s="81" t="s">
        <v>73</v>
      </c>
      <c r="X65" s="81"/>
      <c r="Y65" s="81"/>
      <c r="Z65" s="81"/>
      <c r="AA65" s="81" t="s">
        <v>225</v>
      </c>
      <c r="AB65" s="81"/>
    </row>
    <row r="66" spans="1:28" x14ac:dyDescent="0.25">
      <c r="A66" t="str">
        <f>IF(EXACT('BOM A320 FFS'!B85,obsoleta!D66),"OK","ERROR")</f>
        <v>ERROR</v>
      </c>
      <c r="C66" s="31" t="s">
        <v>69</v>
      </c>
      <c r="D66" s="31"/>
      <c r="E66" s="31"/>
      <c r="F66" s="32" t="s">
        <v>192</v>
      </c>
      <c r="G66" s="32"/>
      <c r="H66" s="32" t="s">
        <v>53</v>
      </c>
      <c r="I66" s="32" t="s">
        <v>53</v>
      </c>
      <c r="J66" s="33">
        <v>1</v>
      </c>
      <c r="K66" s="34">
        <v>6000</v>
      </c>
      <c r="L66" s="35">
        <v>6000</v>
      </c>
      <c r="M66" s="36" t="s">
        <v>32</v>
      </c>
      <c r="N66" s="37">
        <v>1</v>
      </c>
      <c r="O66" s="35">
        <v>6000</v>
      </c>
      <c r="P66" s="35" t="s">
        <v>33</v>
      </c>
      <c r="Q66" s="97"/>
      <c r="R66" s="35" t="s">
        <v>34</v>
      </c>
      <c r="S66" s="38" t="s">
        <v>35</v>
      </c>
      <c r="T66" s="78">
        <v>1</v>
      </c>
      <c r="U66" s="78" t="s">
        <v>34</v>
      </c>
      <c r="V66" s="78"/>
      <c r="W66" s="81" t="s">
        <v>107</v>
      </c>
      <c r="X66" s="81"/>
      <c r="Y66" s="78"/>
      <c r="Z66" s="78"/>
      <c r="AA66" s="78" t="s">
        <v>225</v>
      </c>
      <c r="AB66" s="78"/>
    </row>
    <row r="67" spans="1:28" x14ac:dyDescent="0.25">
      <c r="A67" t="str">
        <f>IF(EXACT('BOM A320 FFS'!B86,obsoleta!D67),"OK","ERROR")</f>
        <v>ERROR</v>
      </c>
      <c r="C67" s="31" t="s">
        <v>69</v>
      </c>
      <c r="D67" s="31"/>
      <c r="E67" s="31"/>
      <c r="F67" s="32" t="s">
        <v>285</v>
      </c>
      <c r="G67" s="32"/>
      <c r="H67" s="32" t="s">
        <v>53</v>
      </c>
      <c r="I67" s="32" t="s">
        <v>53</v>
      </c>
      <c r="J67" s="33">
        <v>1</v>
      </c>
      <c r="K67" s="34">
        <v>2000</v>
      </c>
      <c r="L67" s="35">
        <v>2000</v>
      </c>
      <c r="M67" s="36" t="s">
        <v>32</v>
      </c>
      <c r="N67" s="37">
        <v>1</v>
      </c>
      <c r="O67" s="35">
        <v>2000</v>
      </c>
      <c r="P67" s="35" t="s">
        <v>33</v>
      </c>
      <c r="Q67" s="97"/>
      <c r="R67" s="35" t="s">
        <v>34</v>
      </c>
      <c r="S67" s="38" t="s">
        <v>35</v>
      </c>
      <c r="T67" s="78">
        <v>1</v>
      </c>
      <c r="U67" s="78" t="s">
        <v>34</v>
      </c>
      <c r="V67" s="78"/>
      <c r="W67" s="81" t="s">
        <v>107</v>
      </c>
      <c r="X67" s="81"/>
      <c r="Y67" s="78"/>
      <c r="Z67" s="78"/>
      <c r="AA67" s="78" t="s">
        <v>225</v>
      </c>
      <c r="AB67" s="78"/>
    </row>
    <row r="68" spans="1:28" x14ac:dyDescent="0.25">
      <c r="A68" t="str">
        <f>IF(EXACT('BOM A320 FFS'!B87,obsoleta!D68),"OK","ERROR")</f>
        <v>ERROR</v>
      </c>
      <c r="C68" s="39"/>
      <c r="D68" s="39"/>
      <c r="E68" s="39"/>
      <c r="F68" s="28"/>
      <c r="G68" s="28"/>
      <c r="H68" s="28"/>
      <c r="I68" s="28"/>
      <c r="J68" s="40"/>
      <c r="K68" s="30"/>
      <c r="L68" s="30"/>
      <c r="M68" s="26"/>
      <c r="N68" s="26"/>
      <c r="O68" s="41"/>
      <c r="P68" s="41"/>
      <c r="Q68" s="98"/>
      <c r="R68" s="41"/>
      <c r="S68" s="30"/>
      <c r="T68" s="82"/>
      <c r="U68" s="82"/>
      <c r="V68" s="82"/>
      <c r="W68" s="82"/>
      <c r="X68" s="82"/>
      <c r="Y68" s="82"/>
      <c r="Z68" s="82"/>
      <c r="AA68" s="82" t="s">
        <v>225</v>
      </c>
      <c r="AB68" s="82"/>
    </row>
    <row r="69" spans="1:28" ht="18.75" x14ac:dyDescent="0.3">
      <c r="A69" t="str">
        <f>IF(EXACT('BOM A320 FFS'!B94,obsoleta!D69),"OK","ERROR")</f>
        <v>ERROR</v>
      </c>
      <c r="C69" s="19"/>
      <c r="D69" s="19" t="s">
        <v>108</v>
      </c>
      <c r="E69" s="19"/>
      <c r="F69" s="20"/>
      <c r="G69" s="21"/>
      <c r="H69" s="21"/>
      <c r="I69" s="21"/>
      <c r="J69" s="22"/>
      <c r="K69" s="25"/>
      <c r="L69" s="25"/>
      <c r="M69" s="24"/>
      <c r="N69" s="24"/>
      <c r="O69" s="49"/>
      <c r="P69" s="49"/>
      <c r="Q69" s="100"/>
      <c r="R69" s="49"/>
      <c r="S69" s="25"/>
      <c r="T69" s="25"/>
      <c r="U69" s="25"/>
      <c r="V69" s="25"/>
      <c r="W69" s="25"/>
      <c r="X69" s="25"/>
      <c r="Y69" s="25"/>
      <c r="Z69" s="25"/>
      <c r="AA69" s="25" t="s">
        <v>225</v>
      </c>
      <c r="AB69" s="25"/>
    </row>
    <row r="70" spans="1:28" x14ac:dyDescent="0.25">
      <c r="A70" t="str">
        <f>IF(EXACT('BOM A320 FFS'!B95,obsoleta!D70),"OK","ERROR")</f>
        <v>ERROR</v>
      </c>
      <c r="C70" s="39"/>
      <c r="D70" s="39"/>
      <c r="E70" s="39"/>
      <c r="F70" s="28"/>
      <c r="G70" s="28"/>
      <c r="H70" s="28"/>
      <c r="I70" s="28"/>
      <c r="J70" s="40"/>
      <c r="K70" s="26"/>
      <c r="L70" s="30"/>
      <c r="M70" s="26"/>
      <c r="N70" s="26"/>
      <c r="O70" s="30"/>
      <c r="P70" s="30"/>
      <c r="Q70" s="96"/>
      <c r="R70" s="30"/>
      <c r="S70" s="30"/>
      <c r="T70" s="82"/>
      <c r="U70" s="82"/>
      <c r="V70" s="82"/>
      <c r="W70" s="82"/>
      <c r="X70" s="82"/>
      <c r="Y70" s="82"/>
      <c r="Z70" s="82"/>
      <c r="AA70" s="82" t="s">
        <v>225</v>
      </c>
      <c r="AB70" s="82"/>
    </row>
    <row r="71" spans="1:28" x14ac:dyDescent="0.25">
      <c r="A71" t="str">
        <f>IF(EXACT('BOM A320 FFS'!B96,obsoleta!D71),"OK","ERROR")</f>
        <v>ERROR</v>
      </c>
      <c r="C71" s="31" t="s">
        <v>108</v>
      </c>
      <c r="D71" s="31" t="s">
        <v>270</v>
      </c>
      <c r="E71" s="31"/>
      <c r="F71" s="32" t="s">
        <v>270</v>
      </c>
      <c r="G71" s="32"/>
      <c r="H71" s="32" t="s">
        <v>272</v>
      </c>
      <c r="I71" s="32" t="s">
        <v>272</v>
      </c>
      <c r="J71" s="33">
        <v>1</v>
      </c>
      <c r="K71" s="34">
        <v>2500</v>
      </c>
      <c r="L71" s="35">
        <v>2500</v>
      </c>
      <c r="M71" s="36" t="s">
        <v>32</v>
      </c>
      <c r="N71" s="37">
        <v>1</v>
      </c>
      <c r="O71" s="35">
        <v>2500</v>
      </c>
      <c r="P71" s="35" t="s">
        <v>33</v>
      </c>
      <c r="Q71" s="97">
        <v>45453</v>
      </c>
      <c r="R71" s="35" t="s">
        <v>62</v>
      </c>
      <c r="S71" s="38" t="s">
        <v>273</v>
      </c>
      <c r="T71" s="78">
        <v>2</v>
      </c>
      <c r="U71" s="78"/>
      <c r="V71" s="78"/>
      <c r="W71" s="78" t="s">
        <v>114</v>
      </c>
      <c r="X71" s="78"/>
      <c r="Y71" s="78"/>
      <c r="Z71" s="78"/>
      <c r="AA71" s="78" t="s">
        <v>225</v>
      </c>
      <c r="AB71" s="78"/>
    </row>
    <row r="72" spans="1:28" x14ac:dyDescent="0.25">
      <c r="A72" t="str">
        <f>IF(EXACT('BOM A320 FFS'!B97,obsoleta!D72),"OK","ERROR")</f>
        <v>ERROR</v>
      </c>
      <c r="C72" s="31" t="s">
        <v>108</v>
      </c>
      <c r="D72" s="31" t="s">
        <v>506</v>
      </c>
      <c r="E72" s="31"/>
      <c r="F72" s="32" t="s">
        <v>506</v>
      </c>
      <c r="G72" s="32"/>
      <c r="H72" s="32" t="s">
        <v>507</v>
      </c>
      <c r="I72" s="32" t="s">
        <v>507</v>
      </c>
      <c r="J72" s="33">
        <v>1</v>
      </c>
      <c r="K72" s="34">
        <v>20000</v>
      </c>
      <c r="L72" s="35">
        <v>20000</v>
      </c>
      <c r="M72" s="36" t="s">
        <v>32</v>
      </c>
      <c r="N72" s="37">
        <v>1</v>
      </c>
      <c r="O72" s="35">
        <v>20000</v>
      </c>
      <c r="P72" s="35" t="s">
        <v>33</v>
      </c>
      <c r="Q72" s="97">
        <v>45453</v>
      </c>
      <c r="R72" s="35" t="s">
        <v>62</v>
      </c>
      <c r="S72" s="38" t="s">
        <v>508</v>
      </c>
      <c r="T72" s="78">
        <v>2</v>
      </c>
      <c r="U72" s="78"/>
      <c r="V72" s="78"/>
      <c r="W72" s="78" t="s">
        <v>114</v>
      </c>
      <c r="X72" s="78"/>
      <c r="Y72" s="78"/>
      <c r="Z72" s="78"/>
      <c r="AA72" s="78" t="s">
        <v>225</v>
      </c>
      <c r="AB72" s="78"/>
    </row>
    <row r="73" spans="1:28" x14ac:dyDescent="0.25">
      <c r="A73" t="str">
        <f>IF(EXACT('BOM A320 FFS'!B105,obsoleta!D73),"OK","ERROR")</f>
        <v>ERROR</v>
      </c>
      <c r="C73" s="31" t="s">
        <v>108</v>
      </c>
      <c r="D73" s="31" t="s">
        <v>126</v>
      </c>
      <c r="E73" s="31"/>
      <c r="F73" s="32" t="s">
        <v>127</v>
      </c>
      <c r="G73" s="31" t="s">
        <v>126</v>
      </c>
      <c r="H73" s="32" t="s">
        <v>128</v>
      </c>
      <c r="I73" s="32" t="s">
        <v>129</v>
      </c>
      <c r="J73" s="33">
        <v>1</v>
      </c>
      <c r="K73" s="34">
        <v>19000</v>
      </c>
      <c r="L73" s="35">
        <v>19000</v>
      </c>
      <c r="M73" s="36" t="s">
        <v>32</v>
      </c>
      <c r="N73" s="37">
        <v>1</v>
      </c>
      <c r="O73" s="35">
        <v>19000</v>
      </c>
      <c r="P73" s="35" t="s">
        <v>130</v>
      </c>
      <c r="Q73" s="97">
        <v>45453</v>
      </c>
      <c r="R73" s="35" t="s">
        <v>62</v>
      </c>
      <c r="S73" s="38" t="s">
        <v>131</v>
      </c>
      <c r="T73" s="78">
        <v>1</v>
      </c>
      <c r="U73" s="78"/>
      <c r="V73" s="78"/>
      <c r="W73" s="78" t="s">
        <v>114</v>
      </c>
      <c r="X73" s="78"/>
      <c r="Y73" s="78"/>
      <c r="Z73" s="78"/>
      <c r="AA73" s="78" t="s">
        <v>225</v>
      </c>
      <c r="AB73" s="78"/>
    </row>
    <row r="74" spans="1:28" x14ac:dyDescent="0.25">
      <c r="A74" t="str">
        <f>IF(EXACT('BOM A320 FFS'!B106,obsoleta!D74),"OK","ERROR")</f>
        <v>ERROR</v>
      </c>
      <c r="C74" s="31" t="s">
        <v>108</v>
      </c>
      <c r="D74" s="71">
        <v>1264611110000</v>
      </c>
      <c r="E74" s="71"/>
      <c r="F74" s="32" t="s">
        <v>177</v>
      </c>
      <c r="G74" s="32" t="s">
        <v>178</v>
      </c>
      <c r="H74" s="32" t="s">
        <v>179</v>
      </c>
      <c r="I74" s="32" t="s">
        <v>180</v>
      </c>
      <c r="J74" s="33">
        <v>1</v>
      </c>
      <c r="K74" s="34">
        <v>7000</v>
      </c>
      <c r="L74" s="35">
        <v>7000</v>
      </c>
      <c r="M74" s="36" t="s">
        <v>32</v>
      </c>
      <c r="N74" s="37">
        <v>1</v>
      </c>
      <c r="O74" s="35">
        <v>7000</v>
      </c>
      <c r="P74" s="35" t="s">
        <v>33</v>
      </c>
      <c r="Q74" s="97">
        <v>45453</v>
      </c>
      <c r="R74" s="35" t="s">
        <v>62</v>
      </c>
      <c r="S74" s="38"/>
      <c r="T74" s="129">
        <v>1</v>
      </c>
      <c r="U74" s="129" t="s">
        <v>34</v>
      </c>
      <c r="V74" s="129"/>
      <c r="W74" s="129" t="s">
        <v>114</v>
      </c>
      <c r="X74" s="129" t="s">
        <v>3713</v>
      </c>
      <c r="Y74" s="129">
        <v>1</v>
      </c>
      <c r="Z74" s="129" t="s">
        <v>48</v>
      </c>
      <c r="AA74" s="129" t="s">
        <v>225</v>
      </c>
      <c r="AB74" s="129">
        <v>1</v>
      </c>
    </row>
    <row r="75" spans="1:28" x14ac:dyDescent="0.25">
      <c r="A75" t="str">
        <f>IF(EXACT('BOM A320 FFS'!B107,obsoleta!D75),"OK","ERROR")</f>
        <v>ERROR</v>
      </c>
      <c r="C75" s="31" t="s">
        <v>108</v>
      </c>
      <c r="D75" s="71">
        <v>1138022400100</v>
      </c>
      <c r="E75" s="71">
        <v>1138022410200</v>
      </c>
      <c r="F75" s="32" t="s">
        <v>441</v>
      </c>
      <c r="G75" s="32">
        <v>2916532</v>
      </c>
      <c r="H75" s="130" t="s">
        <v>442</v>
      </c>
      <c r="I75" s="130"/>
      <c r="J75" s="33">
        <v>1</v>
      </c>
      <c r="K75" s="34">
        <v>450</v>
      </c>
      <c r="L75" s="35">
        <v>450</v>
      </c>
      <c r="M75" s="36" t="s">
        <v>32</v>
      </c>
      <c r="N75" s="37">
        <v>1</v>
      </c>
      <c r="O75" s="35">
        <v>450</v>
      </c>
      <c r="P75" s="35" t="s">
        <v>33</v>
      </c>
      <c r="Q75" s="97">
        <v>45453</v>
      </c>
      <c r="R75" s="35" t="s">
        <v>62</v>
      </c>
      <c r="S75" s="38"/>
      <c r="T75" s="129">
        <v>1</v>
      </c>
      <c r="U75" s="129" t="s">
        <v>34</v>
      </c>
      <c r="V75" s="129"/>
      <c r="W75" s="129" t="s">
        <v>114</v>
      </c>
      <c r="X75" s="129" t="s">
        <v>3713</v>
      </c>
      <c r="Y75" s="129">
        <v>1</v>
      </c>
      <c r="Z75" s="129" t="s">
        <v>48</v>
      </c>
      <c r="AA75" s="129" t="s">
        <v>225</v>
      </c>
      <c r="AB75" s="129">
        <v>1</v>
      </c>
    </row>
    <row r="76" spans="1:28" x14ac:dyDescent="0.25">
      <c r="A76" t="str">
        <f>IF(EXACT('BOM A320 FFS'!B108,obsoleta!D76),"OK","ERROR")</f>
        <v>ERROR</v>
      </c>
      <c r="C76" s="31" t="s">
        <v>108</v>
      </c>
      <c r="D76" s="71">
        <v>1351202410300</v>
      </c>
      <c r="E76" s="71"/>
      <c r="F76" s="32" t="s">
        <v>540</v>
      </c>
      <c r="G76" s="32">
        <v>2861250</v>
      </c>
      <c r="H76" s="32" t="s">
        <v>442</v>
      </c>
      <c r="I76" s="32"/>
      <c r="J76" s="33">
        <v>3</v>
      </c>
      <c r="K76" s="34">
        <v>200</v>
      </c>
      <c r="L76" s="35">
        <v>600</v>
      </c>
      <c r="M76" s="36" t="s">
        <v>32</v>
      </c>
      <c r="N76" s="37">
        <v>1</v>
      </c>
      <c r="O76" s="35">
        <v>600</v>
      </c>
      <c r="P76" s="35" t="s">
        <v>33</v>
      </c>
      <c r="Q76" s="97">
        <v>45453</v>
      </c>
      <c r="R76" s="35" t="s">
        <v>62</v>
      </c>
      <c r="S76" s="38"/>
      <c r="T76" s="78">
        <v>1</v>
      </c>
      <c r="U76" s="78" t="s">
        <v>34</v>
      </c>
      <c r="V76" s="78"/>
      <c r="W76" s="78" t="s">
        <v>114</v>
      </c>
      <c r="X76" s="78" t="s">
        <v>3713</v>
      </c>
      <c r="Y76" s="78">
        <v>1</v>
      </c>
      <c r="Z76" s="78" t="s">
        <v>48</v>
      </c>
      <c r="AA76" s="78" t="s">
        <v>225</v>
      </c>
      <c r="AB76" s="78">
        <v>3</v>
      </c>
    </row>
    <row r="77" spans="1:28" x14ac:dyDescent="0.25">
      <c r="A77" t="str">
        <f>IF(EXACT('BOM A320 FFS'!B109,obsoleta!D77),"OK","ERROR")</f>
        <v>ERROR</v>
      </c>
      <c r="C77" s="31" t="s">
        <v>108</v>
      </c>
      <c r="D77" s="71">
        <v>1351202410200</v>
      </c>
      <c r="E77" s="71"/>
      <c r="F77" s="32" t="s">
        <v>546</v>
      </c>
      <c r="G77" s="32">
        <v>2861292</v>
      </c>
      <c r="H77" s="32" t="s">
        <v>442</v>
      </c>
      <c r="I77" s="32"/>
      <c r="J77" s="33">
        <v>2</v>
      </c>
      <c r="K77" s="34">
        <v>200</v>
      </c>
      <c r="L77" s="35">
        <v>400</v>
      </c>
      <c r="M77" s="36" t="s">
        <v>32</v>
      </c>
      <c r="N77" s="37">
        <v>1</v>
      </c>
      <c r="O77" s="35">
        <v>400</v>
      </c>
      <c r="P77" s="35" t="s">
        <v>33</v>
      </c>
      <c r="Q77" s="97">
        <v>45453</v>
      </c>
      <c r="R77" s="35" t="s">
        <v>62</v>
      </c>
      <c r="S77" s="38"/>
      <c r="T77" s="78">
        <v>1</v>
      </c>
      <c r="U77" s="78" t="s">
        <v>34</v>
      </c>
      <c r="V77" s="78"/>
      <c r="W77" s="78" t="s">
        <v>114</v>
      </c>
      <c r="X77" s="78" t="s">
        <v>3713</v>
      </c>
      <c r="Y77" s="78">
        <v>1</v>
      </c>
      <c r="Z77" s="78" t="s">
        <v>48</v>
      </c>
      <c r="AA77" s="78" t="s">
        <v>225</v>
      </c>
      <c r="AB77" s="78">
        <v>2</v>
      </c>
    </row>
    <row r="78" spans="1:28" x14ac:dyDescent="0.25">
      <c r="A78" t="str">
        <f>IF(EXACT('BOM A320 FFS'!B110,obsoleta!D78),"OK","ERROR")</f>
        <v>ERROR</v>
      </c>
      <c r="C78" s="31" t="s">
        <v>108</v>
      </c>
      <c r="D78" s="71">
        <v>1351800390000</v>
      </c>
      <c r="E78" s="71"/>
      <c r="F78" s="32" t="s">
        <v>635</v>
      </c>
      <c r="G78" s="32"/>
      <c r="H78" s="32"/>
      <c r="I78" s="32"/>
      <c r="J78" s="33">
        <v>1</v>
      </c>
      <c r="K78" s="34">
        <v>100</v>
      </c>
      <c r="L78" s="35">
        <v>100</v>
      </c>
      <c r="M78" s="36" t="s">
        <v>32</v>
      </c>
      <c r="N78" s="37">
        <v>1</v>
      </c>
      <c r="O78" s="35">
        <v>100</v>
      </c>
      <c r="P78" s="35" t="s">
        <v>33</v>
      </c>
      <c r="Q78" s="97">
        <v>45453</v>
      </c>
      <c r="R78" s="35" t="s">
        <v>62</v>
      </c>
      <c r="S78" s="38"/>
      <c r="T78" s="78">
        <v>1</v>
      </c>
      <c r="U78" s="78" t="s">
        <v>34</v>
      </c>
      <c r="V78" s="78"/>
      <c r="W78" s="78" t="s">
        <v>114</v>
      </c>
      <c r="X78" s="78" t="s">
        <v>3713</v>
      </c>
      <c r="Y78" s="78">
        <v>1</v>
      </c>
      <c r="Z78" s="78" t="s">
        <v>48</v>
      </c>
      <c r="AA78" s="78" t="s">
        <v>225</v>
      </c>
      <c r="AB78" s="78">
        <v>1</v>
      </c>
    </row>
    <row r="79" spans="1:28" x14ac:dyDescent="0.25">
      <c r="A79" t="str">
        <f>IF(EXACT('BOM A320 FFS'!B115,obsoleta!D79),"OK","ERROR")</f>
        <v>ERROR</v>
      </c>
      <c r="C79" s="31"/>
      <c r="D79" s="31"/>
      <c r="E79" s="31"/>
      <c r="F79" s="32"/>
      <c r="G79" s="32"/>
      <c r="H79" s="32"/>
      <c r="I79" s="32"/>
      <c r="J79" s="33"/>
      <c r="K79" s="34"/>
      <c r="L79" s="35"/>
      <c r="M79" s="36"/>
      <c r="N79" s="37"/>
      <c r="O79" s="35"/>
      <c r="P79" s="35"/>
      <c r="Q79" s="97"/>
      <c r="R79" s="35"/>
      <c r="S79" s="38"/>
      <c r="T79" s="81"/>
      <c r="U79" s="81"/>
      <c r="V79" s="81"/>
      <c r="W79" s="81"/>
      <c r="X79" s="81"/>
      <c r="Y79" s="81"/>
      <c r="Z79" s="81"/>
      <c r="AA79" s="81" t="s">
        <v>225</v>
      </c>
      <c r="AB79" s="81"/>
    </row>
    <row r="80" spans="1:28" x14ac:dyDescent="0.25">
      <c r="A80" t="str">
        <f>IF(EXACT('BOM A320 FFS'!B116,obsoleta!D80),"OK","ERROR")</f>
        <v>ERROR</v>
      </c>
      <c r="C80" s="73" t="s">
        <v>108</v>
      </c>
      <c r="D80" s="73" t="s">
        <v>110</v>
      </c>
      <c r="E80" s="73"/>
      <c r="F80" s="32" t="s">
        <v>110</v>
      </c>
      <c r="G80" s="32"/>
      <c r="H80" s="32" t="s">
        <v>112</v>
      </c>
      <c r="I80" s="32" t="s">
        <v>113</v>
      </c>
      <c r="J80" s="33">
        <v>1</v>
      </c>
      <c r="K80" s="34">
        <v>25000</v>
      </c>
      <c r="L80" s="35">
        <v>25000</v>
      </c>
      <c r="M80" s="36" t="s">
        <v>32</v>
      </c>
      <c r="N80" s="37">
        <v>1</v>
      </c>
      <c r="O80" s="35">
        <v>25000</v>
      </c>
      <c r="P80" s="35" t="s">
        <v>99</v>
      </c>
      <c r="Q80" s="97"/>
      <c r="R80" s="35" t="s">
        <v>62</v>
      </c>
      <c r="S80" s="38"/>
      <c r="T80" s="78">
        <v>2</v>
      </c>
      <c r="U80" s="78"/>
      <c r="V80" s="78"/>
      <c r="W80" s="78" t="s">
        <v>114</v>
      </c>
      <c r="X80" s="78"/>
      <c r="Y80" s="78"/>
      <c r="Z80" s="78"/>
      <c r="AA80" s="78" t="s">
        <v>225</v>
      </c>
      <c r="AB80" s="78"/>
    </row>
    <row r="81" spans="1:28" x14ac:dyDescent="0.25">
      <c r="A81" t="str">
        <f>IF(EXACT('BOM A320 FFS'!B117,obsoleta!D81),"OK","ERROR")</f>
        <v>ERROR</v>
      </c>
      <c r="C81" s="31" t="s">
        <v>108</v>
      </c>
      <c r="D81" s="71">
        <v>1264011783100</v>
      </c>
      <c r="E81" s="71"/>
      <c r="F81" s="32" t="s">
        <v>2498</v>
      </c>
      <c r="G81" s="32" t="s">
        <v>2499</v>
      </c>
      <c r="H81" s="32" t="s">
        <v>113</v>
      </c>
      <c r="I81" s="32"/>
      <c r="J81" s="33">
        <v>1</v>
      </c>
      <c r="K81" s="34"/>
      <c r="L81" s="35">
        <v>0</v>
      </c>
      <c r="M81" s="36" t="s">
        <v>32</v>
      </c>
      <c r="N81" s="37">
        <v>1</v>
      </c>
      <c r="O81" s="35">
        <v>0</v>
      </c>
      <c r="P81" s="35" t="s">
        <v>99</v>
      </c>
      <c r="Q81" s="97"/>
      <c r="R81" s="35" t="s">
        <v>62</v>
      </c>
      <c r="S81" s="38"/>
      <c r="T81" s="78">
        <v>2</v>
      </c>
      <c r="U81" s="78"/>
      <c r="V81" s="78"/>
      <c r="W81" s="78" t="s">
        <v>114</v>
      </c>
      <c r="X81" s="78"/>
      <c r="Y81" s="78"/>
      <c r="Z81" s="78"/>
      <c r="AA81" s="78" t="s">
        <v>225</v>
      </c>
      <c r="AB81" s="78"/>
    </row>
    <row r="82" spans="1:28" x14ac:dyDescent="0.25">
      <c r="A82" t="str">
        <f>IF(EXACT('BOM A320 FFS'!B118,obsoleta!D82),"OK","ERROR")</f>
        <v>ERROR</v>
      </c>
      <c r="C82" s="31" t="s">
        <v>108</v>
      </c>
      <c r="D82" s="71">
        <v>1351303410000</v>
      </c>
      <c r="E82" s="71"/>
      <c r="F82" s="32" t="s">
        <v>2478</v>
      </c>
      <c r="G82" s="32" t="s">
        <v>2479</v>
      </c>
      <c r="H82" s="32" t="s">
        <v>113</v>
      </c>
      <c r="I82" s="32"/>
      <c r="J82" s="33">
        <v>1</v>
      </c>
      <c r="K82" s="34"/>
      <c r="L82" s="35">
        <v>0</v>
      </c>
      <c r="M82" s="36" t="s">
        <v>32</v>
      </c>
      <c r="N82" s="37">
        <v>1</v>
      </c>
      <c r="O82" s="35">
        <v>0</v>
      </c>
      <c r="P82" s="35" t="s">
        <v>99</v>
      </c>
      <c r="Q82" s="97"/>
      <c r="R82" s="35" t="s">
        <v>62</v>
      </c>
      <c r="S82" s="38"/>
      <c r="T82" s="78">
        <v>2</v>
      </c>
      <c r="U82" s="78"/>
      <c r="V82" s="78"/>
      <c r="W82" s="78" t="s">
        <v>114</v>
      </c>
      <c r="X82" s="78"/>
      <c r="Y82" s="78"/>
      <c r="Z82" s="78"/>
      <c r="AA82" s="78" t="s">
        <v>225</v>
      </c>
      <c r="AB82" s="78"/>
    </row>
    <row r="83" spans="1:28" x14ac:dyDescent="0.25">
      <c r="A83" t="str">
        <f>IF(EXACT('BOM A320 FFS'!B119,obsoleta!D83),"OK","ERROR")</f>
        <v>ERROR</v>
      </c>
      <c r="C83" s="31" t="s">
        <v>108</v>
      </c>
      <c r="D83" s="71">
        <v>1700103180000</v>
      </c>
      <c r="E83" s="71"/>
      <c r="F83" s="32" t="s">
        <v>3114</v>
      </c>
      <c r="G83" s="32" t="s">
        <v>3115</v>
      </c>
      <c r="H83" s="32" t="s">
        <v>113</v>
      </c>
      <c r="I83" s="32"/>
      <c r="J83" s="33">
        <v>1</v>
      </c>
      <c r="K83" s="34"/>
      <c r="L83" s="35">
        <v>0</v>
      </c>
      <c r="M83" s="36" t="s">
        <v>32</v>
      </c>
      <c r="N83" s="37">
        <v>1</v>
      </c>
      <c r="O83" s="35">
        <v>0</v>
      </c>
      <c r="P83" s="35" t="s">
        <v>99</v>
      </c>
      <c r="Q83" s="97"/>
      <c r="R83" s="35" t="s">
        <v>62</v>
      </c>
      <c r="S83" s="38"/>
      <c r="T83" s="78">
        <v>2</v>
      </c>
      <c r="U83" s="78"/>
      <c r="V83" s="78"/>
      <c r="W83" s="78" t="s">
        <v>114</v>
      </c>
      <c r="X83" s="78"/>
      <c r="Y83" s="78"/>
      <c r="Z83" s="78"/>
      <c r="AA83" s="78" t="s">
        <v>225</v>
      </c>
      <c r="AB83" s="78"/>
    </row>
    <row r="84" spans="1:28" x14ac:dyDescent="0.25">
      <c r="A84" t="str">
        <f>IF(EXACT('BOM A320 FFS'!B120,obsoleta!D84),"OK","ERROR")</f>
        <v>ERROR</v>
      </c>
      <c r="C84" s="31" t="s">
        <v>108</v>
      </c>
      <c r="D84" s="71">
        <v>1135234080300</v>
      </c>
      <c r="E84" s="71"/>
      <c r="F84" s="32" t="s">
        <v>2718</v>
      </c>
      <c r="G84" s="32" t="s">
        <v>2719</v>
      </c>
      <c r="H84" s="32" t="s">
        <v>113</v>
      </c>
      <c r="I84" s="32"/>
      <c r="J84" s="33">
        <v>1</v>
      </c>
      <c r="K84" s="34"/>
      <c r="L84" s="35">
        <v>0</v>
      </c>
      <c r="M84" s="36" t="s">
        <v>32</v>
      </c>
      <c r="N84" s="37">
        <v>1</v>
      </c>
      <c r="O84" s="35">
        <v>0</v>
      </c>
      <c r="P84" s="35" t="s">
        <v>99</v>
      </c>
      <c r="Q84" s="97"/>
      <c r="R84" s="35" t="s">
        <v>62</v>
      </c>
      <c r="S84" s="38"/>
      <c r="T84" s="78">
        <v>2</v>
      </c>
      <c r="U84" s="78"/>
      <c r="V84" s="78"/>
      <c r="W84" s="78" t="s">
        <v>114</v>
      </c>
      <c r="X84" s="78"/>
      <c r="Y84" s="78"/>
      <c r="Z84" s="78"/>
      <c r="AA84" s="78" t="s">
        <v>225</v>
      </c>
      <c r="AB84" s="78"/>
    </row>
    <row r="85" spans="1:28" x14ac:dyDescent="0.25">
      <c r="A85" t="str">
        <f>IF(EXACT('BOM A320 FFS'!B123,obsoleta!D85),"OK","ERROR")</f>
        <v>ERROR</v>
      </c>
      <c r="C85" s="31" t="s">
        <v>108</v>
      </c>
      <c r="D85" s="71">
        <v>1261121200605</v>
      </c>
      <c r="E85" s="71"/>
      <c r="F85" s="32" t="s">
        <v>3073</v>
      </c>
      <c r="G85" s="32" t="s">
        <v>3074</v>
      </c>
      <c r="H85" s="32" t="s">
        <v>113</v>
      </c>
      <c r="I85" s="32"/>
      <c r="J85" s="33">
        <v>0</v>
      </c>
      <c r="K85" s="34"/>
      <c r="L85" s="35">
        <v>0</v>
      </c>
      <c r="M85" s="36" t="s">
        <v>32</v>
      </c>
      <c r="N85" s="37">
        <v>1</v>
      </c>
      <c r="O85" s="35">
        <v>0</v>
      </c>
      <c r="P85" s="35" t="s">
        <v>99</v>
      </c>
      <c r="Q85" s="97"/>
      <c r="R85" s="35" t="s">
        <v>62</v>
      </c>
      <c r="S85" s="38"/>
      <c r="T85" s="78">
        <v>2</v>
      </c>
      <c r="U85" s="78"/>
      <c r="V85" s="78"/>
      <c r="W85" s="78" t="s">
        <v>114</v>
      </c>
      <c r="X85" s="78"/>
      <c r="Y85" s="78"/>
      <c r="Z85" s="78"/>
      <c r="AA85" s="78" t="s">
        <v>225</v>
      </c>
      <c r="AB85" s="78"/>
    </row>
    <row r="86" spans="1:28" x14ac:dyDescent="0.25">
      <c r="A86" t="str">
        <f>IF(EXACT('BOM A320 FFS'!B124,obsoleta!D86),"OK","ERROR")</f>
        <v>ERROR</v>
      </c>
      <c r="C86" s="39"/>
      <c r="D86" s="39"/>
      <c r="E86" s="39"/>
      <c r="F86" s="28"/>
      <c r="G86" s="28"/>
      <c r="H86" s="28"/>
      <c r="I86" s="28"/>
      <c r="J86" s="40"/>
      <c r="K86" s="26"/>
      <c r="L86" s="30"/>
      <c r="M86" s="26"/>
      <c r="N86" s="26"/>
      <c r="O86" s="30"/>
      <c r="P86" s="30"/>
      <c r="Q86" s="96"/>
      <c r="R86" s="30"/>
      <c r="S86" s="30"/>
      <c r="T86" s="77"/>
      <c r="U86" s="77"/>
      <c r="V86" s="77"/>
      <c r="W86" s="77"/>
      <c r="X86" s="77"/>
      <c r="Y86" s="77"/>
      <c r="Z86" s="77"/>
      <c r="AA86" s="77" t="s">
        <v>225</v>
      </c>
      <c r="AB86" s="77"/>
    </row>
    <row r="87" spans="1:28" ht="18.75" x14ac:dyDescent="0.3">
      <c r="A87" t="str">
        <f>IF(EXACT('BOM A320 FFS'!B125,obsoleta!D87),"OK","ERROR")</f>
        <v>ERROR</v>
      </c>
      <c r="C87" s="19"/>
      <c r="D87" s="19" t="s">
        <v>3626</v>
      </c>
      <c r="E87" s="19"/>
      <c r="F87" s="20"/>
      <c r="G87" s="21"/>
      <c r="H87" s="21"/>
      <c r="I87" s="21"/>
      <c r="J87" s="22"/>
      <c r="K87" s="25"/>
      <c r="L87" s="25"/>
      <c r="M87" s="24"/>
      <c r="N87" s="24"/>
      <c r="O87" s="49"/>
      <c r="P87" s="49"/>
      <c r="Q87" s="100"/>
      <c r="R87" s="49"/>
      <c r="S87" s="25"/>
      <c r="T87" s="49"/>
      <c r="U87" s="49"/>
      <c r="V87" s="49"/>
      <c r="W87" s="49"/>
      <c r="X87" s="49"/>
      <c r="Y87" s="49"/>
      <c r="Z87" s="49"/>
      <c r="AA87" s="49" t="s">
        <v>225</v>
      </c>
      <c r="AB87" s="49"/>
    </row>
    <row r="88" spans="1:28" x14ac:dyDescent="0.25">
      <c r="A88" t="str">
        <f>IF(EXACT('BOM A320 FFS'!B126,obsoleta!D88),"OK","ERROR")</f>
        <v>ERROR</v>
      </c>
      <c r="C88" s="51" t="s">
        <v>227</v>
      </c>
      <c r="D88" s="51">
        <v>1000242711000</v>
      </c>
      <c r="E88" s="51"/>
      <c r="F88" s="52" t="s">
        <v>1785</v>
      </c>
      <c r="G88" s="52" t="s">
        <v>1786</v>
      </c>
      <c r="H88" s="52" t="s">
        <v>1787</v>
      </c>
      <c r="I88" s="52"/>
      <c r="J88" s="53">
        <v>10</v>
      </c>
      <c r="K88" s="38">
        <v>1</v>
      </c>
      <c r="L88" s="35">
        <v>10</v>
      </c>
      <c r="M88" s="54" t="s">
        <v>32</v>
      </c>
      <c r="N88" s="37">
        <v>1</v>
      </c>
      <c r="O88" s="35">
        <v>10</v>
      </c>
      <c r="P88" s="35" t="s">
        <v>33</v>
      </c>
      <c r="Q88" s="97">
        <v>45453</v>
      </c>
      <c r="R88" s="35" t="s">
        <v>62</v>
      </c>
      <c r="S88" s="38"/>
      <c r="T88" s="78">
        <v>2</v>
      </c>
      <c r="U88" s="78"/>
      <c r="V88" s="78"/>
      <c r="W88" s="78" t="s">
        <v>232</v>
      </c>
      <c r="X88" s="78"/>
      <c r="Y88" s="78"/>
      <c r="Z88" s="78" t="s">
        <v>233</v>
      </c>
      <c r="AA88" s="78" t="s">
        <v>225</v>
      </c>
      <c r="AB88" s="53">
        <v>10</v>
      </c>
    </row>
    <row r="89" spans="1:28" x14ac:dyDescent="0.25">
      <c r="A89" t="str">
        <f>IF(EXACT('BOM A320 FFS'!B127,obsoleta!D89),"OK","ERROR")</f>
        <v>ERROR</v>
      </c>
      <c r="C89" s="51" t="s">
        <v>227</v>
      </c>
      <c r="D89" s="51">
        <v>1229591920606</v>
      </c>
      <c r="E89" s="51"/>
      <c r="F89" s="52" t="s">
        <v>2948</v>
      </c>
      <c r="G89" s="52" t="s">
        <v>2949</v>
      </c>
      <c r="H89" s="52" t="s">
        <v>1122</v>
      </c>
      <c r="I89" s="52"/>
      <c r="J89" s="53">
        <v>1</v>
      </c>
      <c r="K89" s="38"/>
      <c r="L89" s="35">
        <v>0</v>
      </c>
      <c r="M89" s="54" t="s">
        <v>32</v>
      </c>
      <c r="N89" s="37">
        <v>1</v>
      </c>
      <c r="O89" s="35">
        <v>0</v>
      </c>
      <c r="P89" s="35" t="s">
        <v>33</v>
      </c>
      <c r="Q89" s="97">
        <v>45453</v>
      </c>
      <c r="R89" s="35" t="s">
        <v>62</v>
      </c>
      <c r="S89" s="38"/>
      <c r="T89" s="78">
        <v>2</v>
      </c>
      <c r="U89" s="78"/>
      <c r="V89" s="78"/>
      <c r="W89" s="78" t="s">
        <v>232</v>
      </c>
      <c r="X89" s="78"/>
      <c r="Y89" s="78"/>
      <c r="Z89" s="78" t="s">
        <v>233</v>
      </c>
      <c r="AA89" s="78" t="s">
        <v>225</v>
      </c>
      <c r="AB89" s="53">
        <v>1</v>
      </c>
    </row>
    <row r="90" spans="1:28" x14ac:dyDescent="0.25">
      <c r="A90" t="str">
        <f>IF(EXACT('BOM A320 FFS'!B128,obsoleta!D90),"OK","ERROR")</f>
        <v>ERROR</v>
      </c>
      <c r="C90" s="51" t="s">
        <v>227</v>
      </c>
      <c r="D90" s="51">
        <v>1206500320300</v>
      </c>
      <c r="E90" s="51"/>
      <c r="F90" s="52" t="s">
        <v>2887</v>
      </c>
      <c r="G90" s="52" t="s">
        <v>2888</v>
      </c>
      <c r="H90" s="52" t="s">
        <v>2869</v>
      </c>
      <c r="I90" s="52"/>
      <c r="J90" s="53">
        <v>25</v>
      </c>
      <c r="K90" s="38"/>
      <c r="L90" s="35">
        <v>0</v>
      </c>
      <c r="M90" s="54" t="s">
        <v>2889</v>
      </c>
      <c r="N90" s="37">
        <v>1.3740000000000001</v>
      </c>
      <c r="O90" s="35">
        <v>0</v>
      </c>
      <c r="P90" s="35" t="s">
        <v>33</v>
      </c>
      <c r="Q90" s="97">
        <v>45453</v>
      </c>
      <c r="R90" s="35" t="s">
        <v>62</v>
      </c>
      <c r="S90" s="38"/>
      <c r="T90" s="78">
        <v>2</v>
      </c>
      <c r="U90" s="78"/>
      <c r="V90" s="78"/>
      <c r="W90" s="78" t="s">
        <v>232</v>
      </c>
      <c r="X90" s="78"/>
      <c r="Y90" s="78"/>
      <c r="Z90" s="78" t="s">
        <v>233</v>
      </c>
      <c r="AA90" s="78" t="s">
        <v>225</v>
      </c>
      <c r="AB90" s="53">
        <v>25</v>
      </c>
    </row>
    <row r="91" spans="1:28" x14ac:dyDescent="0.25">
      <c r="A91" t="str">
        <f>IF(EXACT('BOM A320 FFS'!B131,obsoleta!D91),"OK","ERROR")</f>
        <v>ERROR</v>
      </c>
      <c r="C91" s="51" t="s">
        <v>227</v>
      </c>
      <c r="D91" s="51">
        <v>1206500321500</v>
      </c>
      <c r="E91" s="51"/>
      <c r="F91" s="52" t="s">
        <v>2884</v>
      </c>
      <c r="G91" s="52" t="s">
        <v>2885</v>
      </c>
      <c r="H91" s="52" t="s">
        <v>2869</v>
      </c>
      <c r="I91" s="52"/>
      <c r="J91" s="53">
        <v>20</v>
      </c>
      <c r="K91" s="38"/>
      <c r="L91" s="35">
        <v>0</v>
      </c>
      <c r="M91" s="54" t="s">
        <v>32</v>
      </c>
      <c r="N91" s="37">
        <v>1</v>
      </c>
      <c r="O91" s="35">
        <v>0</v>
      </c>
      <c r="P91" s="35" t="s">
        <v>33</v>
      </c>
      <c r="Q91" s="97">
        <v>45453</v>
      </c>
      <c r="R91" s="35" t="s">
        <v>62</v>
      </c>
      <c r="S91" s="38"/>
      <c r="T91" s="78">
        <v>2</v>
      </c>
      <c r="U91" s="78"/>
      <c r="V91" s="78"/>
      <c r="W91" s="78" t="s">
        <v>232</v>
      </c>
      <c r="X91" s="78"/>
      <c r="Y91" s="78"/>
      <c r="Z91" s="78" t="s">
        <v>233</v>
      </c>
      <c r="AA91" s="78" t="s">
        <v>225</v>
      </c>
      <c r="AB91" s="53">
        <v>20</v>
      </c>
    </row>
    <row r="92" spans="1:28" x14ac:dyDescent="0.25">
      <c r="A92" t="str">
        <f>IF(EXACT('BOM A320 FFS'!B132,obsoleta!D92),"OK","ERROR")</f>
        <v>ERROR</v>
      </c>
      <c r="C92" s="51" t="s">
        <v>227</v>
      </c>
      <c r="D92" s="51">
        <v>1587080101200</v>
      </c>
      <c r="E92" s="51"/>
      <c r="F92" s="52" t="s">
        <v>736</v>
      </c>
      <c r="G92" s="52" t="s">
        <v>737</v>
      </c>
      <c r="H92" s="52" t="s">
        <v>738</v>
      </c>
      <c r="I92" s="52"/>
      <c r="J92" s="53">
        <v>1</v>
      </c>
      <c r="K92" s="38">
        <v>55.04</v>
      </c>
      <c r="L92" s="35">
        <v>55.04</v>
      </c>
      <c r="M92" s="54" t="s">
        <v>32</v>
      </c>
      <c r="N92" s="37">
        <v>1</v>
      </c>
      <c r="O92" s="35">
        <v>55.04</v>
      </c>
      <c r="P92" s="35" t="s">
        <v>33</v>
      </c>
      <c r="Q92" s="97">
        <v>45453</v>
      </c>
      <c r="R92" s="35" t="s">
        <v>62</v>
      </c>
      <c r="S92" s="38"/>
      <c r="T92" s="78">
        <v>2</v>
      </c>
      <c r="U92" s="78"/>
      <c r="V92" s="78"/>
      <c r="W92" s="78" t="s">
        <v>232</v>
      </c>
      <c r="X92" s="78"/>
      <c r="Y92" s="78"/>
      <c r="Z92" s="78" t="s">
        <v>233</v>
      </c>
      <c r="AA92" s="78" t="s">
        <v>225</v>
      </c>
      <c r="AB92" s="53">
        <v>1</v>
      </c>
    </row>
    <row r="93" spans="1:28" x14ac:dyDescent="0.25">
      <c r="A93" t="str">
        <f>IF(EXACT('BOM A320 FFS'!B133,obsoleta!D93),"OK","ERROR")</f>
        <v>ERROR</v>
      </c>
      <c r="C93" s="51" t="s">
        <v>227</v>
      </c>
      <c r="D93" s="51">
        <v>1216500320300</v>
      </c>
      <c r="E93" s="51"/>
      <c r="F93" s="52" t="s">
        <v>2891</v>
      </c>
      <c r="G93" s="52" t="s">
        <v>2892</v>
      </c>
      <c r="H93" s="52" t="s">
        <v>2869</v>
      </c>
      <c r="I93" s="52"/>
      <c r="J93" s="53">
        <v>10</v>
      </c>
      <c r="K93" s="38"/>
      <c r="L93" s="35">
        <v>0</v>
      </c>
      <c r="M93" s="54" t="s">
        <v>32</v>
      </c>
      <c r="N93" s="37">
        <v>1</v>
      </c>
      <c r="O93" s="35">
        <v>0</v>
      </c>
      <c r="P93" s="35" t="s">
        <v>33</v>
      </c>
      <c r="Q93" s="97">
        <v>45453</v>
      </c>
      <c r="R93" s="35" t="s">
        <v>62</v>
      </c>
      <c r="S93" s="38"/>
      <c r="T93" s="78">
        <v>2</v>
      </c>
      <c r="U93" s="78"/>
      <c r="V93" s="78"/>
      <c r="W93" s="78" t="s">
        <v>232</v>
      </c>
      <c r="X93" s="78"/>
      <c r="Y93" s="78"/>
      <c r="Z93" s="78" t="s">
        <v>233</v>
      </c>
      <c r="AA93" s="78" t="s">
        <v>225</v>
      </c>
      <c r="AB93" s="53">
        <v>10</v>
      </c>
    </row>
    <row r="94" spans="1:28" x14ac:dyDescent="0.25">
      <c r="A94" t="str">
        <f>IF(EXACT('BOM A320 FFS'!B134,obsoleta!D94),"OK","ERROR")</f>
        <v>ERROR</v>
      </c>
      <c r="C94" s="51" t="s">
        <v>227</v>
      </c>
      <c r="D94" s="51">
        <v>1239024369000</v>
      </c>
      <c r="E94" s="51"/>
      <c r="F94" s="52" t="s">
        <v>1589</v>
      </c>
      <c r="G94" s="52" t="s">
        <v>1590</v>
      </c>
      <c r="H94" s="52" t="s">
        <v>1540</v>
      </c>
      <c r="I94" s="52"/>
      <c r="J94" s="53">
        <v>300</v>
      </c>
      <c r="K94" s="38">
        <v>2.4</v>
      </c>
      <c r="L94" s="35">
        <v>720</v>
      </c>
      <c r="M94" s="54" t="s">
        <v>32</v>
      </c>
      <c r="N94" s="37">
        <v>1</v>
      </c>
      <c r="O94" s="35">
        <v>720</v>
      </c>
      <c r="P94" s="35" t="s">
        <v>33</v>
      </c>
      <c r="Q94" s="97">
        <v>45453</v>
      </c>
      <c r="R94" s="35" t="s">
        <v>62</v>
      </c>
      <c r="S94" s="38"/>
      <c r="T94" s="78">
        <v>2</v>
      </c>
      <c r="U94" s="78"/>
      <c r="V94" s="78"/>
      <c r="W94" s="78" t="s">
        <v>232</v>
      </c>
      <c r="X94" s="78"/>
      <c r="Y94" s="78"/>
      <c r="Z94" s="78" t="s">
        <v>233</v>
      </c>
      <c r="AA94" s="78" t="s">
        <v>225</v>
      </c>
      <c r="AB94" s="53">
        <v>300</v>
      </c>
    </row>
    <row r="95" spans="1:28" x14ac:dyDescent="0.25">
      <c r="A95" t="str">
        <f>IF(EXACT('BOM A320 FFS'!B135,obsoleta!D95),"OK","ERROR")</f>
        <v>ERROR</v>
      </c>
      <c r="C95" s="51" t="s">
        <v>227</v>
      </c>
      <c r="D95" s="51">
        <v>1206500321400</v>
      </c>
      <c r="E95" s="51"/>
      <c r="F95" s="52" t="s">
        <v>2894</v>
      </c>
      <c r="G95" s="52" t="s">
        <v>2895</v>
      </c>
      <c r="H95" s="52" t="s">
        <v>2869</v>
      </c>
      <c r="I95" s="52"/>
      <c r="J95" s="53">
        <v>35</v>
      </c>
      <c r="K95" s="38"/>
      <c r="L95" s="35">
        <v>0</v>
      </c>
      <c r="M95" s="54" t="s">
        <v>32</v>
      </c>
      <c r="N95" s="37">
        <v>1</v>
      </c>
      <c r="O95" s="35">
        <v>0</v>
      </c>
      <c r="P95" s="35" t="s">
        <v>33</v>
      </c>
      <c r="Q95" s="97">
        <v>45453</v>
      </c>
      <c r="R95" s="35" t="s">
        <v>62</v>
      </c>
      <c r="S95" s="38"/>
      <c r="T95" s="78">
        <v>2</v>
      </c>
      <c r="U95" s="78"/>
      <c r="V95" s="78"/>
      <c r="W95" s="78" t="s">
        <v>232</v>
      </c>
      <c r="X95" s="78"/>
      <c r="Y95" s="78"/>
      <c r="Z95" s="78" t="s">
        <v>233</v>
      </c>
      <c r="AA95" s="78" t="s">
        <v>225</v>
      </c>
      <c r="AB95" s="53">
        <v>35</v>
      </c>
    </row>
    <row r="96" spans="1:28" x14ac:dyDescent="0.25">
      <c r="A96" t="str">
        <f>IF(EXACT('BOM A320 FFS'!B136,obsoleta!D96),"OK","ERROR")</f>
        <v>ERROR</v>
      </c>
      <c r="C96" s="51" t="s">
        <v>227</v>
      </c>
      <c r="D96" s="51">
        <v>1580160080000</v>
      </c>
      <c r="E96" s="51"/>
      <c r="F96" s="52" t="s">
        <v>1990</v>
      </c>
      <c r="G96" s="52" t="s">
        <v>1991</v>
      </c>
      <c r="H96" s="52" t="s">
        <v>1040</v>
      </c>
      <c r="I96" s="52"/>
      <c r="J96" s="53">
        <v>50</v>
      </c>
      <c r="K96" s="38">
        <v>0.43</v>
      </c>
      <c r="L96" s="35">
        <v>21.55</v>
      </c>
      <c r="M96" s="54" t="s">
        <v>32</v>
      </c>
      <c r="N96" s="37">
        <v>1</v>
      </c>
      <c r="O96" s="35">
        <v>21.55</v>
      </c>
      <c r="P96" s="35" t="s">
        <v>33</v>
      </c>
      <c r="Q96" s="97">
        <v>45453</v>
      </c>
      <c r="R96" s="35" t="s">
        <v>62</v>
      </c>
      <c r="S96" s="38"/>
      <c r="T96" s="78">
        <v>2</v>
      </c>
      <c r="U96" s="78"/>
      <c r="V96" s="78"/>
      <c r="W96" s="78" t="s">
        <v>232</v>
      </c>
      <c r="X96" s="78"/>
      <c r="Y96" s="78"/>
      <c r="Z96" s="78" t="s">
        <v>233</v>
      </c>
      <c r="AA96" s="78" t="s">
        <v>225</v>
      </c>
      <c r="AB96" s="53">
        <v>50</v>
      </c>
    </row>
    <row r="97" spans="1:28" x14ac:dyDescent="0.25">
      <c r="A97" t="str">
        <f>IF(EXACT('BOM A320 FFS'!B137,obsoleta!D97),"OK","ERROR")</f>
        <v>ERROR</v>
      </c>
      <c r="C97" s="31" t="s">
        <v>227</v>
      </c>
      <c r="D97" s="71">
        <v>1580160050100</v>
      </c>
      <c r="E97" s="71"/>
      <c r="F97" s="52" t="s">
        <v>1885</v>
      </c>
      <c r="G97" s="52" t="s">
        <v>1886</v>
      </c>
      <c r="H97" s="52" t="s">
        <v>1040</v>
      </c>
      <c r="I97" s="32"/>
      <c r="J97" s="53">
        <v>50</v>
      </c>
      <c r="K97" s="34">
        <v>0.6</v>
      </c>
      <c r="L97" s="35">
        <v>30.16</v>
      </c>
      <c r="M97" s="36" t="s">
        <v>32</v>
      </c>
      <c r="N97" s="37">
        <v>1</v>
      </c>
      <c r="O97" s="35">
        <v>30.16</v>
      </c>
      <c r="P97" s="35" t="s">
        <v>33</v>
      </c>
      <c r="Q97" s="97">
        <v>45453</v>
      </c>
      <c r="R97" s="35" t="s">
        <v>62</v>
      </c>
      <c r="S97" s="38"/>
      <c r="T97" s="78">
        <v>2</v>
      </c>
      <c r="U97" s="78"/>
      <c r="V97" s="78"/>
      <c r="W97" s="78" t="s">
        <v>232</v>
      </c>
      <c r="X97" s="78"/>
      <c r="Y97" s="78"/>
      <c r="Z97" s="78" t="s">
        <v>233</v>
      </c>
      <c r="AA97" s="78" t="s">
        <v>1670</v>
      </c>
      <c r="AB97" s="53">
        <v>50</v>
      </c>
    </row>
    <row r="98" spans="1:28" x14ac:dyDescent="0.25">
      <c r="A98" t="str">
        <f>IF(EXACT('BOM A320 FFS'!B138,obsoleta!D98),"OK","ERROR")</f>
        <v>ERROR</v>
      </c>
      <c r="C98" s="51" t="s">
        <v>227</v>
      </c>
      <c r="D98" s="51">
        <v>1206500320701</v>
      </c>
      <c r="E98" s="51"/>
      <c r="F98" s="52" t="s">
        <v>2867</v>
      </c>
      <c r="G98" s="52" t="s">
        <v>2868</v>
      </c>
      <c r="H98" s="52" t="s">
        <v>2869</v>
      </c>
      <c r="I98" s="52"/>
      <c r="J98" s="53">
        <v>5</v>
      </c>
      <c r="K98" s="38"/>
      <c r="L98" s="35">
        <v>0</v>
      </c>
      <c r="M98" s="54" t="s">
        <v>32</v>
      </c>
      <c r="N98" s="37">
        <v>1</v>
      </c>
      <c r="O98" s="35">
        <v>0</v>
      </c>
      <c r="P98" s="35" t="s">
        <v>33</v>
      </c>
      <c r="Q98" s="97">
        <v>45453</v>
      </c>
      <c r="R98" s="35" t="s">
        <v>62</v>
      </c>
      <c r="S98" s="38"/>
      <c r="T98" s="78">
        <v>2</v>
      </c>
      <c r="U98" s="78"/>
      <c r="V98" s="78"/>
      <c r="W98" s="78" t="s">
        <v>232</v>
      </c>
      <c r="X98" s="78"/>
      <c r="Y98" s="78"/>
      <c r="Z98" s="78" t="s">
        <v>233</v>
      </c>
      <c r="AA98" s="78" t="s">
        <v>225</v>
      </c>
      <c r="AB98" s="53">
        <v>5</v>
      </c>
    </row>
    <row r="99" spans="1:28" x14ac:dyDescent="0.25">
      <c r="A99" t="str">
        <f>IF(EXACT('BOM A320 FFS'!B139,obsoleta!D99),"OK","ERROR")</f>
        <v>ERROR</v>
      </c>
      <c r="C99" s="51" t="s">
        <v>227</v>
      </c>
      <c r="D99" s="51">
        <v>1232025195900</v>
      </c>
      <c r="E99" s="51"/>
      <c r="F99" s="52" t="s">
        <v>1866</v>
      </c>
      <c r="G99" s="52" t="s">
        <v>1867</v>
      </c>
      <c r="H99" s="52" t="s">
        <v>1540</v>
      </c>
      <c r="I99" s="52"/>
      <c r="J99" s="53">
        <v>100</v>
      </c>
      <c r="K99" s="38">
        <v>0.68</v>
      </c>
      <c r="L99" s="35">
        <v>68</v>
      </c>
      <c r="M99" s="54" t="s">
        <v>32</v>
      </c>
      <c r="N99" s="37">
        <v>1</v>
      </c>
      <c r="O99" s="35">
        <v>68</v>
      </c>
      <c r="P99" s="35" t="s">
        <v>33</v>
      </c>
      <c r="Q99" s="97">
        <v>45453</v>
      </c>
      <c r="R99" s="35" t="s">
        <v>62</v>
      </c>
      <c r="S99" s="38"/>
      <c r="T99" s="78">
        <v>2</v>
      </c>
      <c r="U99" s="78"/>
      <c r="V99" s="78"/>
      <c r="W99" s="78" t="s">
        <v>232</v>
      </c>
      <c r="X99" s="78"/>
      <c r="Y99" s="78"/>
      <c r="Z99" s="78" t="s">
        <v>233</v>
      </c>
      <c r="AA99" s="78" t="s">
        <v>225</v>
      </c>
      <c r="AB99" s="53">
        <v>100</v>
      </c>
    </row>
    <row r="100" spans="1:28" x14ac:dyDescent="0.25">
      <c r="A100" t="str">
        <f>IF(EXACT('BOM A320 FFS'!B141,obsoleta!D100),"OK","ERROR")</f>
        <v>ERROR</v>
      </c>
      <c r="C100" s="51" t="s">
        <v>227</v>
      </c>
      <c r="D100" s="51">
        <v>1232024645900</v>
      </c>
      <c r="E100" s="51"/>
      <c r="F100" s="52" t="s">
        <v>1914</v>
      </c>
      <c r="G100" s="52" t="s">
        <v>1915</v>
      </c>
      <c r="H100" s="52" t="s">
        <v>1540</v>
      </c>
      <c r="I100" s="52"/>
      <c r="J100" s="53">
        <v>100</v>
      </c>
      <c r="K100" s="38">
        <v>0.53</v>
      </c>
      <c r="L100" s="35">
        <v>53</v>
      </c>
      <c r="M100" s="54" t="s">
        <v>32</v>
      </c>
      <c r="N100" s="37">
        <v>1</v>
      </c>
      <c r="O100" s="35">
        <v>53</v>
      </c>
      <c r="P100" s="35" t="s">
        <v>33</v>
      </c>
      <c r="Q100" s="97">
        <v>45453</v>
      </c>
      <c r="R100" s="35" t="s">
        <v>62</v>
      </c>
      <c r="S100" s="38"/>
      <c r="T100" s="78">
        <v>2</v>
      </c>
      <c r="U100" s="78"/>
      <c r="V100" s="78"/>
      <c r="W100" s="78" t="s">
        <v>232</v>
      </c>
      <c r="X100" s="78"/>
      <c r="Y100" s="78"/>
      <c r="Z100" s="78" t="s">
        <v>233</v>
      </c>
      <c r="AA100" s="78" t="s">
        <v>225</v>
      </c>
      <c r="AB100" s="53">
        <v>100</v>
      </c>
    </row>
    <row r="101" spans="1:28" x14ac:dyDescent="0.25">
      <c r="A101" t="str">
        <f>IF(EXACT('BOM A320 FFS'!B142,obsoleta!D101),"OK","ERROR")</f>
        <v>ERROR</v>
      </c>
      <c r="C101" s="51" t="s">
        <v>227</v>
      </c>
      <c r="D101" s="51">
        <v>1232024245400</v>
      </c>
      <c r="E101" s="51"/>
      <c r="F101" s="52" t="s">
        <v>1901</v>
      </c>
      <c r="G101" s="52" t="s">
        <v>2049</v>
      </c>
      <c r="H101" s="52" t="s">
        <v>1540</v>
      </c>
      <c r="I101" s="52"/>
      <c r="J101" s="53">
        <v>100</v>
      </c>
      <c r="K101" s="38">
        <v>0.34</v>
      </c>
      <c r="L101" s="35">
        <v>34</v>
      </c>
      <c r="M101" s="54" t="s">
        <v>32</v>
      </c>
      <c r="N101" s="37">
        <v>1</v>
      </c>
      <c r="O101" s="35">
        <v>34</v>
      </c>
      <c r="P101" s="35" t="s">
        <v>33</v>
      </c>
      <c r="Q101" s="97">
        <v>45453</v>
      </c>
      <c r="R101" s="35" t="s">
        <v>62</v>
      </c>
      <c r="S101" s="38"/>
      <c r="T101" s="78">
        <v>2</v>
      </c>
      <c r="U101" s="78"/>
      <c r="V101" s="78"/>
      <c r="W101" s="78" t="s">
        <v>232</v>
      </c>
      <c r="X101" s="78"/>
      <c r="Y101" s="78"/>
      <c r="Z101" s="78" t="s">
        <v>233</v>
      </c>
      <c r="AA101" s="78" t="s">
        <v>225</v>
      </c>
      <c r="AB101" s="53">
        <v>100</v>
      </c>
    </row>
    <row r="102" spans="1:28" x14ac:dyDescent="0.25">
      <c r="A102" t="str">
        <f>IF(EXACT('BOM A320 FFS'!B143,obsoleta!D102),"OK","ERROR")</f>
        <v>ERROR</v>
      </c>
      <c r="C102" s="51" t="s">
        <v>227</v>
      </c>
      <c r="D102" s="51">
        <v>1230524620000</v>
      </c>
      <c r="E102" s="51"/>
      <c r="F102" s="52" t="s">
        <v>1910</v>
      </c>
      <c r="G102" s="52" t="s">
        <v>1911</v>
      </c>
      <c r="H102" s="52" t="s">
        <v>1912</v>
      </c>
      <c r="I102" s="52"/>
      <c r="J102" s="53">
        <v>300</v>
      </c>
      <c r="K102" s="38">
        <v>0.53</v>
      </c>
      <c r="L102" s="35">
        <v>159</v>
      </c>
      <c r="M102" s="54" t="s">
        <v>32</v>
      </c>
      <c r="N102" s="37">
        <v>1</v>
      </c>
      <c r="O102" s="35">
        <v>159</v>
      </c>
      <c r="P102" s="35" t="s">
        <v>33</v>
      </c>
      <c r="Q102" s="97">
        <v>45453</v>
      </c>
      <c r="R102" s="35" t="s">
        <v>62</v>
      </c>
      <c r="S102" s="38"/>
      <c r="T102" s="78">
        <v>2</v>
      </c>
      <c r="U102" s="78"/>
      <c r="V102" s="78"/>
      <c r="W102" s="78" t="s">
        <v>232</v>
      </c>
      <c r="X102" s="78"/>
      <c r="Y102" s="78"/>
      <c r="Z102" s="78" t="s">
        <v>233</v>
      </c>
      <c r="AA102" s="78" t="s">
        <v>225</v>
      </c>
      <c r="AB102" s="53">
        <v>300</v>
      </c>
    </row>
    <row r="103" spans="1:28" x14ac:dyDescent="0.25">
      <c r="A103" t="str">
        <f>IF(EXACT('BOM A320 FFS'!B145,obsoleta!D103),"OK","ERROR")</f>
        <v>ERROR</v>
      </c>
      <c r="C103" s="51" t="s">
        <v>227</v>
      </c>
      <c r="D103" s="51" t="s">
        <v>1916</v>
      </c>
      <c r="E103" s="51"/>
      <c r="F103" s="52" t="s">
        <v>1917</v>
      </c>
      <c r="G103" s="52" t="s">
        <v>1918</v>
      </c>
      <c r="H103" s="52" t="s">
        <v>1912</v>
      </c>
      <c r="I103" s="52"/>
      <c r="J103" s="53">
        <v>100</v>
      </c>
      <c r="K103" s="38">
        <v>0.53</v>
      </c>
      <c r="L103" s="35">
        <v>53</v>
      </c>
      <c r="M103" s="54" t="s">
        <v>32</v>
      </c>
      <c r="N103" s="37">
        <v>1</v>
      </c>
      <c r="O103" s="35">
        <v>53</v>
      </c>
      <c r="P103" s="35" t="s">
        <v>33</v>
      </c>
      <c r="Q103" s="97">
        <v>45453</v>
      </c>
      <c r="R103" s="35" t="s">
        <v>62</v>
      </c>
      <c r="S103" s="38"/>
      <c r="T103" s="78">
        <v>2</v>
      </c>
      <c r="U103" s="78"/>
      <c r="V103" s="78"/>
      <c r="W103" s="78" t="s">
        <v>232</v>
      </c>
      <c r="X103" s="78"/>
      <c r="Y103" s="78"/>
      <c r="Z103" s="78" t="s">
        <v>233</v>
      </c>
      <c r="AA103" s="78" t="s">
        <v>225</v>
      </c>
      <c r="AB103" s="53">
        <v>100</v>
      </c>
    </row>
    <row r="104" spans="1:28" x14ac:dyDescent="0.25">
      <c r="A104" t="str">
        <f>IF(EXACT('BOM A320 FFS'!B146,obsoleta!D104),"OK","ERROR")</f>
        <v>ERROR</v>
      </c>
      <c r="C104" s="51" t="s">
        <v>227</v>
      </c>
      <c r="D104" s="51">
        <v>1218000221500</v>
      </c>
      <c r="E104" s="51"/>
      <c r="F104" s="52" t="s">
        <v>2860</v>
      </c>
      <c r="G104" s="52">
        <v>1678000</v>
      </c>
      <c r="H104" s="52" t="s">
        <v>1568</v>
      </c>
      <c r="I104" s="52"/>
      <c r="J104" s="53">
        <v>2</v>
      </c>
      <c r="K104" s="38"/>
      <c r="L104" s="35">
        <v>0</v>
      </c>
      <c r="M104" s="54" t="s">
        <v>32</v>
      </c>
      <c r="N104" s="37">
        <v>1</v>
      </c>
      <c r="O104" s="35">
        <v>0</v>
      </c>
      <c r="P104" s="35" t="s">
        <v>33</v>
      </c>
      <c r="Q104" s="97">
        <v>45453</v>
      </c>
      <c r="R104" s="35" t="s">
        <v>62</v>
      </c>
      <c r="S104" s="38"/>
      <c r="T104" s="78">
        <v>2</v>
      </c>
      <c r="U104" s="78"/>
      <c r="V104" s="78"/>
      <c r="W104" s="78" t="s">
        <v>232</v>
      </c>
      <c r="X104" s="78"/>
      <c r="Y104" s="78"/>
      <c r="Z104" s="78" t="s">
        <v>233</v>
      </c>
      <c r="AA104" s="78" t="s">
        <v>225</v>
      </c>
      <c r="AB104" s="53">
        <v>2</v>
      </c>
    </row>
    <row r="105" spans="1:28" x14ac:dyDescent="0.25">
      <c r="A105" t="str">
        <f>IF(EXACT('BOM A320 FFS'!B147,obsoleta!D105),"OK","ERROR")</f>
        <v>ERROR</v>
      </c>
      <c r="C105" s="51" t="s">
        <v>227</v>
      </c>
      <c r="D105" s="51">
        <v>1209001020000</v>
      </c>
      <c r="E105" s="51"/>
      <c r="F105" s="52" t="s">
        <v>2001</v>
      </c>
      <c r="G105" s="52" t="s">
        <v>2002</v>
      </c>
      <c r="H105" s="52" t="s">
        <v>622</v>
      </c>
      <c r="I105" s="52"/>
      <c r="J105" s="53">
        <v>10</v>
      </c>
      <c r="K105" s="38">
        <v>0.41</v>
      </c>
      <c r="L105" s="35">
        <v>4.0999999999999996</v>
      </c>
      <c r="M105" s="54" t="s">
        <v>32</v>
      </c>
      <c r="N105" s="37">
        <v>1</v>
      </c>
      <c r="O105" s="35">
        <v>4.0999999999999996</v>
      </c>
      <c r="P105" s="35" t="s">
        <v>33</v>
      </c>
      <c r="Q105" s="97">
        <v>45453</v>
      </c>
      <c r="R105" s="35" t="s">
        <v>62</v>
      </c>
      <c r="S105" s="38"/>
      <c r="T105" s="78">
        <v>2</v>
      </c>
      <c r="U105" s="78"/>
      <c r="V105" s="78"/>
      <c r="W105" s="78" t="s">
        <v>232</v>
      </c>
      <c r="X105" s="78"/>
      <c r="Y105" s="78"/>
      <c r="Z105" s="78" t="s">
        <v>233</v>
      </c>
      <c r="AA105" s="78" t="s">
        <v>225</v>
      </c>
      <c r="AB105" s="53">
        <v>10</v>
      </c>
    </row>
    <row r="106" spans="1:28" x14ac:dyDescent="0.25">
      <c r="A106" t="str">
        <f>IF(EXACT('BOM A320 FFS'!B148,obsoleta!D106),"OK","ERROR")</f>
        <v>ERROR</v>
      </c>
      <c r="C106" s="51" t="s">
        <v>227</v>
      </c>
      <c r="D106" s="51">
        <v>1219000292300</v>
      </c>
      <c r="E106" s="51"/>
      <c r="F106" s="52" t="s">
        <v>1515</v>
      </c>
      <c r="G106" s="52" t="s">
        <v>2127</v>
      </c>
      <c r="H106" s="52" t="s">
        <v>622</v>
      </c>
      <c r="I106" s="52"/>
      <c r="J106" s="53">
        <v>10</v>
      </c>
      <c r="K106" s="38">
        <v>0.19</v>
      </c>
      <c r="L106" s="35">
        <v>1.9</v>
      </c>
      <c r="M106" s="54" t="s">
        <v>32</v>
      </c>
      <c r="N106" s="37">
        <v>1</v>
      </c>
      <c r="O106" s="35">
        <v>1.9</v>
      </c>
      <c r="P106" s="35" t="s">
        <v>33</v>
      </c>
      <c r="Q106" s="97">
        <v>45453</v>
      </c>
      <c r="R106" s="35" t="s">
        <v>62</v>
      </c>
      <c r="S106" s="38"/>
      <c r="T106" s="78">
        <v>2</v>
      </c>
      <c r="U106" s="78"/>
      <c r="V106" s="78"/>
      <c r="W106" s="78" t="s">
        <v>232</v>
      </c>
      <c r="X106" s="78"/>
      <c r="Y106" s="78"/>
      <c r="Z106" s="78" t="s">
        <v>233</v>
      </c>
      <c r="AA106" s="78" t="s">
        <v>225</v>
      </c>
      <c r="AB106" s="53">
        <v>10</v>
      </c>
    </row>
    <row r="107" spans="1:28" x14ac:dyDescent="0.25">
      <c r="A107" t="str">
        <f>IF(EXACT('BOM A320 FFS'!B150,obsoleta!D107),"OK","ERROR")</f>
        <v>ERROR</v>
      </c>
      <c r="C107" s="51" t="s">
        <v>227</v>
      </c>
      <c r="D107" s="51">
        <v>1206500328000</v>
      </c>
      <c r="E107" s="51"/>
      <c r="F107" s="52" t="s">
        <v>2871</v>
      </c>
      <c r="G107" s="52" t="s">
        <v>2872</v>
      </c>
      <c r="H107" s="52" t="s">
        <v>2869</v>
      </c>
      <c r="I107" s="52"/>
      <c r="J107" s="53">
        <v>5</v>
      </c>
      <c r="K107" s="38"/>
      <c r="L107" s="35">
        <v>0</v>
      </c>
      <c r="M107" s="54" t="s">
        <v>32</v>
      </c>
      <c r="N107" s="37">
        <v>1</v>
      </c>
      <c r="O107" s="35">
        <v>0</v>
      </c>
      <c r="P107" s="35" t="s">
        <v>33</v>
      </c>
      <c r="Q107" s="97">
        <v>45453</v>
      </c>
      <c r="R107" s="35" t="s">
        <v>62</v>
      </c>
      <c r="S107" s="38"/>
      <c r="T107" s="78">
        <v>2</v>
      </c>
      <c r="U107" s="78"/>
      <c r="V107" s="78"/>
      <c r="W107" s="78" t="s">
        <v>232</v>
      </c>
      <c r="X107" s="78"/>
      <c r="Y107" s="78"/>
      <c r="Z107" s="78" t="s">
        <v>233</v>
      </c>
      <c r="AA107" s="78" t="s">
        <v>225</v>
      </c>
      <c r="AB107" s="53">
        <v>5</v>
      </c>
    </row>
    <row r="108" spans="1:28" x14ac:dyDescent="0.25">
      <c r="A108" t="str">
        <f>IF(EXACT('BOM A320 FFS'!B151,obsoleta!D108),"OK","ERROR")</f>
        <v>ERROR</v>
      </c>
      <c r="C108" s="51" t="s">
        <v>227</v>
      </c>
      <c r="D108" s="51">
        <v>1216500322200</v>
      </c>
      <c r="E108" s="51"/>
      <c r="F108" s="52" t="s">
        <v>2878</v>
      </c>
      <c r="G108" s="52" t="s">
        <v>2879</v>
      </c>
      <c r="H108" s="52" t="s">
        <v>2869</v>
      </c>
      <c r="I108" s="52"/>
      <c r="J108" s="53">
        <v>1</v>
      </c>
      <c r="K108" s="38"/>
      <c r="L108" s="35">
        <v>0</v>
      </c>
      <c r="M108" s="54" t="s">
        <v>32</v>
      </c>
      <c r="N108" s="37">
        <v>1</v>
      </c>
      <c r="O108" s="35">
        <v>0</v>
      </c>
      <c r="P108" s="35" t="s">
        <v>33</v>
      </c>
      <c r="Q108" s="97">
        <v>45453</v>
      </c>
      <c r="R108" s="35" t="s">
        <v>62</v>
      </c>
      <c r="S108" s="38"/>
      <c r="T108" s="78">
        <v>2</v>
      </c>
      <c r="U108" s="78"/>
      <c r="V108" s="78"/>
      <c r="W108" s="78" t="s">
        <v>232</v>
      </c>
      <c r="X108" s="78"/>
      <c r="Y108" s="78"/>
      <c r="Z108" s="78" t="s">
        <v>233</v>
      </c>
      <c r="AA108" s="78" t="s">
        <v>225</v>
      </c>
      <c r="AB108" s="53">
        <v>1</v>
      </c>
    </row>
    <row r="109" spans="1:28" x14ac:dyDescent="0.25">
      <c r="A109" t="str">
        <f>IF(EXACT('BOM A320 FFS'!B153,obsoleta!D109),"OK","ERROR")</f>
        <v>ERROR</v>
      </c>
      <c r="C109" s="51" t="s">
        <v>227</v>
      </c>
      <c r="D109" s="51">
        <v>1206500221000</v>
      </c>
      <c r="E109" s="51"/>
      <c r="F109" s="52" t="s">
        <v>2874</v>
      </c>
      <c r="G109" s="52" t="s">
        <v>2875</v>
      </c>
      <c r="H109" s="52" t="s">
        <v>2876</v>
      </c>
      <c r="I109" s="52"/>
      <c r="J109" s="53">
        <v>5</v>
      </c>
      <c r="K109" s="38"/>
      <c r="L109" s="35">
        <v>0</v>
      </c>
      <c r="M109" s="54" t="s">
        <v>32</v>
      </c>
      <c r="N109" s="37">
        <v>1</v>
      </c>
      <c r="O109" s="35">
        <v>0</v>
      </c>
      <c r="P109" s="35" t="s">
        <v>33</v>
      </c>
      <c r="Q109" s="97">
        <v>45453</v>
      </c>
      <c r="R109" s="35" t="s">
        <v>62</v>
      </c>
      <c r="S109" s="38"/>
      <c r="T109" s="78">
        <v>2</v>
      </c>
      <c r="U109" s="78"/>
      <c r="V109" s="78"/>
      <c r="W109" s="78" t="s">
        <v>232</v>
      </c>
      <c r="X109" s="78"/>
      <c r="Y109" s="78"/>
      <c r="Z109" s="78" t="s">
        <v>233</v>
      </c>
      <c r="AA109" s="78" t="s">
        <v>225</v>
      </c>
      <c r="AB109" s="53">
        <v>5</v>
      </c>
    </row>
    <row r="110" spans="1:28" x14ac:dyDescent="0.25">
      <c r="A110" t="str">
        <f>IF(EXACT('BOM A320 FFS'!B154,obsoleta!D110),"OK","ERROR")</f>
        <v>ERROR</v>
      </c>
      <c r="C110" s="51" t="s">
        <v>227</v>
      </c>
      <c r="D110" s="51">
        <v>1208000220002</v>
      </c>
      <c r="E110" s="51"/>
      <c r="F110" s="52" t="s">
        <v>2881</v>
      </c>
      <c r="G110" s="52" t="s">
        <v>2882</v>
      </c>
      <c r="H110" s="52" t="s">
        <v>1122</v>
      </c>
      <c r="I110" s="52"/>
      <c r="J110" s="53">
        <v>20</v>
      </c>
      <c r="K110" s="38"/>
      <c r="L110" s="35">
        <v>0</v>
      </c>
      <c r="M110" s="54" t="s">
        <v>39</v>
      </c>
      <c r="N110" s="37">
        <v>0.85</v>
      </c>
      <c r="O110" s="35">
        <v>0</v>
      </c>
      <c r="P110" s="35" t="s">
        <v>33</v>
      </c>
      <c r="Q110" s="97">
        <v>45453</v>
      </c>
      <c r="R110" s="35" t="s">
        <v>62</v>
      </c>
      <c r="S110" s="38"/>
      <c r="T110" s="78">
        <v>2</v>
      </c>
      <c r="U110" s="78"/>
      <c r="V110" s="78"/>
      <c r="W110" s="78" t="s">
        <v>232</v>
      </c>
      <c r="X110" s="78"/>
      <c r="Y110" s="78"/>
      <c r="Z110" s="78" t="s">
        <v>233</v>
      </c>
      <c r="AA110" s="78" t="s">
        <v>225</v>
      </c>
      <c r="AB110" s="53">
        <v>20</v>
      </c>
    </row>
    <row r="111" spans="1:28" x14ac:dyDescent="0.25">
      <c r="A111" t="str">
        <f>IF(EXACT('BOM A320 FFS'!B155,obsoleta!D111),"OK","ERROR")</f>
        <v>ERROR</v>
      </c>
      <c r="C111" s="51" t="s">
        <v>227</v>
      </c>
      <c r="D111" s="51">
        <v>1218000320500</v>
      </c>
      <c r="E111" s="51"/>
      <c r="F111" s="52" t="s">
        <v>2862</v>
      </c>
      <c r="G111" s="52" t="s">
        <v>2863</v>
      </c>
      <c r="H111" s="52" t="s">
        <v>1399</v>
      </c>
      <c r="I111" s="52"/>
      <c r="J111" s="53">
        <v>10</v>
      </c>
      <c r="K111" s="38"/>
      <c r="L111" s="35">
        <v>0</v>
      </c>
      <c r="M111" s="54" t="s">
        <v>39</v>
      </c>
      <c r="N111" s="37">
        <v>0.85</v>
      </c>
      <c r="O111" s="35">
        <v>0</v>
      </c>
      <c r="P111" s="35" t="s">
        <v>33</v>
      </c>
      <c r="Q111" s="97">
        <v>45453</v>
      </c>
      <c r="R111" s="35" t="s">
        <v>62</v>
      </c>
      <c r="S111" s="38"/>
      <c r="T111" s="78">
        <v>2</v>
      </c>
      <c r="U111" s="78"/>
      <c r="V111" s="78"/>
      <c r="W111" s="78" t="s">
        <v>232</v>
      </c>
      <c r="X111" s="78"/>
      <c r="Y111" s="78"/>
      <c r="Z111" s="78" t="s">
        <v>233</v>
      </c>
      <c r="AA111" s="78" t="s">
        <v>225</v>
      </c>
      <c r="AB111" s="53">
        <v>10</v>
      </c>
    </row>
    <row r="112" spans="1:28" x14ac:dyDescent="0.25">
      <c r="A112" t="str">
        <f>IF(EXACT('BOM A320 FFS'!B156,obsoleta!D112),"OK","ERROR")</f>
        <v>ERROR</v>
      </c>
      <c r="C112" s="131" t="s">
        <v>227</v>
      </c>
      <c r="D112" s="131">
        <v>1229508980000</v>
      </c>
      <c r="E112" s="131"/>
      <c r="F112" s="132" t="s">
        <v>2958</v>
      </c>
      <c r="G112" s="132" t="s">
        <v>2959</v>
      </c>
      <c r="H112" s="132" t="s">
        <v>1122</v>
      </c>
      <c r="I112" s="132"/>
      <c r="J112" s="133">
        <v>2</v>
      </c>
      <c r="K112" s="134"/>
      <c r="L112" s="135">
        <v>0</v>
      </c>
      <c r="M112" s="136" t="s">
        <v>32</v>
      </c>
      <c r="N112" s="137">
        <v>1</v>
      </c>
      <c r="O112" s="135">
        <v>0</v>
      </c>
      <c r="P112" s="135" t="s">
        <v>33</v>
      </c>
      <c r="Q112" s="138">
        <v>45453</v>
      </c>
      <c r="R112" s="135" t="s">
        <v>62</v>
      </c>
      <c r="S112" s="134"/>
      <c r="T112" s="139">
        <v>2</v>
      </c>
      <c r="U112" s="139"/>
      <c r="V112" s="139"/>
      <c r="W112" s="139" t="s">
        <v>232</v>
      </c>
      <c r="X112" s="139"/>
      <c r="Y112" s="139"/>
      <c r="Z112" s="139" t="s">
        <v>233</v>
      </c>
      <c r="AA112" s="139" t="s">
        <v>225</v>
      </c>
      <c r="AB112" s="133">
        <v>2</v>
      </c>
    </row>
    <row r="113" spans="1:28" x14ac:dyDescent="0.25">
      <c r="A113" t="str">
        <f>IF(EXACT('BOM A320 FFS'!B157,obsoleta!D113),"OK","ERROR")</f>
        <v>ERROR</v>
      </c>
      <c r="C113" s="131" t="s">
        <v>227</v>
      </c>
      <c r="D113" s="131">
        <v>1229524256302</v>
      </c>
      <c r="E113" s="131"/>
      <c r="F113" s="132" t="s">
        <v>2954</v>
      </c>
      <c r="G113" s="132" t="s">
        <v>2955</v>
      </c>
      <c r="H113" s="132" t="s">
        <v>2956</v>
      </c>
      <c r="I113" s="132"/>
      <c r="J113" s="133">
        <v>1</v>
      </c>
      <c r="K113" s="134"/>
      <c r="L113" s="135">
        <v>0</v>
      </c>
      <c r="M113" s="136" t="s">
        <v>32</v>
      </c>
      <c r="N113" s="137">
        <v>1</v>
      </c>
      <c r="O113" s="135">
        <v>0</v>
      </c>
      <c r="P113" s="135" t="s">
        <v>33</v>
      </c>
      <c r="Q113" s="138">
        <v>45453</v>
      </c>
      <c r="R113" s="135" t="s">
        <v>62</v>
      </c>
      <c r="S113" s="134"/>
      <c r="T113" s="139">
        <v>2</v>
      </c>
      <c r="U113" s="139"/>
      <c r="V113" s="139"/>
      <c r="W113" s="139" t="s">
        <v>232</v>
      </c>
      <c r="X113" s="139"/>
      <c r="Y113" s="139"/>
      <c r="Z113" s="139" t="s">
        <v>233</v>
      </c>
      <c r="AA113" s="139" t="s">
        <v>225</v>
      </c>
      <c r="AB113" s="133">
        <v>1</v>
      </c>
    </row>
    <row r="114" spans="1:28" x14ac:dyDescent="0.25">
      <c r="A114" t="str">
        <f>IF(EXACT('BOM A320 FFS'!B158,obsoleta!D114),"OK","ERROR")</f>
        <v>ERROR</v>
      </c>
      <c r="C114" s="51" t="s">
        <v>227</v>
      </c>
      <c r="D114" s="51">
        <v>1218000320501</v>
      </c>
      <c r="E114" s="51"/>
      <c r="F114" s="52" t="s">
        <v>2862</v>
      </c>
      <c r="G114" s="52" t="s">
        <v>2865</v>
      </c>
      <c r="H114" s="52" t="s">
        <v>1399</v>
      </c>
      <c r="I114" s="52"/>
      <c r="J114" s="53">
        <v>10</v>
      </c>
      <c r="K114" s="38"/>
      <c r="L114" s="35">
        <v>0</v>
      </c>
      <c r="M114" s="54" t="s">
        <v>32</v>
      </c>
      <c r="N114" s="37">
        <v>1</v>
      </c>
      <c r="O114" s="35">
        <v>0</v>
      </c>
      <c r="P114" s="35" t="s">
        <v>33</v>
      </c>
      <c r="Q114" s="97">
        <v>45453</v>
      </c>
      <c r="R114" s="35" t="s">
        <v>62</v>
      </c>
      <c r="S114" s="38"/>
      <c r="T114" s="78">
        <v>2</v>
      </c>
      <c r="U114" s="78"/>
      <c r="V114" s="78"/>
      <c r="W114" s="78" t="s">
        <v>232</v>
      </c>
      <c r="X114" s="78"/>
      <c r="Y114" s="78"/>
      <c r="Z114" s="78" t="s">
        <v>233</v>
      </c>
      <c r="AA114" s="78" t="s">
        <v>225</v>
      </c>
      <c r="AB114" s="53">
        <v>10</v>
      </c>
    </row>
    <row r="115" spans="1:28" x14ac:dyDescent="0.25">
      <c r="A115" t="str">
        <f>IF(EXACT('BOM A320 FFS'!B159,obsoleta!D115),"OK","ERROR")</f>
        <v>ERROR</v>
      </c>
      <c r="C115" s="31" t="s">
        <v>227</v>
      </c>
      <c r="D115" s="71">
        <v>1351709000800</v>
      </c>
      <c r="E115" s="71"/>
      <c r="F115" s="52" t="s">
        <v>281</v>
      </c>
      <c r="G115" s="52" t="s">
        <v>282</v>
      </c>
      <c r="H115" s="52" t="s">
        <v>231</v>
      </c>
      <c r="I115" s="32"/>
      <c r="J115" s="33">
        <v>1</v>
      </c>
      <c r="K115" s="34">
        <v>2200</v>
      </c>
      <c r="L115" s="35">
        <v>2200</v>
      </c>
      <c r="M115" s="36" t="s">
        <v>32</v>
      </c>
      <c r="N115" s="37">
        <v>1</v>
      </c>
      <c r="O115" s="35">
        <v>2200</v>
      </c>
      <c r="P115" s="35" t="s">
        <v>33</v>
      </c>
      <c r="Q115" s="97">
        <v>45453</v>
      </c>
      <c r="R115" s="35" t="s">
        <v>62</v>
      </c>
      <c r="S115" s="38"/>
      <c r="T115" s="78">
        <v>2</v>
      </c>
      <c r="U115" s="78"/>
      <c r="V115" s="78"/>
      <c r="W115" s="78" t="s">
        <v>232</v>
      </c>
      <c r="X115" s="78"/>
      <c r="Y115" s="78"/>
      <c r="Z115" s="78" t="s">
        <v>233</v>
      </c>
      <c r="AA115" s="78" t="s">
        <v>225</v>
      </c>
      <c r="AB115" s="33">
        <v>1</v>
      </c>
    </row>
    <row r="116" spans="1:28" x14ac:dyDescent="0.25">
      <c r="A116" t="str">
        <f>IF(EXACT('BOM A320 FFS'!B160,obsoleta!D116),"OK","ERROR")</f>
        <v>ERROR</v>
      </c>
      <c r="C116" s="31" t="s">
        <v>227</v>
      </c>
      <c r="D116" s="71">
        <v>1312704910100</v>
      </c>
      <c r="E116" s="71"/>
      <c r="F116" s="52" t="s">
        <v>248</v>
      </c>
      <c r="G116" s="52" t="s">
        <v>249</v>
      </c>
      <c r="H116" s="52" t="s">
        <v>231</v>
      </c>
      <c r="I116" s="32"/>
      <c r="J116" s="33">
        <v>1</v>
      </c>
      <c r="K116" s="34">
        <v>3000</v>
      </c>
      <c r="L116" s="35">
        <v>3000</v>
      </c>
      <c r="M116" s="36" t="s">
        <v>32</v>
      </c>
      <c r="N116" s="37">
        <v>1</v>
      </c>
      <c r="O116" s="35">
        <v>3000</v>
      </c>
      <c r="P116" s="35" t="s">
        <v>33</v>
      </c>
      <c r="Q116" s="97">
        <v>45453</v>
      </c>
      <c r="R116" s="35" t="s">
        <v>62</v>
      </c>
      <c r="S116" s="38"/>
      <c r="T116" s="78">
        <v>2</v>
      </c>
      <c r="U116" s="78"/>
      <c r="V116" s="78"/>
      <c r="W116" s="78" t="s">
        <v>232</v>
      </c>
      <c r="X116" s="78"/>
      <c r="Y116" s="78"/>
      <c r="Z116" s="78" t="s">
        <v>233</v>
      </c>
      <c r="AA116" s="78" t="s">
        <v>225</v>
      </c>
      <c r="AB116" s="78">
        <v>1</v>
      </c>
    </row>
    <row r="117" spans="1:28" x14ac:dyDescent="0.25">
      <c r="A117" t="str">
        <f>IF(EXACT('BOM A320 FFS'!B161,obsoleta!D117),"OK","ERROR")</f>
        <v>ERROR</v>
      </c>
      <c r="C117" s="31" t="s">
        <v>227</v>
      </c>
      <c r="D117" s="71">
        <v>1250200510200</v>
      </c>
      <c r="E117" s="71"/>
      <c r="F117" s="52" t="s">
        <v>229</v>
      </c>
      <c r="G117" s="52" t="s">
        <v>230</v>
      </c>
      <c r="H117" s="52" t="s">
        <v>231</v>
      </c>
      <c r="I117" s="32"/>
      <c r="J117" s="33">
        <v>2</v>
      </c>
      <c r="K117" s="34">
        <v>3200</v>
      </c>
      <c r="L117" s="35">
        <v>6400</v>
      </c>
      <c r="M117" s="36" t="s">
        <v>32</v>
      </c>
      <c r="N117" s="37">
        <v>1</v>
      </c>
      <c r="O117" s="35">
        <v>6400</v>
      </c>
      <c r="P117" s="35" t="s">
        <v>33</v>
      </c>
      <c r="Q117" s="97">
        <v>45453</v>
      </c>
      <c r="R117" s="35" t="s">
        <v>62</v>
      </c>
      <c r="S117" s="38"/>
      <c r="T117" s="78">
        <v>2</v>
      </c>
      <c r="U117" s="78"/>
      <c r="V117" s="78"/>
      <c r="W117" s="78" t="s">
        <v>232</v>
      </c>
      <c r="X117" s="78"/>
      <c r="Y117" s="78"/>
      <c r="Z117" s="78" t="s">
        <v>233</v>
      </c>
      <c r="AA117" s="78" t="s">
        <v>225</v>
      </c>
      <c r="AB117" s="78">
        <v>2</v>
      </c>
    </row>
    <row r="118" spans="1:28" x14ac:dyDescent="0.25">
      <c r="A118" t="str">
        <f>IF(EXACT('BOM A320 FFS'!B163,obsoleta!D118),"OK","ERROR")</f>
        <v>ERROR</v>
      </c>
      <c r="C118" s="31" t="s">
        <v>227</v>
      </c>
      <c r="D118" s="71">
        <v>3170412070000</v>
      </c>
      <c r="E118" s="71"/>
      <c r="F118" s="52" t="s">
        <v>632</v>
      </c>
      <c r="G118" s="52">
        <v>100159</v>
      </c>
      <c r="H118" s="52" t="s">
        <v>231</v>
      </c>
      <c r="I118" s="32"/>
      <c r="J118" s="33">
        <v>2</v>
      </c>
      <c r="K118" s="34">
        <v>100</v>
      </c>
      <c r="L118" s="35">
        <v>200</v>
      </c>
      <c r="M118" s="36" t="s">
        <v>32</v>
      </c>
      <c r="N118" s="37">
        <v>1</v>
      </c>
      <c r="O118" s="35">
        <v>200</v>
      </c>
      <c r="P118" s="35" t="s">
        <v>33</v>
      </c>
      <c r="Q118" s="97">
        <v>45453</v>
      </c>
      <c r="R118" s="35" t="s">
        <v>62</v>
      </c>
      <c r="S118" s="38"/>
      <c r="T118" s="78">
        <v>2</v>
      </c>
      <c r="U118" s="78"/>
      <c r="V118" s="78"/>
      <c r="W118" s="78" t="s">
        <v>232</v>
      </c>
      <c r="X118" s="78"/>
      <c r="Y118" s="78"/>
      <c r="Z118" s="78" t="s">
        <v>233</v>
      </c>
      <c r="AA118" s="78" t="s">
        <v>225</v>
      </c>
      <c r="AB118" s="78">
        <v>2</v>
      </c>
    </row>
    <row r="119" spans="1:28" x14ac:dyDescent="0.25">
      <c r="A119" t="str">
        <f>IF(EXACT('BOM A320 FFS'!B164,obsoleta!D119),"OK","ERROR")</f>
        <v>ERROR</v>
      </c>
      <c r="C119" s="32" t="s">
        <v>227</v>
      </c>
      <c r="D119" s="70" t="s">
        <v>407</v>
      </c>
      <c r="E119" s="70"/>
      <c r="F119" s="52" t="s">
        <v>408</v>
      </c>
      <c r="G119" s="52" t="s">
        <v>409</v>
      </c>
      <c r="H119" s="52" t="s">
        <v>410</v>
      </c>
      <c r="I119" s="32"/>
      <c r="J119" s="33">
        <v>1</v>
      </c>
      <c r="K119" s="34">
        <v>600</v>
      </c>
      <c r="L119" s="35">
        <v>600</v>
      </c>
      <c r="M119" s="36" t="s">
        <v>32</v>
      </c>
      <c r="N119" s="37">
        <v>1</v>
      </c>
      <c r="O119" s="35">
        <v>600</v>
      </c>
      <c r="P119" s="35" t="s">
        <v>33</v>
      </c>
      <c r="Q119" s="97">
        <v>45453</v>
      </c>
      <c r="R119" s="35" t="s">
        <v>62</v>
      </c>
      <c r="S119" s="38"/>
      <c r="T119" s="78">
        <v>2</v>
      </c>
      <c r="U119" s="78"/>
      <c r="V119" s="78"/>
      <c r="W119" s="78" t="s">
        <v>232</v>
      </c>
      <c r="X119" s="78"/>
      <c r="Y119" s="78"/>
      <c r="Z119" s="78" t="s">
        <v>233</v>
      </c>
      <c r="AA119" s="78" t="s">
        <v>225</v>
      </c>
      <c r="AB119" s="78">
        <v>1</v>
      </c>
    </row>
    <row r="120" spans="1:28" x14ac:dyDescent="0.25">
      <c r="A120" t="str">
        <f>IF(EXACT('BOM A320 FFS'!B165,obsoleta!D120),"OK","ERROR")</f>
        <v>ERROR</v>
      </c>
      <c r="C120" s="32" t="s">
        <v>227</v>
      </c>
      <c r="D120" s="70" t="s">
        <v>275</v>
      </c>
      <c r="E120" s="70"/>
      <c r="F120" s="52" t="s">
        <v>276</v>
      </c>
      <c r="G120" s="52" t="s">
        <v>277</v>
      </c>
      <c r="H120" s="52" t="s">
        <v>278</v>
      </c>
      <c r="I120" s="32"/>
      <c r="J120" s="33">
        <v>1</v>
      </c>
      <c r="K120" s="34">
        <v>2300</v>
      </c>
      <c r="L120" s="35">
        <v>2300</v>
      </c>
      <c r="M120" s="36" t="s">
        <v>32</v>
      </c>
      <c r="N120" s="37">
        <v>1</v>
      </c>
      <c r="O120" s="35">
        <v>2300</v>
      </c>
      <c r="P120" s="35" t="s">
        <v>33</v>
      </c>
      <c r="Q120" s="97">
        <v>45453</v>
      </c>
      <c r="R120" s="35" t="s">
        <v>62</v>
      </c>
      <c r="S120" s="38"/>
      <c r="T120" s="78">
        <v>2</v>
      </c>
      <c r="U120" s="78"/>
      <c r="V120" s="78"/>
      <c r="W120" s="78" t="s">
        <v>232</v>
      </c>
      <c r="X120" s="78"/>
      <c r="Y120" s="78"/>
      <c r="Z120" s="78" t="s">
        <v>233</v>
      </c>
      <c r="AA120" s="78" t="s">
        <v>225</v>
      </c>
      <c r="AB120" s="78">
        <v>1</v>
      </c>
    </row>
    <row r="121" spans="1:28" x14ac:dyDescent="0.25">
      <c r="A121" t="str">
        <f>IF(EXACT('BOM A320 FFS'!B166,obsoleta!D121),"OK","ERROR")</f>
        <v>ERROR</v>
      </c>
      <c r="C121" s="31" t="s">
        <v>227</v>
      </c>
      <c r="D121" s="71">
        <v>1250100210700</v>
      </c>
      <c r="E121" s="71"/>
      <c r="F121" s="52" t="s">
        <v>577</v>
      </c>
      <c r="G121" s="52" t="s">
        <v>578</v>
      </c>
      <c r="H121" s="52" t="s">
        <v>484</v>
      </c>
      <c r="I121" s="32"/>
      <c r="J121" s="33">
        <v>6</v>
      </c>
      <c r="K121" s="34">
        <v>150</v>
      </c>
      <c r="L121" s="35">
        <v>900</v>
      </c>
      <c r="M121" s="36" t="s">
        <v>32</v>
      </c>
      <c r="N121" s="37">
        <v>1</v>
      </c>
      <c r="O121" s="35">
        <v>900</v>
      </c>
      <c r="P121" s="35" t="s">
        <v>33</v>
      </c>
      <c r="Q121" s="97">
        <v>45453</v>
      </c>
      <c r="R121" s="35" t="s">
        <v>62</v>
      </c>
      <c r="S121" s="38"/>
      <c r="T121" s="78">
        <v>2</v>
      </c>
      <c r="U121" s="78"/>
      <c r="V121" s="78"/>
      <c r="W121" s="78" t="s">
        <v>232</v>
      </c>
      <c r="X121" s="78"/>
      <c r="Y121" s="78"/>
      <c r="Z121" s="78" t="s">
        <v>233</v>
      </c>
      <c r="AA121" s="78" t="s">
        <v>225</v>
      </c>
      <c r="AB121" s="78">
        <v>6</v>
      </c>
    </row>
    <row r="122" spans="1:28" x14ac:dyDescent="0.25">
      <c r="A122" t="str">
        <f>IF(EXACT('BOM A320 FFS'!B167,obsoleta!D122),"OK","ERROR")</f>
        <v>ERROR</v>
      </c>
      <c r="C122" s="31" t="s">
        <v>227</v>
      </c>
      <c r="D122" s="71">
        <v>1250101570000</v>
      </c>
      <c r="E122" s="71"/>
      <c r="F122" s="52" t="s">
        <v>412</v>
      </c>
      <c r="G122" s="52" t="s">
        <v>413</v>
      </c>
      <c r="H122" s="52" t="s">
        <v>410</v>
      </c>
      <c r="I122" s="32"/>
      <c r="J122" s="33">
        <v>1</v>
      </c>
      <c r="K122" s="34">
        <v>600</v>
      </c>
      <c r="L122" s="35">
        <v>600</v>
      </c>
      <c r="M122" s="36" t="s">
        <v>32</v>
      </c>
      <c r="N122" s="37">
        <v>1</v>
      </c>
      <c r="O122" s="35">
        <v>600</v>
      </c>
      <c r="P122" s="35" t="s">
        <v>33</v>
      </c>
      <c r="Q122" s="97">
        <v>45453</v>
      </c>
      <c r="R122" s="35" t="s">
        <v>62</v>
      </c>
      <c r="S122" s="38"/>
      <c r="T122" s="78">
        <v>2</v>
      </c>
      <c r="U122" s="78"/>
      <c r="V122" s="78"/>
      <c r="W122" s="78" t="s">
        <v>232</v>
      </c>
      <c r="X122" s="78"/>
      <c r="Y122" s="78"/>
      <c r="Z122" s="78" t="s">
        <v>233</v>
      </c>
      <c r="AA122" s="78" t="s">
        <v>225</v>
      </c>
      <c r="AB122" s="78">
        <v>1</v>
      </c>
    </row>
    <row r="123" spans="1:28" x14ac:dyDescent="0.25">
      <c r="A123" t="str">
        <f>IF(EXACT('BOM A320 FFS'!B168,obsoleta!D123),"OK","ERROR")</f>
        <v>ERROR</v>
      </c>
      <c r="C123" s="31" t="s">
        <v>227</v>
      </c>
      <c r="D123" s="71">
        <v>1250100870100</v>
      </c>
      <c r="E123" s="71"/>
      <c r="F123" s="52" t="s">
        <v>615</v>
      </c>
      <c r="G123" s="52" t="s">
        <v>616</v>
      </c>
      <c r="H123" s="52" t="s">
        <v>617</v>
      </c>
      <c r="I123" s="32"/>
      <c r="J123" s="33">
        <v>2</v>
      </c>
      <c r="K123" s="34">
        <v>110</v>
      </c>
      <c r="L123" s="35">
        <v>220</v>
      </c>
      <c r="M123" s="36" t="s">
        <v>32</v>
      </c>
      <c r="N123" s="37">
        <v>1</v>
      </c>
      <c r="O123" s="35">
        <v>220</v>
      </c>
      <c r="P123" s="35" t="s">
        <v>33</v>
      </c>
      <c r="Q123" s="97">
        <v>45453</v>
      </c>
      <c r="R123" s="35" t="s">
        <v>62</v>
      </c>
      <c r="S123" s="38"/>
      <c r="T123" s="78">
        <v>2</v>
      </c>
      <c r="U123" s="78"/>
      <c r="V123" s="78"/>
      <c r="W123" s="78" t="s">
        <v>232</v>
      </c>
      <c r="X123" s="78"/>
      <c r="Y123" s="78"/>
      <c r="Z123" s="78" t="s">
        <v>233</v>
      </c>
      <c r="AA123" s="78" t="s">
        <v>225</v>
      </c>
      <c r="AB123" s="78">
        <v>2</v>
      </c>
    </row>
    <row r="124" spans="1:28" x14ac:dyDescent="0.25">
      <c r="A124" t="str">
        <f>IF(EXACT('BOM A320 FFS'!B169,obsoleta!D124),"OK","ERROR")</f>
        <v>ERROR</v>
      </c>
      <c r="C124" s="31" t="s">
        <v>227</v>
      </c>
      <c r="D124" s="71">
        <v>1263011094800</v>
      </c>
      <c r="E124" s="71"/>
      <c r="F124" s="52" t="s">
        <v>1032</v>
      </c>
      <c r="G124" s="52" t="s">
        <v>1033</v>
      </c>
      <c r="H124" s="52" t="s">
        <v>1034</v>
      </c>
      <c r="I124" s="32"/>
      <c r="J124" s="33">
        <v>1</v>
      </c>
      <c r="K124" s="34">
        <v>40</v>
      </c>
      <c r="L124" s="35">
        <v>40</v>
      </c>
      <c r="M124" s="36" t="s">
        <v>32</v>
      </c>
      <c r="N124" s="37">
        <v>1</v>
      </c>
      <c r="O124" s="35">
        <v>40</v>
      </c>
      <c r="P124" s="35" t="s">
        <v>33</v>
      </c>
      <c r="Q124" s="97">
        <v>45453</v>
      </c>
      <c r="R124" s="35" t="s">
        <v>62</v>
      </c>
      <c r="S124" s="38"/>
      <c r="T124" s="78">
        <v>2</v>
      </c>
      <c r="U124" s="78"/>
      <c r="V124" s="78"/>
      <c r="W124" s="78" t="s">
        <v>232</v>
      </c>
      <c r="X124" s="78"/>
      <c r="Y124" s="78"/>
      <c r="Z124" s="78" t="s">
        <v>233</v>
      </c>
      <c r="AA124" s="78" t="s">
        <v>225</v>
      </c>
      <c r="AB124" s="78">
        <v>1</v>
      </c>
    </row>
    <row r="125" spans="1:28" x14ac:dyDescent="0.25">
      <c r="A125" t="str">
        <f>IF(EXACT('BOM A320 FFS'!B170,obsoleta!D125),"OK","ERROR")</f>
        <v>OK</v>
      </c>
      <c r="C125" s="31" t="s">
        <v>227</v>
      </c>
      <c r="D125" s="71">
        <v>1251000590000</v>
      </c>
      <c r="E125" s="71"/>
      <c r="F125" s="52" t="s">
        <v>594</v>
      </c>
      <c r="G125" s="52" t="s">
        <v>595</v>
      </c>
      <c r="H125" s="52" t="s">
        <v>596</v>
      </c>
      <c r="I125" s="32"/>
      <c r="J125" s="33">
        <v>1</v>
      </c>
      <c r="K125" s="34">
        <v>130</v>
      </c>
      <c r="L125" s="35">
        <v>130</v>
      </c>
      <c r="M125" s="36" t="s">
        <v>32</v>
      </c>
      <c r="N125" s="37">
        <v>1</v>
      </c>
      <c r="O125" s="35">
        <v>130</v>
      </c>
      <c r="P125" s="35" t="s">
        <v>33</v>
      </c>
      <c r="Q125" s="97">
        <v>45453</v>
      </c>
      <c r="R125" s="35" t="s">
        <v>62</v>
      </c>
      <c r="S125" s="38"/>
      <c r="T125" s="78">
        <v>2</v>
      </c>
      <c r="U125" s="78"/>
      <c r="V125" s="78"/>
      <c r="W125" s="78" t="s">
        <v>232</v>
      </c>
      <c r="X125" s="78"/>
      <c r="Y125" s="78"/>
      <c r="Z125" s="78" t="s">
        <v>233</v>
      </c>
      <c r="AA125" s="78" t="s">
        <v>225</v>
      </c>
      <c r="AB125" s="78">
        <v>1</v>
      </c>
    </row>
    <row r="126" spans="1:28" x14ac:dyDescent="0.25">
      <c r="A126" t="str">
        <f>IF(EXACT('BOM A320 FFS'!B172,obsoleta!D126),"OK","ERROR")</f>
        <v>ERROR</v>
      </c>
      <c r="C126" s="31" t="s">
        <v>227</v>
      </c>
      <c r="D126" s="71" t="s">
        <v>3144</v>
      </c>
      <c r="E126" s="71"/>
      <c r="F126" s="52" t="s">
        <v>3145</v>
      </c>
      <c r="G126" s="52">
        <v>915634304600</v>
      </c>
      <c r="H126" s="52" t="s">
        <v>1345</v>
      </c>
      <c r="I126" s="32"/>
      <c r="J126" s="33">
        <v>2</v>
      </c>
      <c r="K126" s="34"/>
      <c r="L126" s="35">
        <v>0</v>
      </c>
      <c r="M126" s="36" t="s">
        <v>32</v>
      </c>
      <c r="N126" s="37">
        <v>1</v>
      </c>
      <c r="O126" s="35">
        <v>0</v>
      </c>
      <c r="P126" s="35" t="s">
        <v>33</v>
      </c>
      <c r="Q126" s="97">
        <v>45453</v>
      </c>
      <c r="R126" s="35" t="s">
        <v>62</v>
      </c>
      <c r="S126" s="38"/>
      <c r="T126" s="78">
        <v>2</v>
      </c>
      <c r="U126" s="78"/>
      <c r="V126" s="78"/>
      <c r="W126" s="78" t="s">
        <v>232</v>
      </c>
      <c r="X126" s="78"/>
      <c r="Y126" s="78"/>
      <c r="Z126" s="78" t="s">
        <v>233</v>
      </c>
      <c r="AA126" s="78" t="s">
        <v>225</v>
      </c>
      <c r="AB126" s="78">
        <v>2</v>
      </c>
    </row>
    <row r="127" spans="1:28" x14ac:dyDescent="0.25">
      <c r="A127" t="str">
        <f>IF(EXACT('BOM A320 FFS'!B174,obsoleta!D127),"OK","ERROR")</f>
        <v>ERROR</v>
      </c>
      <c r="C127" s="31" t="s">
        <v>227</v>
      </c>
      <c r="D127" s="71">
        <v>1390400090100</v>
      </c>
      <c r="E127" s="71"/>
      <c r="F127" s="52" t="s">
        <v>2642</v>
      </c>
      <c r="G127" s="52" t="s">
        <v>2643</v>
      </c>
      <c r="H127" s="52" t="s">
        <v>2644</v>
      </c>
      <c r="I127" s="32"/>
      <c r="J127" s="33">
        <v>1</v>
      </c>
      <c r="K127" s="34"/>
      <c r="L127" s="35">
        <v>0</v>
      </c>
      <c r="M127" s="36" t="s">
        <v>32</v>
      </c>
      <c r="N127" s="37">
        <v>1</v>
      </c>
      <c r="O127" s="35">
        <v>0</v>
      </c>
      <c r="P127" s="35" t="s">
        <v>33</v>
      </c>
      <c r="Q127" s="97">
        <v>45453</v>
      </c>
      <c r="R127" s="35" t="s">
        <v>62</v>
      </c>
      <c r="S127" s="38"/>
      <c r="T127" s="78">
        <v>2</v>
      </c>
      <c r="U127" s="78"/>
      <c r="V127" s="78"/>
      <c r="W127" s="78" t="s">
        <v>232</v>
      </c>
      <c r="X127" s="78"/>
      <c r="Y127" s="78"/>
      <c r="Z127" s="78" t="s">
        <v>233</v>
      </c>
      <c r="AA127" s="78" t="s">
        <v>225</v>
      </c>
      <c r="AB127" s="78">
        <v>1</v>
      </c>
    </row>
    <row r="128" spans="1:28" x14ac:dyDescent="0.25">
      <c r="A128" t="str">
        <f>IF(EXACT('BOM A320 FFS'!B175,obsoleta!D128),"OK","ERROR")</f>
        <v>ERROR</v>
      </c>
      <c r="C128" s="31" t="s">
        <v>227</v>
      </c>
      <c r="D128" s="71">
        <v>1251000100200</v>
      </c>
      <c r="E128" s="71"/>
      <c r="F128" s="52" t="s">
        <v>2970</v>
      </c>
      <c r="G128" s="52" t="s">
        <v>2971</v>
      </c>
      <c r="H128" s="52" t="s">
        <v>2972</v>
      </c>
      <c r="I128" s="32"/>
      <c r="J128" s="33">
        <v>1</v>
      </c>
      <c r="K128" s="34"/>
      <c r="L128" s="35">
        <v>0</v>
      </c>
      <c r="M128" s="36" t="s">
        <v>32</v>
      </c>
      <c r="N128" s="37">
        <v>1</v>
      </c>
      <c r="O128" s="35">
        <v>0</v>
      </c>
      <c r="P128" s="35" t="s">
        <v>33</v>
      </c>
      <c r="Q128" s="97">
        <v>45453</v>
      </c>
      <c r="R128" s="35" t="s">
        <v>62</v>
      </c>
      <c r="S128" s="38"/>
      <c r="T128" s="78">
        <v>2</v>
      </c>
      <c r="U128" s="78"/>
      <c r="V128" s="78"/>
      <c r="W128" s="78" t="s">
        <v>232</v>
      </c>
      <c r="X128" s="78"/>
      <c r="Y128" s="78"/>
      <c r="Z128" s="78" t="s">
        <v>233</v>
      </c>
      <c r="AA128" s="78" t="s">
        <v>225</v>
      </c>
      <c r="AB128" s="78">
        <v>1</v>
      </c>
    </row>
    <row r="129" spans="1:28" x14ac:dyDescent="0.25">
      <c r="A129" t="str">
        <f>IF(EXACT('BOM A320 FFS'!B176,obsoleta!D129),"OK","ERROR")</f>
        <v>ERROR</v>
      </c>
      <c r="C129" s="31" t="s">
        <v>227</v>
      </c>
      <c r="D129" s="71">
        <v>1251000380100</v>
      </c>
      <c r="E129" s="71"/>
      <c r="F129" s="52" t="s">
        <v>2489</v>
      </c>
      <c r="G129" s="52" t="s">
        <v>2490</v>
      </c>
      <c r="H129" s="52" t="s">
        <v>600</v>
      </c>
      <c r="I129" s="32"/>
      <c r="J129" s="33">
        <v>1</v>
      </c>
      <c r="K129" s="34"/>
      <c r="L129" s="35">
        <v>0</v>
      </c>
      <c r="M129" s="36" t="s">
        <v>32</v>
      </c>
      <c r="N129" s="37">
        <v>1</v>
      </c>
      <c r="O129" s="35">
        <v>0</v>
      </c>
      <c r="P129" s="35" t="s">
        <v>33</v>
      </c>
      <c r="Q129" s="97">
        <v>45453</v>
      </c>
      <c r="R129" s="35" t="s">
        <v>62</v>
      </c>
      <c r="S129" s="38"/>
      <c r="T129" s="78">
        <v>2</v>
      </c>
      <c r="U129" s="78"/>
      <c r="V129" s="78"/>
      <c r="W129" s="78" t="s">
        <v>232</v>
      </c>
      <c r="X129" s="78"/>
      <c r="Y129" s="78"/>
      <c r="Z129" s="78" t="s">
        <v>233</v>
      </c>
      <c r="AA129" s="78" t="s">
        <v>225</v>
      </c>
      <c r="AB129" s="78">
        <v>1</v>
      </c>
    </row>
    <row r="130" spans="1:28" x14ac:dyDescent="0.25">
      <c r="A130" t="str">
        <f>IF(EXACT('BOM A320 FFS'!B177,obsoleta!D130),"OK","ERROR")</f>
        <v>ERROR</v>
      </c>
      <c r="C130" s="31" t="s">
        <v>227</v>
      </c>
      <c r="D130" s="71">
        <v>1263011992600</v>
      </c>
      <c r="E130" s="71"/>
      <c r="F130" s="52" t="s">
        <v>2646</v>
      </c>
      <c r="G130" s="52" t="s">
        <v>2647</v>
      </c>
      <c r="H130" s="52" t="s">
        <v>600</v>
      </c>
      <c r="I130" s="32"/>
      <c r="J130" s="33">
        <v>1</v>
      </c>
      <c r="K130" s="34"/>
      <c r="L130" s="35">
        <v>0</v>
      </c>
      <c r="M130" s="36" t="s">
        <v>32</v>
      </c>
      <c r="N130" s="37">
        <v>1</v>
      </c>
      <c r="O130" s="35">
        <v>0</v>
      </c>
      <c r="P130" s="35" t="s">
        <v>33</v>
      </c>
      <c r="Q130" s="97">
        <v>45453</v>
      </c>
      <c r="R130" s="35" t="s">
        <v>62</v>
      </c>
      <c r="S130" s="38"/>
      <c r="T130" s="78">
        <v>2</v>
      </c>
      <c r="U130" s="78"/>
      <c r="V130" s="78"/>
      <c r="W130" s="78" t="s">
        <v>232</v>
      </c>
      <c r="X130" s="78"/>
      <c r="Y130" s="78"/>
      <c r="Z130" s="78" t="s">
        <v>233</v>
      </c>
      <c r="AA130" s="78" t="s">
        <v>225</v>
      </c>
      <c r="AB130" s="78">
        <v>1</v>
      </c>
    </row>
    <row r="131" spans="1:28" x14ac:dyDescent="0.25">
      <c r="A131" t="str">
        <f>IF(EXACT('BOM A320 FFS'!B178,obsoleta!D131),"OK","ERROR")</f>
        <v>ERROR</v>
      </c>
      <c r="C131" s="31" t="s">
        <v>227</v>
      </c>
      <c r="D131" s="71">
        <v>1229502470000</v>
      </c>
      <c r="E131" s="71"/>
      <c r="F131" s="52" t="s">
        <v>1020</v>
      </c>
      <c r="G131" s="52" t="s">
        <v>1021</v>
      </c>
      <c r="H131" s="52" t="s">
        <v>600</v>
      </c>
      <c r="I131" s="52" t="s">
        <v>601</v>
      </c>
      <c r="J131" s="53">
        <v>2</v>
      </c>
      <c r="K131" s="38">
        <v>41.34</v>
      </c>
      <c r="L131" s="35">
        <v>82.68</v>
      </c>
      <c r="M131" s="36" t="s">
        <v>32</v>
      </c>
      <c r="N131" s="37">
        <v>1</v>
      </c>
      <c r="O131" s="35">
        <v>82.68</v>
      </c>
      <c r="P131" s="35" t="s">
        <v>33</v>
      </c>
      <c r="Q131" s="97">
        <v>45453</v>
      </c>
      <c r="R131" s="35" t="s">
        <v>62</v>
      </c>
      <c r="S131" s="38"/>
      <c r="T131" s="78">
        <v>2</v>
      </c>
      <c r="U131" s="78"/>
      <c r="V131" s="78"/>
      <c r="W131" s="78" t="s">
        <v>232</v>
      </c>
      <c r="X131" s="78"/>
      <c r="Y131" s="78"/>
      <c r="Z131" s="78" t="s">
        <v>233</v>
      </c>
      <c r="AA131" s="78" t="s">
        <v>225</v>
      </c>
      <c r="AB131" s="78">
        <v>2</v>
      </c>
    </row>
    <row r="132" spans="1:28" x14ac:dyDescent="0.25">
      <c r="A132" t="str">
        <f>IF(EXACT('BOM A320 FFS'!B179,obsoleta!D132),"OK","ERROR")</f>
        <v>ERROR</v>
      </c>
      <c r="C132" s="31" t="s">
        <v>227</v>
      </c>
      <c r="D132" s="71">
        <v>7279902131200</v>
      </c>
      <c r="E132" s="71"/>
      <c r="F132" s="52" t="s">
        <v>2986</v>
      </c>
      <c r="G132" s="52" t="s">
        <v>2987</v>
      </c>
      <c r="H132" s="52" t="s">
        <v>600</v>
      </c>
      <c r="I132" s="32"/>
      <c r="J132" s="33">
        <v>1</v>
      </c>
      <c r="K132" s="34"/>
      <c r="L132" s="35">
        <v>0</v>
      </c>
      <c r="M132" s="36" t="s">
        <v>32</v>
      </c>
      <c r="N132" s="37">
        <v>1</v>
      </c>
      <c r="O132" s="35">
        <v>0</v>
      </c>
      <c r="P132" s="35" t="s">
        <v>33</v>
      </c>
      <c r="Q132" s="97">
        <v>45453</v>
      </c>
      <c r="R132" s="35" t="s">
        <v>62</v>
      </c>
      <c r="S132" s="38"/>
      <c r="T132" s="78">
        <v>2</v>
      </c>
      <c r="U132" s="78"/>
      <c r="V132" s="78"/>
      <c r="W132" s="78" t="s">
        <v>232</v>
      </c>
      <c r="X132" s="78"/>
      <c r="Y132" s="78"/>
      <c r="Z132" s="78" t="s">
        <v>233</v>
      </c>
      <c r="AA132" s="78" t="s">
        <v>225</v>
      </c>
      <c r="AB132" s="78">
        <v>1</v>
      </c>
    </row>
    <row r="133" spans="1:28" x14ac:dyDescent="0.25">
      <c r="A133" t="str">
        <f>IF(EXACT('BOM A320 FFS'!B180,obsoleta!D133),"OK","ERROR")</f>
        <v>ERROR</v>
      </c>
      <c r="C133" s="31" t="s">
        <v>227</v>
      </c>
      <c r="D133" s="71">
        <v>7279902131290</v>
      </c>
      <c r="E133" s="71"/>
      <c r="F133" s="52" t="s">
        <v>3162</v>
      </c>
      <c r="G133" s="52" t="s">
        <v>3163</v>
      </c>
      <c r="H133" s="52" t="s">
        <v>600</v>
      </c>
      <c r="I133" s="32"/>
      <c r="J133" s="33">
        <v>1</v>
      </c>
      <c r="K133" s="34"/>
      <c r="L133" s="35">
        <v>0</v>
      </c>
      <c r="M133" s="36" t="s">
        <v>32</v>
      </c>
      <c r="N133" s="37">
        <v>1</v>
      </c>
      <c r="O133" s="35">
        <v>0</v>
      </c>
      <c r="P133" s="35" t="s">
        <v>33</v>
      </c>
      <c r="Q133" s="97">
        <v>45453</v>
      </c>
      <c r="R133" s="35" t="s">
        <v>62</v>
      </c>
      <c r="S133" s="38"/>
      <c r="T133" s="78">
        <v>2</v>
      </c>
      <c r="U133" s="78"/>
      <c r="V133" s="78"/>
      <c r="W133" s="78" t="s">
        <v>232</v>
      </c>
      <c r="X133" s="78"/>
      <c r="Y133" s="78"/>
      <c r="Z133" s="78" t="s">
        <v>233</v>
      </c>
      <c r="AA133" s="78" t="s">
        <v>225</v>
      </c>
      <c r="AB133" s="78">
        <v>1</v>
      </c>
    </row>
    <row r="134" spans="1:28" x14ac:dyDescent="0.25">
      <c r="A134" t="str">
        <f>IF(EXACT('BOM A320 FFS'!B181,obsoleta!D134),"OK","ERROR")</f>
        <v>ERROR</v>
      </c>
      <c r="C134" s="31" t="s">
        <v>227</v>
      </c>
      <c r="D134" s="71">
        <v>1589903549000</v>
      </c>
      <c r="E134" s="71"/>
      <c r="F134" s="52" t="s">
        <v>598</v>
      </c>
      <c r="G134" s="52" t="s">
        <v>599</v>
      </c>
      <c r="H134" s="52" t="s">
        <v>600</v>
      </c>
      <c r="I134" s="52" t="s">
        <v>601</v>
      </c>
      <c r="J134" s="33">
        <v>1</v>
      </c>
      <c r="K134" s="38">
        <v>125.34</v>
      </c>
      <c r="L134" s="35">
        <v>125.34</v>
      </c>
      <c r="M134" s="36" t="s">
        <v>32</v>
      </c>
      <c r="N134" s="37">
        <v>1</v>
      </c>
      <c r="O134" s="35">
        <v>125.34</v>
      </c>
      <c r="P134" s="35" t="s">
        <v>33</v>
      </c>
      <c r="Q134" s="97">
        <v>45453</v>
      </c>
      <c r="R134" s="35" t="s">
        <v>62</v>
      </c>
      <c r="S134" s="38"/>
      <c r="T134" s="78">
        <v>2</v>
      </c>
      <c r="U134" s="78"/>
      <c r="V134" s="78"/>
      <c r="W134" s="78" t="s">
        <v>232</v>
      </c>
      <c r="X134" s="78"/>
      <c r="Y134" s="78"/>
      <c r="Z134" s="78" t="s">
        <v>233</v>
      </c>
      <c r="AA134" s="78" t="s">
        <v>225</v>
      </c>
      <c r="AB134" s="78">
        <v>1</v>
      </c>
    </row>
    <row r="135" spans="1:28" x14ac:dyDescent="0.25">
      <c r="A135" t="str">
        <f>IF(EXACT('BOM A320 FFS'!B182,obsoleta!D135),"OK","ERROR")</f>
        <v>ERROR</v>
      </c>
      <c r="C135" s="31" t="s">
        <v>227</v>
      </c>
      <c r="D135" s="71">
        <v>1589991012301</v>
      </c>
      <c r="E135" s="71"/>
      <c r="F135" s="52" t="s">
        <v>1056</v>
      </c>
      <c r="G135" s="52" t="s">
        <v>1057</v>
      </c>
      <c r="H135" s="52" t="s">
        <v>1058</v>
      </c>
      <c r="I135" s="52" t="s">
        <v>1059</v>
      </c>
      <c r="J135" s="33">
        <v>1</v>
      </c>
      <c r="K135" s="38">
        <v>31.41</v>
      </c>
      <c r="L135" s="35">
        <v>31.41</v>
      </c>
      <c r="M135" s="36" t="s">
        <v>32</v>
      </c>
      <c r="N135" s="37">
        <v>1</v>
      </c>
      <c r="O135" s="35">
        <v>31.41</v>
      </c>
      <c r="P135" s="35" t="s">
        <v>33</v>
      </c>
      <c r="Q135" s="97">
        <v>45453</v>
      </c>
      <c r="R135" s="35" t="s">
        <v>62</v>
      </c>
      <c r="S135" s="38"/>
      <c r="T135" s="78">
        <v>2</v>
      </c>
      <c r="U135" s="78"/>
      <c r="V135" s="78"/>
      <c r="W135" s="78" t="s">
        <v>232</v>
      </c>
      <c r="X135" s="78"/>
      <c r="Y135" s="78"/>
      <c r="Z135" s="78" t="s">
        <v>233</v>
      </c>
      <c r="AA135" s="78" t="s">
        <v>225</v>
      </c>
      <c r="AB135" s="78">
        <v>1</v>
      </c>
    </row>
    <row r="136" spans="1:28" x14ac:dyDescent="0.25">
      <c r="A136" t="str">
        <f>IF(EXACT('BOM A320 FFS'!B183,obsoleta!D136),"OK","ERROR")</f>
        <v>ERROR</v>
      </c>
      <c r="C136" s="31" t="s">
        <v>227</v>
      </c>
      <c r="D136" s="71">
        <v>1589991012400</v>
      </c>
      <c r="E136" s="71"/>
      <c r="F136" s="52" t="s">
        <v>1360</v>
      </c>
      <c r="G136" s="52" t="s">
        <v>1361</v>
      </c>
      <c r="H136" s="52" t="s">
        <v>1058</v>
      </c>
      <c r="I136" s="52" t="s">
        <v>1059</v>
      </c>
      <c r="J136" s="33">
        <v>1</v>
      </c>
      <c r="K136" s="38">
        <v>9.09</v>
      </c>
      <c r="L136" s="35">
        <v>0.15</v>
      </c>
      <c r="M136" s="36" t="s">
        <v>32</v>
      </c>
      <c r="N136" s="37">
        <v>1</v>
      </c>
      <c r="O136" s="35">
        <v>0.15</v>
      </c>
      <c r="P136" s="35" t="s">
        <v>33</v>
      </c>
      <c r="Q136" s="97">
        <v>45453</v>
      </c>
      <c r="R136" s="35" t="s">
        <v>62</v>
      </c>
      <c r="S136" s="38"/>
      <c r="T136" s="78">
        <v>2</v>
      </c>
      <c r="U136" s="78"/>
      <c r="V136" s="78"/>
      <c r="W136" s="78" t="s">
        <v>232</v>
      </c>
      <c r="X136" s="78"/>
      <c r="Y136" s="78"/>
      <c r="Z136" s="78" t="s">
        <v>233</v>
      </c>
      <c r="AA136" s="78" t="s">
        <v>225</v>
      </c>
      <c r="AB136" s="78">
        <v>1</v>
      </c>
    </row>
    <row r="137" spans="1:28" x14ac:dyDescent="0.25">
      <c r="A137" t="str">
        <f>IF(EXACT('BOM A320 FFS'!B184,obsoleta!D137),"OK","ERROR")</f>
        <v>ERROR</v>
      </c>
      <c r="C137" s="131" t="s">
        <v>227</v>
      </c>
      <c r="D137" s="131">
        <v>1221100222010</v>
      </c>
      <c r="E137" s="131"/>
      <c r="F137" s="132" t="s">
        <v>2995</v>
      </c>
      <c r="G137" s="132" t="s">
        <v>2996</v>
      </c>
      <c r="H137" s="132" t="s">
        <v>1540</v>
      </c>
      <c r="I137" s="132"/>
      <c r="J137" s="133">
        <v>15</v>
      </c>
      <c r="K137" s="134"/>
      <c r="L137" s="135">
        <v>0</v>
      </c>
      <c r="M137" s="136" t="s">
        <v>32</v>
      </c>
      <c r="N137" s="137">
        <v>1</v>
      </c>
      <c r="O137" s="135">
        <v>0</v>
      </c>
      <c r="P137" s="135" t="s">
        <v>33</v>
      </c>
      <c r="Q137" s="138">
        <v>45453</v>
      </c>
      <c r="R137" s="135" t="s">
        <v>62</v>
      </c>
      <c r="S137" s="134"/>
      <c r="T137" s="139">
        <v>2</v>
      </c>
      <c r="U137" s="139"/>
      <c r="V137" s="139"/>
      <c r="W137" s="139" t="s">
        <v>232</v>
      </c>
      <c r="X137" s="139"/>
      <c r="Y137" s="139"/>
      <c r="Z137" s="139" t="s">
        <v>233</v>
      </c>
      <c r="AA137" s="139" t="s">
        <v>225</v>
      </c>
      <c r="AB137" s="139">
        <v>100</v>
      </c>
    </row>
    <row r="138" spans="1:28" x14ac:dyDescent="0.25">
      <c r="A138" t="str">
        <f>IF(EXACT('BOM A320 FFS'!B185,obsoleta!D138),"OK","ERROR")</f>
        <v>ERROR</v>
      </c>
      <c r="C138" s="131" t="s">
        <v>227</v>
      </c>
      <c r="D138" s="131">
        <v>1221200222221</v>
      </c>
      <c r="E138" s="131"/>
      <c r="F138" s="132" t="s">
        <v>2961</v>
      </c>
      <c r="G138" s="132" t="s">
        <v>2962</v>
      </c>
      <c r="H138" s="132" t="s">
        <v>1540</v>
      </c>
      <c r="I138" s="132"/>
      <c r="J138" s="133">
        <v>500</v>
      </c>
      <c r="K138" s="134"/>
      <c r="L138" s="135">
        <v>0</v>
      </c>
      <c r="M138" s="136" t="s">
        <v>32</v>
      </c>
      <c r="N138" s="137">
        <v>1</v>
      </c>
      <c r="O138" s="135">
        <v>0</v>
      </c>
      <c r="P138" s="135" t="s">
        <v>33</v>
      </c>
      <c r="Q138" s="138">
        <v>45453</v>
      </c>
      <c r="R138" s="135" t="s">
        <v>62</v>
      </c>
      <c r="S138" s="134"/>
      <c r="T138" s="139">
        <v>2</v>
      </c>
      <c r="U138" s="139"/>
      <c r="V138" s="139"/>
      <c r="W138" s="139" t="s">
        <v>232</v>
      </c>
      <c r="X138" s="139"/>
      <c r="Y138" s="139"/>
      <c r="Z138" s="139" t="s">
        <v>233</v>
      </c>
      <c r="AA138" s="139" t="s">
        <v>225</v>
      </c>
      <c r="AB138" s="139">
        <v>500</v>
      </c>
    </row>
    <row r="139" spans="1:28" x14ac:dyDescent="0.25">
      <c r="A139" t="str">
        <f>IF(EXACT('BOM A320 FFS'!B195,obsoleta!D139),"OK","ERROR")</f>
        <v>ERROR</v>
      </c>
      <c r="C139" s="26"/>
      <c r="D139" s="26"/>
      <c r="E139" s="26"/>
      <c r="F139" s="28"/>
      <c r="G139" s="28"/>
      <c r="H139" s="28"/>
      <c r="I139" s="28"/>
      <c r="J139" s="40"/>
      <c r="K139" s="30"/>
      <c r="L139" s="30"/>
      <c r="M139" s="26"/>
      <c r="N139" s="26"/>
      <c r="O139" s="41"/>
      <c r="P139" s="41"/>
      <c r="Q139" s="98"/>
      <c r="R139" s="41"/>
      <c r="S139" s="30"/>
      <c r="T139" s="82"/>
      <c r="U139" s="82"/>
      <c r="V139" s="82"/>
      <c r="W139" s="82"/>
      <c r="X139" s="82"/>
      <c r="Y139" s="82"/>
      <c r="Z139" s="82"/>
      <c r="AA139" s="82" t="s">
        <v>225</v>
      </c>
      <c r="AB139" s="82"/>
    </row>
    <row r="140" spans="1:28" ht="18.75" x14ac:dyDescent="0.3">
      <c r="A140" t="str">
        <f>IF(EXACT('BOM A320 FFS'!B196,obsoleta!D140),"OK","ERROR")</f>
        <v>ERROR</v>
      </c>
      <c r="C140" s="19"/>
      <c r="D140" s="19" t="s">
        <v>3627</v>
      </c>
      <c r="E140" s="19"/>
      <c r="F140" s="20"/>
      <c r="G140" s="21"/>
      <c r="H140" s="21"/>
      <c r="I140" s="21"/>
      <c r="J140" s="22"/>
      <c r="K140" s="25"/>
      <c r="L140" s="25"/>
      <c r="M140" s="24"/>
      <c r="N140" s="24"/>
      <c r="O140" s="49"/>
      <c r="P140" s="49"/>
      <c r="Q140" s="100"/>
      <c r="R140" s="49"/>
      <c r="S140" s="25"/>
      <c r="T140" s="49"/>
      <c r="U140" s="49"/>
      <c r="V140" s="49"/>
      <c r="W140" s="49"/>
      <c r="X140" s="49"/>
      <c r="Y140" s="49"/>
      <c r="Z140" s="49"/>
      <c r="AA140" s="49" t="s">
        <v>225</v>
      </c>
      <c r="AB140" s="49"/>
    </row>
    <row r="141" spans="1:28" x14ac:dyDescent="0.25">
      <c r="A141" t="str">
        <f>IF(EXACT('BOM A320 FFS'!B197,obsoleta!D141),"OK","ERROR")</f>
        <v>ERROR</v>
      </c>
      <c r="C141" s="48"/>
      <c r="D141" s="48" t="s">
        <v>3628</v>
      </c>
      <c r="E141" s="48"/>
      <c r="F141" s="28"/>
      <c r="G141" s="28"/>
      <c r="H141" s="28"/>
      <c r="I141" s="28"/>
      <c r="J141" s="40"/>
      <c r="K141" s="30"/>
      <c r="L141" s="30"/>
      <c r="M141" s="26"/>
      <c r="N141" s="26"/>
      <c r="O141" s="41"/>
      <c r="P141" s="41"/>
      <c r="Q141" s="98"/>
      <c r="R141" s="41"/>
      <c r="S141" s="30"/>
      <c r="T141" s="82"/>
      <c r="U141" s="82"/>
      <c r="V141" s="82"/>
      <c r="W141" s="82"/>
      <c r="X141" s="82"/>
      <c r="Y141" s="82"/>
      <c r="Z141" s="82"/>
      <c r="AA141" s="82" t="s">
        <v>225</v>
      </c>
      <c r="AB141" s="82"/>
    </row>
    <row r="142" spans="1:28" x14ac:dyDescent="0.25">
      <c r="A142" t="str">
        <f>IF(EXACT('BOM A320 FFS'!B198,obsoleta!D142),"OK","ERROR")</f>
        <v>ERROR</v>
      </c>
      <c r="C142" s="31" t="s">
        <v>169</v>
      </c>
      <c r="D142" s="31" t="s">
        <v>70</v>
      </c>
      <c r="E142" s="31"/>
      <c r="F142" s="32" t="s">
        <v>3714</v>
      </c>
      <c r="G142" s="32" t="s">
        <v>70</v>
      </c>
      <c r="H142" s="32" t="s">
        <v>70</v>
      </c>
      <c r="I142" s="32" t="s">
        <v>174</v>
      </c>
      <c r="J142" s="33">
        <v>2</v>
      </c>
      <c r="K142" s="34">
        <v>7000</v>
      </c>
      <c r="L142" s="35">
        <v>14000</v>
      </c>
      <c r="M142" s="36" t="s">
        <v>32</v>
      </c>
      <c r="N142" s="37">
        <v>1</v>
      </c>
      <c r="O142" s="35">
        <v>14000</v>
      </c>
      <c r="P142" s="35" t="s">
        <v>99</v>
      </c>
      <c r="Q142" s="97">
        <v>45442</v>
      </c>
      <c r="R142" s="35" t="s">
        <v>62</v>
      </c>
      <c r="S142" s="32"/>
      <c r="T142" s="78">
        <v>2</v>
      </c>
      <c r="U142" s="78"/>
      <c r="V142" s="78"/>
      <c r="W142" s="78" t="s">
        <v>175</v>
      </c>
      <c r="X142" s="78"/>
      <c r="Y142" s="78"/>
      <c r="Z142" s="78"/>
      <c r="AA142" s="78" t="s">
        <v>225</v>
      </c>
      <c r="AB142" s="78"/>
    </row>
    <row r="143" spans="1:28" x14ac:dyDescent="0.25">
      <c r="A143" t="e">
        <f>IF(EXACT('BOM A320 FFS'!#REF!,obsoleta!D143),"OK","ERROR")</f>
        <v>#REF!</v>
      </c>
      <c r="C143" s="31" t="s">
        <v>169</v>
      </c>
      <c r="D143" s="31" t="s">
        <v>70</v>
      </c>
      <c r="E143" s="31"/>
      <c r="F143" s="32" t="s">
        <v>3715</v>
      </c>
      <c r="G143" s="32" t="s">
        <v>70</v>
      </c>
      <c r="H143" s="32" t="s">
        <v>70</v>
      </c>
      <c r="I143" s="32" t="s">
        <v>174</v>
      </c>
      <c r="J143" s="33">
        <v>5</v>
      </c>
      <c r="K143" s="34">
        <v>9000</v>
      </c>
      <c r="L143" s="35">
        <v>45000</v>
      </c>
      <c r="M143" s="36" t="s">
        <v>32</v>
      </c>
      <c r="N143" s="37">
        <v>1</v>
      </c>
      <c r="O143" s="35">
        <v>45000</v>
      </c>
      <c r="P143" s="35" t="s">
        <v>99</v>
      </c>
      <c r="Q143" s="97">
        <v>45442</v>
      </c>
      <c r="R143" s="35" t="s">
        <v>62</v>
      </c>
      <c r="S143" s="32"/>
      <c r="T143" s="78">
        <v>2</v>
      </c>
      <c r="U143" s="78"/>
      <c r="V143" s="78"/>
      <c r="W143" s="78" t="s">
        <v>175</v>
      </c>
      <c r="X143" s="78"/>
      <c r="Y143" s="78"/>
      <c r="Z143" s="78"/>
      <c r="AA143" s="78" t="s">
        <v>225</v>
      </c>
      <c r="AB143" s="78"/>
    </row>
    <row r="144" spans="1:28" x14ac:dyDescent="0.25">
      <c r="A144" t="str">
        <f>IF(EXACT('BOM A320 FFS'!B199,obsoleta!D144),"OK","ERROR")</f>
        <v>ERROR</v>
      </c>
      <c r="C144" s="31" t="s">
        <v>169</v>
      </c>
      <c r="D144" s="31" t="s">
        <v>70</v>
      </c>
      <c r="E144" s="31"/>
      <c r="F144" s="32" t="s">
        <v>3716</v>
      </c>
      <c r="G144" s="32" t="s">
        <v>70</v>
      </c>
      <c r="H144" s="32" t="s">
        <v>70</v>
      </c>
      <c r="I144" s="32" t="s">
        <v>174</v>
      </c>
      <c r="J144" s="33">
        <v>2</v>
      </c>
      <c r="K144" s="34">
        <v>5500</v>
      </c>
      <c r="L144" s="35">
        <v>11000</v>
      </c>
      <c r="M144" s="36" t="s">
        <v>32</v>
      </c>
      <c r="N144" s="37">
        <v>1</v>
      </c>
      <c r="O144" s="35">
        <v>11000</v>
      </c>
      <c r="P144" s="35" t="s">
        <v>99</v>
      </c>
      <c r="Q144" s="97">
        <v>45442</v>
      </c>
      <c r="R144" s="35" t="s">
        <v>62</v>
      </c>
      <c r="S144" s="32" t="s">
        <v>196</v>
      </c>
      <c r="T144" s="78">
        <v>2</v>
      </c>
      <c r="U144" s="78"/>
      <c r="V144" s="78"/>
      <c r="W144" s="78" t="s">
        <v>175</v>
      </c>
      <c r="X144" s="78"/>
      <c r="Y144" s="78"/>
      <c r="Z144" s="78"/>
      <c r="AA144" s="78" t="s">
        <v>225</v>
      </c>
      <c r="AB144" s="78"/>
    </row>
    <row r="145" spans="1:28" x14ac:dyDescent="0.25">
      <c r="A145" t="e">
        <f>IF(EXACT('BOM A320 FFS'!#REF!,obsoleta!D145),"OK","ERROR")</f>
        <v>#REF!</v>
      </c>
      <c r="C145" s="31" t="s">
        <v>169</v>
      </c>
      <c r="D145" s="31" t="s">
        <v>70</v>
      </c>
      <c r="E145" s="31"/>
      <c r="F145" s="32" t="s">
        <v>3717</v>
      </c>
      <c r="G145" s="32" t="s">
        <v>70</v>
      </c>
      <c r="H145" s="32" t="s">
        <v>70</v>
      </c>
      <c r="I145" s="32" t="s">
        <v>174</v>
      </c>
      <c r="J145" s="33">
        <v>6</v>
      </c>
      <c r="K145" s="34">
        <v>4500</v>
      </c>
      <c r="L145" s="35">
        <v>27000</v>
      </c>
      <c r="M145" s="36" t="s">
        <v>32</v>
      </c>
      <c r="N145" s="37">
        <v>1</v>
      </c>
      <c r="O145" s="35">
        <v>27000</v>
      </c>
      <c r="P145" s="35" t="s">
        <v>99</v>
      </c>
      <c r="Q145" s="97">
        <v>45442</v>
      </c>
      <c r="R145" s="35" t="s">
        <v>62</v>
      </c>
      <c r="S145" s="32" t="s">
        <v>3718</v>
      </c>
      <c r="T145" s="78">
        <v>2</v>
      </c>
      <c r="U145" s="78"/>
      <c r="V145" s="78"/>
      <c r="W145" s="78" t="s">
        <v>175</v>
      </c>
      <c r="X145" s="78"/>
      <c r="Y145" s="78"/>
      <c r="Z145" s="78"/>
      <c r="AA145" s="78" t="s">
        <v>225</v>
      </c>
      <c r="AB145" s="78"/>
    </row>
    <row r="146" spans="1:28" x14ac:dyDescent="0.25">
      <c r="A146" t="str">
        <f>IF(EXACT('BOM A320 FFS'!B200,obsoleta!D146),"OK","ERROR")</f>
        <v>ERROR</v>
      </c>
      <c r="C146" s="31" t="s">
        <v>169</v>
      </c>
      <c r="D146" s="31" t="s">
        <v>239</v>
      </c>
      <c r="E146" s="31"/>
      <c r="F146" s="32" t="s">
        <v>240</v>
      </c>
      <c r="G146" s="32" t="s">
        <v>241</v>
      </c>
      <c r="H146" s="32" t="s">
        <v>242</v>
      </c>
      <c r="I146" s="32" t="s">
        <v>243</v>
      </c>
      <c r="J146" s="33">
        <v>2</v>
      </c>
      <c r="K146" s="34">
        <v>3000</v>
      </c>
      <c r="L146" s="35">
        <v>6000</v>
      </c>
      <c r="M146" s="36" t="s">
        <v>32</v>
      </c>
      <c r="N146" s="37">
        <v>1</v>
      </c>
      <c r="O146" s="35">
        <v>6000</v>
      </c>
      <c r="P146" s="35" t="s">
        <v>99</v>
      </c>
      <c r="Q146" s="97">
        <v>45442</v>
      </c>
      <c r="R146" s="35" t="s">
        <v>62</v>
      </c>
      <c r="S146" s="38"/>
      <c r="T146" s="78">
        <v>2</v>
      </c>
      <c r="U146" s="78"/>
      <c r="V146" s="78"/>
      <c r="W146" s="78" t="s">
        <v>175</v>
      </c>
      <c r="X146" s="78"/>
      <c r="Y146" s="78"/>
      <c r="Z146" s="78"/>
      <c r="AA146" s="78" t="s">
        <v>225</v>
      </c>
      <c r="AB146" s="78"/>
    </row>
    <row r="147" spans="1:28" x14ac:dyDescent="0.25">
      <c r="A147" t="e">
        <f>IF(EXACT('BOM A320 FFS'!#REF!,obsoleta!D147),"OK","ERROR")</f>
        <v>#REF!</v>
      </c>
      <c r="C147" s="31" t="s">
        <v>169</v>
      </c>
      <c r="D147" s="31" t="s">
        <v>3719</v>
      </c>
      <c r="E147" s="31"/>
      <c r="F147" s="32" t="s">
        <v>3720</v>
      </c>
      <c r="G147" s="32" t="s">
        <v>3721</v>
      </c>
      <c r="H147" s="32" t="s">
        <v>3722</v>
      </c>
      <c r="I147" s="32"/>
      <c r="J147" s="33">
        <v>24</v>
      </c>
      <c r="K147" s="34">
        <v>300</v>
      </c>
      <c r="L147" s="35">
        <v>7200</v>
      </c>
      <c r="M147" s="36" t="s">
        <v>32</v>
      </c>
      <c r="N147" s="37">
        <v>1</v>
      </c>
      <c r="O147" s="35">
        <v>7200</v>
      </c>
      <c r="P147" s="35" t="s">
        <v>99</v>
      </c>
      <c r="Q147" s="97">
        <v>45442</v>
      </c>
      <c r="R147" s="35" t="s">
        <v>62</v>
      </c>
      <c r="S147" s="38"/>
      <c r="T147" s="78">
        <v>2</v>
      </c>
      <c r="U147" s="78"/>
      <c r="V147" s="78"/>
      <c r="W147" s="78" t="s">
        <v>175</v>
      </c>
      <c r="X147" s="78"/>
      <c r="Y147" s="78"/>
      <c r="Z147" s="78"/>
      <c r="AA147" s="78" t="s">
        <v>225</v>
      </c>
      <c r="AB147" s="78"/>
    </row>
    <row r="148" spans="1:28" x14ac:dyDescent="0.25">
      <c r="A148" t="e">
        <f>IF(EXACT('BOM A320 FFS'!#REF!,obsoleta!D148),"OK","ERROR")</f>
        <v>#REF!</v>
      </c>
      <c r="C148" s="31" t="s">
        <v>169</v>
      </c>
      <c r="D148" s="31" t="s">
        <v>3723</v>
      </c>
      <c r="E148" s="31"/>
      <c r="F148" s="32" t="s">
        <v>3724</v>
      </c>
      <c r="G148" s="32" t="s">
        <v>3725</v>
      </c>
      <c r="H148" s="32" t="s">
        <v>242</v>
      </c>
      <c r="I148" s="32" t="s">
        <v>243</v>
      </c>
      <c r="J148" s="33">
        <v>2</v>
      </c>
      <c r="K148" s="34">
        <v>118.82</v>
      </c>
      <c r="L148" s="35">
        <v>237.64</v>
      </c>
      <c r="M148" s="36" t="s">
        <v>32</v>
      </c>
      <c r="N148" s="37">
        <v>1</v>
      </c>
      <c r="O148" s="35">
        <v>237.64</v>
      </c>
      <c r="P148" s="35" t="s">
        <v>99</v>
      </c>
      <c r="Q148" s="97">
        <v>45442</v>
      </c>
      <c r="R148" s="35" t="s">
        <v>62</v>
      </c>
      <c r="S148" s="38"/>
      <c r="T148" s="78">
        <v>2</v>
      </c>
      <c r="U148" s="78"/>
      <c r="V148" s="78"/>
      <c r="W148" s="78" t="s">
        <v>175</v>
      </c>
      <c r="X148" s="78"/>
      <c r="Y148" s="78"/>
      <c r="Z148" s="78"/>
      <c r="AA148" s="78" t="s">
        <v>225</v>
      </c>
      <c r="AB148" s="78"/>
    </row>
    <row r="149" spans="1:28" x14ac:dyDescent="0.25">
      <c r="A149" t="e">
        <f>IF(EXACT('BOM A320 FFS'!#REF!,obsoleta!D149),"OK","ERROR")</f>
        <v>#REF!</v>
      </c>
      <c r="C149" s="31" t="s">
        <v>169</v>
      </c>
      <c r="D149" s="31" t="s">
        <v>3726</v>
      </c>
      <c r="E149" s="31"/>
      <c r="F149" s="32" t="s">
        <v>3727</v>
      </c>
      <c r="G149" s="32" t="s">
        <v>3728</v>
      </c>
      <c r="H149" s="32" t="s">
        <v>70</v>
      </c>
      <c r="I149" s="32"/>
      <c r="J149" s="33">
        <v>3</v>
      </c>
      <c r="K149" s="34">
        <v>600</v>
      </c>
      <c r="L149" s="35">
        <v>1800</v>
      </c>
      <c r="M149" s="36" t="s">
        <v>32</v>
      </c>
      <c r="N149" s="37">
        <v>1</v>
      </c>
      <c r="O149" s="35">
        <v>1800</v>
      </c>
      <c r="P149" s="35" t="s">
        <v>99</v>
      </c>
      <c r="Q149" s="97">
        <v>45442</v>
      </c>
      <c r="R149" s="35" t="s">
        <v>62</v>
      </c>
      <c r="S149" s="38"/>
      <c r="T149" s="78">
        <v>2</v>
      </c>
      <c r="U149" s="78"/>
      <c r="V149" s="78"/>
      <c r="W149" s="78" t="s">
        <v>175</v>
      </c>
      <c r="X149" s="78"/>
      <c r="Y149" s="78"/>
      <c r="Z149" s="78"/>
      <c r="AA149" s="78" t="s">
        <v>225</v>
      </c>
      <c r="AB149" s="78"/>
    </row>
    <row r="150" spans="1:28" x14ac:dyDescent="0.25">
      <c r="A150" t="str">
        <f>IF(EXACT('BOM A320 FFS'!B205,obsoleta!D150),"OK","ERROR")</f>
        <v>ERROR</v>
      </c>
      <c r="C150" s="31" t="s">
        <v>169</v>
      </c>
      <c r="D150" s="71">
        <v>3060303930200</v>
      </c>
      <c r="E150" s="71"/>
      <c r="F150" s="32" t="s">
        <v>543</v>
      </c>
      <c r="G150" s="32" t="s">
        <v>544</v>
      </c>
      <c r="H150" s="32"/>
      <c r="I150" s="32"/>
      <c r="J150" s="33">
        <v>3</v>
      </c>
      <c r="K150" s="34">
        <v>200</v>
      </c>
      <c r="L150" s="35">
        <v>600</v>
      </c>
      <c r="M150" s="36" t="s">
        <v>32</v>
      </c>
      <c r="N150" s="37">
        <v>1</v>
      </c>
      <c r="O150" s="35">
        <v>600</v>
      </c>
      <c r="P150" s="35" t="s">
        <v>99</v>
      </c>
      <c r="Q150" s="97">
        <v>45442</v>
      </c>
      <c r="R150" s="35" t="s">
        <v>62</v>
      </c>
      <c r="S150" s="38"/>
      <c r="T150" s="78">
        <v>2</v>
      </c>
      <c r="U150" s="78"/>
      <c r="V150" s="78"/>
      <c r="W150" s="78" t="s">
        <v>175</v>
      </c>
      <c r="X150" s="78"/>
      <c r="Y150" s="78"/>
      <c r="Z150" s="78"/>
      <c r="AA150" s="78" t="s">
        <v>225</v>
      </c>
      <c r="AB150" s="78"/>
    </row>
    <row r="151" spans="1:28" x14ac:dyDescent="0.25">
      <c r="A151" t="str">
        <f>IF(EXACT('BOM A320 FFS'!B206,obsoleta!D151),"OK","ERROR")</f>
        <v>ERROR</v>
      </c>
      <c r="C151" s="31" t="s">
        <v>169</v>
      </c>
      <c r="D151" s="71">
        <v>3050501221300</v>
      </c>
      <c r="E151" s="71"/>
      <c r="F151" s="32" t="s">
        <v>626</v>
      </c>
      <c r="G151" s="32" t="s">
        <v>627</v>
      </c>
      <c r="H151" s="32"/>
      <c r="I151" s="32"/>
      <c r="J151" s="33">
        <v>3</v>
      </c>
      <c r="K151" s="34">
        <v>100</v>
      </c>
      <c r="L151" s="35">
        <v>300</v>
      </c>
      <c r="M151" s="36" t="s">
        <v>32</v>
      </c>
      <c r="N151" s="37">
        <v>1</v>
      </c>
      <c r="O151" s="35">
        <v>300</v>
      </c>
      <c r="P151" s="35" t="s">
        <v>99</v>
      </c>
      <c r="Q151" s="97">
        <v>45442</v>
      </c>
      <c r="R151" s="35" t="s">
        <v>62</v>
      </c>
      <c r="S151" s="38"/>
      <c r="T151" s="78">
        <v>2</v>
      </c>
      <c r="U151" s="78"/>
      <c r="V151" s="78"/>
      <c r="W151" s="78" t="s">
        <v>175</v>
      </c>
      <c r="X151" s="78"/>
      <c r="Y151" s="78"/>
      <c r="Z151" s="78"/>
      <c r="AA151" s="78" t="s">
        <v>225</v>
      </c>
      <c r="AB151" s="78"/>
    </row>
    <row r="152" spans="1:28" x14ac:dyDescent="0.25">
      <c r="A152" t="str">
        <f>IF(EXACT('BOM A320 FFS'!B207,obsoleta!D152),"OK","ERROR")</f>
        <v>ERROR</v>
      </c>
      <c r="C152" s="39"/>
      <c r="D152" s="39"/>
      <c r="E152" s="39"/>
      <c r="F152" s="28"/>
      <c r="G152" s="28"/>
      <c r="H152" s="28"/>
      <c r="I152" s="28"/>
      <c r="J152" s="40"/>
      <c r="K152" s="30"/>
      <c r="L152" s="30"/>
      <c r="M152" s="26"/>
      <c r="N152" s="45"/>
      <c r="O152" s="46"/>
      <c r="P152" s="46"/>
      <c r="Q152" s="99"/>
      <c r="R152" s="46"/>
      <c r="S152" s="47"/>
      <c r="T152" s="82"/>
      <c r="U152" s="82"/>
      <c r="V152" s="82"/>
      <c r="W152" s="82"/>
      <c r="X152" s="82"/>
      <c r="Y152" s="82"/>
      <c r="Z152" s="82"/>
      <c r="AA152" s="82" t="s">
        <v>225</v>
      </c>
      <c r="AB152" s="82"/>
    </row>
    <row r="153" spans="1:28" x14ac:dyDescent="0.25">
      <c r="A153" t="str">
        <f>IF(EXACT('BOM A320 FFS'!B209,obsoleta!D153),"OK","ERROR")</f>
        <v>ERROR</v>
      </c>
      <c r="C153" s="48"/>
      <c r="D153" s="48" t="s">
        <v>3629</v>
      </c>
      <c r="E153" s="48"/>
      <c r="F153" s="28"/>
      <c r="G153" s="28"/>
      <c r="H153" s="28"/>
      <c r="I153" s="28"/>
      <c r="J153" s="40"/>
      <c r="K153" s="55"/>
      <c r="L153" s="30"/>
      <c r="M153" s="30"/>
      <c r="N153" s="30"/>
      <c r="O153" s="41"/>
      <c r="P153" s="41"/>
      <c r="Q153" s="98"/>
      <c r="R153" s="41"/>
      <c r="S153" s="30"/>
      <c r="T153" s="82"/>
      <c r="U153" s="82"/>
      <c r="V153" s="82"/>
      <c r="W153" s="82"/>
      <c r="X153" s="82"/>
      <c r="Y153" s="82"/>
      <c r="Z153" s="82"/>
      <c r="AA153" s="82" t="s">
        <v>225</v>
      </c>
      <c r="AB153" s="82"/>
    </row>
    <row r="154" spans="1:28" x14ac:dyDescent="0.25">
      <c r="A154" t="str">
        <f>IF(EXACT('BOM A320 FFS'!B210,obsoleta!D154),"OK","ERROR")</f>
        <v>ERROR</v>
      </c>
      <c r="C154" s="31" t="s">
        <v>169</v>
      </c>
      <c r="D154" s="71">
        <v>1218000070000</v>
      </c>
      <c r="E154" s="71"/>
      <c r="F154" s="32" t="s">
        <v>619</v>
      </c>
      <c r="G154" s="32" t="s">
        <v>620</v>
      </c>
      <c r="H154" s="32" t="s">
        <v>621</v>
      </c>
      <c r="I154" s="32" t="s">
        <v>622</v>
      </c>
      <c r="J154" s="33">
        <v>16</v>
      </c>
      <c r="K154" s="34">
        <v>100</v>
      </c>
      <c r="L154" s="35">
        <v>1600</v>
      </c>
      <c r="M154" s="36" t="s">
        <v>32</v>
      </c>
      <c r="N154" s="37">
        <v>1</v>
      </c>
      <c r="O154" s="35">
        <v>1600</v>
      </c>
      <c r="P154" s="35" t="s">
        <v>99</v>
      </c>
      <c r="Q154" s="97">
        <v>45442</v>
      </c>
      <c r="R154" s="35" t="s">
        <v>62</v>
      </c>
      <c r="S154" s="38"/>
      <c r="T154" s="78">
        <v>2</v>
      </c>
      <c r="U154" s="78"/>
      <c r="V154" s="78"/>
      <c r="W154" s="78" t="s">
        <v>175</v>
      </c>
      <c r="X154" s="78"/>
      <c r="Y154" s="78"/>
      <c r="Z154" s="78"/>
      <c r="AA154" s="78" t="s">
        <v>225</v>
      </c>
      <c r="AB154" s="78"/>
    </row>
    <row r="155" spans="1:28" x14ac:dyDescent="0.25">
      <c r="A155" t="str">
        <f>IF(EXACT('BOM A320 FFS'!B211,obsoleta!D155),"OK","ERROR")</f>
        <v>ERROR</v>
      </c>
      <c r="C155" s="31" t="s">
        <v>169</v>
      </c>
      <c r="D155" s="71">
        <v>3170100013000</v>
      </c>
      <c r="E155" s="71"/>
      <c r="F155" s="32" t="s">
        <v>588</v>
      </c>
      <c r="G155" s="32" t="s">
        <v>589</v>
      </c>
      <c r="H155" s="32" t="s">
        <v>358</v>
      </c>
      <c r="I155" s="32" t="s">
        <v>260</v>
      </c>
      <c r="J155" s="33">
        <v>4</v>
      </c>
      <c r="K155" s="34">
        <v>134</v>
      </c>
      <c r="L155" s="35">
        <v>536</v>
      </c>
      <c r="M155" s="36" t="s">
        <v>32</v>
      </c>
      <c r="N155" s="37">
        <v>1</v>
      </c>
      <c r="O155" s="35">
        <v>536</v>
      </c>
      <c r="P155" s="35" t="s">
        <v>99</v>
      </c>
      <c r="Q155" s="97">
        <v>45442</v>
      </c>
      <c r="R155" s="35" t="s">
        <v>62</v>
      </c>
      <c r="S155" s="38"/>
      <c r="T155" s="78">
        <v>2</v>
      </c>
      <c r="U155" s="78"/>
      <c r="V155" s="78"/>
      <c r="W155" s="78" t="s">
        <v>175</v>
      </c>
      <c r="X155" s="78"/>
      <c r="Y155" s="78"/>
      <c r="Z155" s="78"/>
      <c r="AA155" s="78" t="s">
        <v>225</v>
      </c>
      <c r="AB155" s="78"/>
    </row>
    <row r="156" spans="1:28" x14ac:dyDescent="0.25">
      <c r="A156" t="str">
        <f>IF(EXACT('BOM A320 FFS'!B212,obsoleta!D156),"OK","ERROR")</f>
        <v>ERROR</v>
      </c>
      <c r="C156" s="31" t="s">
        <v>169</v>
      </c>
      <c r="D156" s="31" t="s">
        <v>70</v>
      </c>
      <c r="E156" s="31"/>
      <c r="F156" s="32" t="s">
        <v>727</v>
      </c>
      <c r="G156" s="32" t="s">
        <v>728</v>
      </c>
      <c r="H156" s="32" t="s">
        <v>358</v>
      </c>
      <c r="I156" s="32" t="s">
        <v>260</v>
      </c>
      <c r="J156" s="33">
        <v>2</v>
      </c>
      <c r="K156" s="34">
        <v>60</v>
      </c>
      <c r="L156" s="35">
        <v>120</v>
      </c>
      <c r="M156" s="36" t="s">
        <v>32</v>
      </c>
      <c r="N156" s="37">
        <v>1</v>
      </c>
      <c r="O156" s="35">
        <v>120</v>
      </c>
      <c r="P156" s="35" t="s">
        <v>99</v>
      </c>
      <c r="Q156" s="97">
        <v>45442</v>
      </c>
      <c r="R156" s="35" t="s">
        <v>62</v>
      </c>
      <c r="S156" s="38"/>
      <c r="T156" s="78">
        <v>2</v>
      </c>
      <c r="U156" s="78"/>
      <c r="V156" s="78"/>
      <c r="W156" s="78" t="s">
        <v>175</v>
      </c>
      <c r="X156" s="78"/>
      <c r="Y156" s="78"/>
      <c r="Z156" s="78"/>
      <c r="AA156" s="78" t="s">
        <v>225</v>
      </c>
      <c r="AB156" s="78"/>
    </row>
    <row r="157" spans="1:28" x14ac:dyDescent="0.25">
      <c r="A157" t="str">
        <f>IF(EXACT('BOM A320 FFS'!B213,obsoleta!D157),"OK","ERROR")</f>
        <v>ERROR</v>
      </c>
      <c r="C157" s="31" t="s">
        <v>169</v>
      </c>
      <c r="D157" s="71">
        <v>3120500340100</v>
      </c>
      <c r="E157" s="71"/>
      <c r="F157" s="32" t="s">
        <v>356</v>
      </c>
      <c r="G157" s="32" t="s">
        <v>357</v>
      </c>
      <c r="H157" s="32" t="s">
        <v>358</v>
      </c>
      <c r="I157" s="32" t="s">
        <v>260</v>
      </c>
      <c r="J157" s="33">
        <v>4</v>
      </c>
      <c r="K157" s="34">
        <v>859</v>
      </c>
      <c r="L157" s="35">
        <v>3436</v>
      </c>
      <c r="M157" s="36" t="s">
        <v>32</v>
      </c>
      <c r="N157" s="37">
        <v>1</v>
      </c>
      <c r="O157" s="35">
        <v>3436</v>
      </c>
      <c r="P157" s="35" t="s">
        <v>99</v>
      </c>
      <c r="Q157" s="97">
        <v>45442</v>
      </c>
      <c r="R157" s="35" t="s">
        <v>62</v>
      </c>
      <c r="S157" s="38"/>
      <c r="T157" s="78">
        <v>2</v>
      </c>
      <c r="U157" s="78"/>
      <c r="V157" s="78"/>
      <c r="W157" s="78" t="s">
        <v>175</v>
      </c>
      <c r="X157" s="78"/>
      <c r="Y157" s="78"/>
      <c r="Z157" s="78"/>
      <c r="AA157" s="78" t="s">
        <v>225</v>
      </c>
      <c r="AB157" s="78"/>
    </row>
    <row r="158" spans="1:28" x14ac:dyDescent="0.25">
      <c r="A158" t="str">
        <f>IF(EXACT('BOM A320 FFS'!B216,obsoleta!D158),"OK","ERROR")</f>
        <v>ERROR</v>
      </c>
      <c r="C158" s="32" t="s">
        <v>169</v>
      </c>
      <c r="D158" s="70">
        <v>1701501350400</v>
      </c>
      <c r="E158" s="70"/>
      <c r="F158" s="31" t="s">
        <v>3729</v>
      </c>
      <c r="G158" s="32" t="s">
        <v>3730</v>
      </c>
      <c r="H158" s="32" t="s">
        <v>358</v>
      </c>
      <c r="I158" s="32" t="s">
        <v>260</v>
      </c>
      <c r="J158" s="33">
        <v>2</v>
      </c>
      <c r="K158" s="34">
        <v>1500</v>
      </c>
      <c r="L158" s="35">
        <v>3000</v>
      </c>
      <c r="M158" s="36" t="s">
        <v>32</v>
      </c>
      <c r="N158" s="37">
        <v>1</v>
      </c>
      <c r="O158" s="35">
        <v>3000</v>
      </c>
      <c r="P158" s="35" t="s">
        <v>99</v>
      </c>
      <c r="Q158" s="97">
        <v>45442</v>
      </c>
      <c r="R158" s="35" t="s">
        <v>62</v>
      </c>
      <c r="S158" s="38"/>
      <c r="T158" s="78">
        <v>2</v>
      </c>
      <c r="U158" s="78"/>
      <c r="V158" s="78"/>
      <c r="W158" s="78" t="s">
        <v>175</v>
      </c>
      <c r="X158" s="78"/>
      <c r="Y158" s="78"/>
      <c r="Z158" s="78"/>
      <c r="AA158" s="78" t="s">
        <v>225</v>
      </c>
      <c r="AB158" s="78"/>
    </row>
    <row r="159" spans="1:28" x14ac:dyDescent="0.25">
      <c r="A159" t="str">
        <f>IF(EXACT('BOM A320 FFS'!B217,obsoleta!D159),"OK","ERROR")</f>
        <v>ERROR</v>
      </c>
      <c r="C159" s="32" t="s">
        <v>169</v>
      </c>
      <c r="D159" s="70">
        <v>1709904470000</v>
      </c>
      <c r="E159" s="70"/>
      <c r="F159" s="31" t="s">
        <v>426</v>
      </c>
      <c r="G159" s="32" t="s">
        <v>427</v>
      </c>
      <c r="H159" s="32" t="s">
        <v>358</v>
      </c>
      <c r="I159" s="32" t="s">
        <v>260</v>
      </c>
      <c r="J159" s="33">
        <v>2</v>
      </c>
      <c r="K159" s="34">
        <v>500</v>
      </c>
      <c r="L159" s="35">
        <v>1000</v>
      </c>
      <c r="M159" s="36" t="s">
        <v>32</v>
      </c>
      <c r="N159" s="37">
        <v>1</v>
      </c>
      <c r="O159" s="35">
        <v>1000</v>
      </c>
      <c r="P159" s="35" t="s">
        <v>99</v>
      </c>
      <c r="Q159" s="97">
        <v>45442</v>
      </c>
      <c r="R159" s="35" t="s">
        <v>62</v>
      </c>
      <c r="S159" s="38"/>
      <c r="T159" s="78">
        <v>2</v>
      </c>
      <c r="U159" s="78"/>
      <c r="V159" s="78"/>
      <c r="W159" s="78" t="s">
        <v>175</v>
      </c>
      <c r="X159" s="78"/>
      <c r="Y159" s="78"/>
      <c r="Z159" s="78"/>
      <c r="AA159" s="78" t="s">
        <v>225</v>
      </c>
      <c r="AB159" s="78"/>
    </row>
    <row r="160" spans="1:28" x14ac:dyDescent="0.25">
      <c r="A160" t="str">
        <f>IF(EXACT('BOM A320 FFS'!B218,obsoleta!D160),"OK","ERROR")</f>
        <v>ERROR</v>
      </c>
      <c r="C160" s="32" t="s">
        <v>169</v>
      </c>
      <c r="D160" s="70">
        <v>1709904470100</v>
      </c>
      <c r="E160" s="70"/>
      <c r="F160" s="31" t="s">
        <v>721</v>
      </c>
      <c r="G160" s="32" t="s">
        <v>722</v>
      </c>
      <c r="H160" s="32" t="s">
        <v>358</v>
      </c>
      <c r="I160" s="32" t="s">
        <v>260</v>
      </c>
      <c r="J160" s="33">
        <v>2</v>
      </c>
      <c r="K160" s="34">
        <v>65</v>
      </c>
      <c r="L160" s="35">
        <v>130</v>
      </c>
      <c r="M160" s="36" t="s">
        <v>32</v>
      </c>
      <c r="N160" s="37">
        <v>1</v>
      </c>
      <c r="O160" s="35">
        <v>130</v>
      </c>
      <c r="P160" s="35" t="s">
        <v>99</v>
      </c>
      <c r="Q160" s="97">
        <v>45442</v>
      </c>
      <c r="R160" s="35" t="s">
        <v>62</v>
      </c>
      <c r="S160" s="38"/>
      <c r="T160" s="78">
        <v>2</v>
      </c>
      <c r="U160" s="78"/>
      <c r="V160" s="78"/>
      <c r="W160" s="78" t="s">
        <v>175</v>
      </c>
      <c r="X160" s="78"/>
      <c r="Y160" s="78"/>
      <c r="Z160" s="78"/>
      <c r="AA160" s="78" t="s">
        <v>225</v>
      </c>
      <c r="AB160" s="78"/>
    </row>
    <row r="161" spans="1:28" x14ac:dyDescent="0.25">
      <c r="A161" t="str">
        <f>IF(EXACT('BOM A320 FFS'!B219,obsoleta!D161),"OK","ERROR")</f>
        <v>ERROR</v>
      </c>
      <c r="C161" s="32" t="s">
        <v>169</v>
      </c>
      <c r="D161" s="70">
        <v>1705502541000</v>
      </c>
      <c r="E161" s="70"/>
      <c r="F161" s="31" t="s">
        <v>3142</v>
      </c>
      <c r="G161" s="32" t="s">
        <v>3143</v>
      </c>
      <c r="H161" s="32" t="s">
        <v>358</v>
      </c>
      <c r="I161" s="32" t="s">
        <v>260</v>
      </c>
      <c r="J161" s="33">
        <v>2</v>
      </c>
      <c r="K161" s="34"/>
      <c r="L161" s="35">
        <v>0</v>
      </c>
      <c r="M161" s="36" t="s">
        <v>32</v>
      </c>
      <c r="N161" s="37">
        <v>1</v>
      </c>
      <c r="O161" s="35">
        <v>0</v>
      </c>
      <c r="P161" s="35" t="s">
        <v>99</v>
      </c>
      <c r="Q161" s="97">
        <v>45442</v>
      </c>
      <c r="R161" s="35" t="s">
        <v>62</v>
      </c>
      <c r="S161" s="38"/>
      <c r="T161" s="78">
        <v>2</v>
      </c>
      <c r="U161" s="78"/>
      <c r="V161" s="78"/>
      <c r="W161" s="78" t="s">
        <v>175</v>
      </c>
      <c r="X161" s="78"/>
      <c r="Y161" s="78"/>
      <c r="Z161" s="78"/>
      <c r="AA161" s="78" t="s">
        <v>225</v>
      </c>
      <c r="AB161" s="78"/>
    </row>
    <row r="162" spans="1:28" x14ac:dyDescent="0.25">
      <c r="A162" t="str">
        <f>IF(EXACT('BOM A320 FFS'!B220,obsoleta!D162),"OK","ERROR")</f>
        <v>ERROR</v>
      </c>
      <c r="C162" s="32" t="s">
        <v>169</v>
      </c>
      <c r="D162" s="70">
        <v>1702002020100</v>
      </c>
      <c r="E162" s="70"/>
      <c r="F162" s="31" t="s">
        <v>472</v>
      </c>
      <c r="G162" s="32" t="s">
        <v>473</v>
      </c>
      <c r="H162" s="32" t="s">
        <v>358</v>
      </c>
      <c r="I162" s="32" t="s">
        <v>260</v>
      </c>
      <c r="J162" s="33">
        <v>4</v>
      </c>
      <c r="K162" s="34">
        <v>300</v>
      </c>
      <c r="L162" s="35">
        <v>1200</v>
      </c>
      <c r="M162" s="36" t="s">
        <v>32</v>
      </c>
      <c r="N162" s="37">
        <v>1</v>
      </c>
      <c r="O162" s="35">
        <v>1200</v>
      </c>
      <c r="P162" s="35" t="s">
        <v>99</v>
      </c>
      <c r="Q162" s="97">
        <v>45442</v>
      </c>
      <c r="R162" s="35" t="s">
        <v>62</v>
      </c>
      <c r="S162" s="38"/>
      <c r="T162" s="78">
        <v>2</v>
      </c>
      <c r="U162" s="78"/>
      <c r="V162" s="78"/>
      <c r="W162" s="78" t="s">
        <v>175</v>
      </c>
      <c r="X162" s="78"/>
      <c r="Y162" s="78"/>
      <c r="Z162" s="78"/>
      <c r="AA162" s="78" t="s">
        <v>225</v>
      </c>
      <c r="AB162" s="78"/>
    </row>
    <row r="163" spans="1:28" x14ac:dyDescent="0.25">
      <c r="A163" t="str">
        <f>IF(EXACT('BOM A320 FFS'!B221,obsoleta!D163),"OK","ERROR")</f>
        <v>ERROR</v>
      </c>
      <c r="C163" s="32" t="s">
        <v>169</v>
      </c>
      <c r="D163" s="70">
        <v>1509016016091</v>
      </c>
      <c r="E163" s="70"/>
      <c r="F163" s="31" t="s">
        <v>1519</v>
      </c>
      <c r="G163" s="32" t="s">
        <v>1520</v>
      </c>
      <c r="H163" s="32"/>
      <c r="I163" s="32"/>
      <c r="J163" s="33">
        <v>5</v>
      </c>
      <c r="K163" s="34">
        <v>4</v>
      </c>
      <c r="L163" s="35">
        <v>20</v>
      </c>
      <c r="M163" s="36" t="s">
        <v>32</v>
      </c>
      <c r="N163" s="37">
        <v>1</v>
      </c>
      <c r="O163" s="35">
        <v>20</v>
      </c>
      <c r="P163" s="35" t="s">
        <v>99</v>
      </c>
      <c r="Q163" s="97">
        <v>45442</v>
      </c>
      <c r="R163" s="35" t="s">
        <v>62</v>
      </c>
      <c r="S163" s="38"/>
      <c r="T163" s="78">
        <v>2</v>
      </c>
      <c r="U163" s="78"/>
      <c r="V163" s="78"/>
      <c r="W163" s="78" t="s">
        <v>175</v>
      </c>
      <c r="X163" s="78"/>
      <c r="Y163" s="78"/>
      <c r="Z163" s="78"/>
      <c r="AA163" s="78" t="s">
        <v>225</v>
      </c>
      <c r="AB163" s="78"/>
    </row>
    <row r="164" spans="1:28" x14ac:dyDescent="0.25">
      <c r="A164" t="str">
        <f>IF(EXACT('BOM A320 FFS'!B224,obsoleta!D164),"OK","ERROR")</f>
        <v>ERROR</v>
      </c>
      <c r="C164" s="32" t="s">
        <v>169</v>
      </c>
      <c r="D164" s="70">
        <v>1539090003090</v>
      </c>
      <c r="E164" s="70"/>
      <c r="F164" s="31" t="s">
        <v>1620</v>
      </c>
      <c r="G164" s="32" t="s">
        <v>1621</v>
      </c>
      <c r="H164" s="32"/>
      <c r="I164" s="32"/>
      <c r="J164" s="33">
        <v>200</v>
      </c>
      <c r="K164" s="34">
        <v>2</v>
      </c>
      <c r="L164" s="35">
        <v>400</v>
      </c>
      <c r="M164" s="36" t="s">
        <v>32</v>
      </c>
      <c r="N164" s="37">
        <v>1</v>
      </c>
      <c r="O164" s="35">
        <v>400</v>
      </c>
      <c r="P164" s="35" t="s">
        <v>99</v>
      </c>
      <c r="Q164" s="97">
        <v>45442</v>
      </c>
      <c r="R164" s="35" t="s">
        <v>62</v>
      </c>
      <c r="S164" s="38"/>
      <c r="T164" s="78">
        <v>2</v>
      </c>
      <c r="U164" s="78"/>
      <c r="V164" s="78"/>
      <c r="W164" s="78" t="s">
        <v>175</v>
      </c>
      <c r="X164" s="78"/>
      <c r="Y164" s="78"/>
      <c r="Z164" s="78"/>
      <c r="AA164" s="78" t="s">
        <v>225</v>
      </c>
      <c r="AB164" s="78"/>
    </row>
    <row r="165" spans="1:28" x14ac:dyDescent="0.25">
      <c r="A165" t="str">
        <f>IF(EXACT('BOM A320 FFS'!B225,obsoleta!D165),"OK","ERROR")</f>
        <v>ERROR</v>
      </c>
      <c r="C165" s="32" t="s">
        <v>169</v>
      </c>
      <c r="D165" s="70">
        <v>1549090009090</v>
      </c>
      <c r="E165" s="70"/>
      <c r="F165" s="31" t="s">
        <v>1616</v>
      </c>
      <c r="G165" s="32" t="s">
        <v>1617</v>
      </c>
      <c r="H165" s="32"/>
      <c r="I165" s="32"/>
      <c r="J165" s="33">
        <v>200</v>
      </c>
      <c r="K165" s="34">
        <v>2</v>
      </c>
      <c r="L165" s="35">
        <v>400</v>
      </c>
      <c r="M165" s="36" t="s">
        <v>32</v>
      </c>
      <c r="N165" s="37">
        <v>1</v>
      </c>
      <c r="O165" s="35">
        <v>400</v>
      </c>
      <c r="P165" s="35" t="s">
        <v>99</v>
      </c>
      <c r="Q165" s="97">
        <v>45442</v>
      </c>
      <c r="R165" s="35" t="s">
        <v>62</v>
      </c>
      <c r="S165" s="38"/>
      <c r="T165" s="78">
        <v>2</v>
      </c>
      <c r="U165" s="78"/>
      <c r="V165" s="78"/>
      <c r="W165" s="78" t="s">
        <v>175</v>
      </c>
      <c r="X165" s="78"/>
      <c r="Y165" s="78"/>
      <c r="Z165" s="78"/>
      <c r="AA165" s="78" t="s">
        <v>225</v>
      </c>
      <c r="AB165" s="78"/>
    </row>
    <row r="166" spans="1:28" x14ac:dyDescent="0.25">
      <c r="A166" t="str">
        <f>IF(EXACT('BOM A320 FFS'!B227,obsoleta!D166),"OK","ERROR")</f>
        <v>ERROR</v>
      </c>
      <c r="C166" s="32" t="s">
        <v>169</v>
      </c>
      <c r="D166" s="70">
        <v>1705502500200</v>
      </c>
      <c r="E166" s="70"/>
      <c r="F166" s="31" t="s">
        <v>1076</v>
      </c>
      <c r="G166" s="32" t="s">
        <v>1077</v>
      </c>
      <c r="H166" s="32"/>
      <c r="I166" s="32"/>
      <c r="J166" s="33">
        <v>200</v>
      </c>
      <c r="K166" s="34">
        <v>30</v>
      </c>
      <c r="L166" s="35">
        <v>6000</v>
      </c>
      <c r="M166" s="36" t="s">
        <v>32</v>
      </c>
      <c r="N166" s="37">
        <v>1</v>
      </c>
      <c r="O166" s="35">
        <v>6000</v>
      </c>
      <c r="P166" s="35" t="s">
        <v>99</v>
      </c>
      <c r="Q166" s="97">
        <v>45442</v>
      </c>
      <c r="R166" s="35" t="s">
        <v>62</v>
      </c>
      <c r="S166" s="38"/>
      <c r="T166" s="78">
        <v>2</v>
      </c>
      <c r="U166" s="78"/>
      <c r="V166" s="78"/>
      <c r="W166" s="78" t="s">
        <v>175</v>
      </c>
      <c r="X166" s="78"/>
      <c r="Y166" s="78"/>
      <c r="Z166" s="78"/>
      <c r="AA166" s="78" t="s">
        <v>225</v>
      </c>
      <c r="AB166" s="78"/>
    </row>
    <row r="167" spans="1:28" x14ac:dyDescent="0.25">
      <c r="A167" t="str">
        <f>IF(EXACT('BOM A320 FFS'!B228,obsoleta!D167),"OK","ERROR")</f>
        <v>ERROR</v>
      </c>
      <c r="C167" s="32" t="s">
        <v>169</v>
      </c>
      <c r="D167" s="70">
        <v>1709900033000</v>
      </c>
      <c r="E167" s="70"/>
      <c r="F167" s="31" t="s">
        <v>3169</v>
      </c>
      <c r="G167" s="32" t="s">
        <v>2626</v>
      </c>
      <c r="H167" s="32"/>
      <c r="I167" s="32"/>
      <c r="J167" s="33">
        <v>6</v>
      </c>
      <c r="K167" s="34"/>
      <c r="L167" s="35">
        <v>0</v>
      </c>
      <c r="M167" s="36" t="s">
        <v>32</v>
      </c>
      <c r="N167" s="37">
        <v>1</v>
      </c>
      <c r="O167" s="35">
        <v>0</v>
      </c>
      <c r="P167" s="35" t="s">
        <v>99</v>
      </c>
      <c r="Q167" s="97">
        <v>45442</v>
      </c>
      <c r="R167" s="35" t="s">
        <v>62</v>
      </c>
      <c r="S167" s="38"/>
      <c r="T167" s="78">
        <v>2</v>
      </c>
      <c r="U167" s="78"/>
      <c r="V167" s="78"/>
      <c r="W167" s="78" t="s">
        <v>175</v>
      </c>
      <c r="X167" s="78"/>
      <c r="Y167" s="78"/>
      <c r="Z167" s="78"/>
      <c r="AA167" s="78" t="s">
        <v>225</v>
      </c>
      <c r="AB167" s="78"/>
    </row>
    <row r="168" spans="1:28" x14ac:dyDescent="0.25">
      <c r="A168" t="str">
        <f>IF(EXACT('BOM A320 FFS'!B230,obsoleta!D168),"OK","ERROR")</f>
        <v>ERROR</v>
      </c>
      <c r="C168" s="32" t="s">
        <v>169</v>
      </c>
      <c r="D168" s="70">
        <v>7883000040200</v>
      </c>
      <c r="E168" s="70"/>
      <c r="F168" s="31" t="s">
        <v>2796</v>
      </c>
      <c r="G168" s="32" t="s">
        <v>2797</v>
      </c>
      <c r="H168" s="32"/>
      <c r="I168" s="32"/>
      <c r="J168" s="33">
        <v>7</v>
      </c>
      <c r="K168" s="34"/>
      <c r="L168" s="35">
        <v>0</v>
      </c>
      <c r="M168" s="36" t="s">
        <v>32</v>
      </c>
      <c r="N168" s="37">
        <v>1</v>
      </c>
      <c r="O168" s="35">
        <v>0</v>
      </c>
      <c r="P168" s="35" t="s">
        <v>99</v>
      </c>
      <c r="Q168" s="97">
        <v>45442</v>
      </c>
      <c r="R168" s="35" t="s">
        <v>62</v>
      </c>
      <c r="S168" s="38"/>
      <c r="T168" s="78">
        <v>2</v>
      </c>
      <c r="U168" s="78"/>
      <c r="V168" s="78"/>
      <c r="W168" s="78" t="s">
        <v>175</v>
      </c>
      <c r="X168" s="78"/>
      <c r="Y168" s="78"/>
      <c r="Z168" s="78"/>
      <c r="AA168" s="78" t="s">
        <v>225</v>
      </c>
      <c r="AB168" s="78"/>
    </row>
    <row r="169" spans="1:28" x14ac:dyDescent="0.25">
      <c r="A169" t="str">
        <f>IF(EXACT('BOM A320 FFS'!B231,obsoleta!D169),"OK","ERROR")</f>
        <v>ERROR</v>
      </c>
      <c r="C169" s="32" t="s">
        <v>169</v>
      </c>
      <c r="D169" s="70">
        <v>1238590011400</v>
      </c>
      <c r="E169" s="70"/>
      <c r="F169" s="31" t="s">
        <v>2449</v>
      </c>
      <c r="G169" s="32" t="s">
        <v>2450</v>
      </c>
      <c r="H169" s="32"/>
      <c r="I169" s="32"/>
      <c r="J169" s="33">
        <v>2</v>
      </c>
      <c r="K169" s="34"/>
      <c r="L169" s="35">
        <v>0</v>
      </c>
      <c r="M169" s="36" t="s">
        <v>32</v>
      </c>
      <c r="N169" s="37">
        <v>1</v>
      </c>
      <c r="O169" s="35">
        <v>0</v>
      </c>
      <c r="P169" s="35" t="s">
        <v>99</v>
      </c>
      <c r="Q169" s="97">
        <v>45442</v>
      </c>
      <c r="R169" s="35" t="s">
        <v>62</v>
      </c>
      <c r="S169" s="38"/>
      <c r="T169" s="78">
        <v>2</v>
      </c>
      <c r="U169" s="78"/>
      <c r="V169" s="78"/>
      <c r="W169" s="78" t="s">
        <v>175</v>
      </c>
      <c r="X169" s="78"/>
      <c r="Y169" s="78"/>
      <c r="Z169" s="78"/>
      <c r="AA169" s="78" t="s">
        <v>225</v>
      </c>
      <c r="AB169" s="78"/>
    </row>
    <row r="170" spans="1:28" x14ac:dyDescent="0.25">
      <c r="A170" t="str">
        <f>IF(EXACT('BOM A320 FFS'!B232,obsoleta!D170),"OK","ERROR")</f>
        <v>ERROR</v>
      </c>
      <c r="C170" s="32" t="s">
        <v>169</v>
      </c>
      <c r="D170" s="32" t="s">
        <v>70</v>
      </c>
      <c r="E170" s="32"/>
      <c r="F170" s="31" t="s">
        <v>2433</v>
      </c>
      <c r="G170" s="32" t="s">
        <v>2434</v>
      </c>
      <c r="H170" s="32"/>
      <c r="I170" s="32"/>
      <c r="J170" s="33">
        <v>20</v>
      </c>
      <c r="K170" s="34"/>
      <c r="L170" s="35">
        <v>0</v>
      </c>
      <c r="M170" s="36" t="s">
        <v>32</v>
      </c>
      <c r="N170" s="37">
        <v>1</v>
      </c>
      <c r="O170" s="35">
        <v>0</v>
      </c>
      <c r="P170" s="35" t="s">
        <v>99</v>
      </c>
      <c r="Q170" s="97">
        <v>45442</v>
      </c>
      <c r="R170" s="35" t="s">
        <v>62</v>
      </c>
      <c r="S170" s="38"/>
      <c r="T170" s="78">
        <v>2</v>
      </c>
      <c r="U170" s="78"/>
      <c r="V170" s="78"/>
      <c r="W170" s="78" t="s">
        <v>175</v>
      </c>
      <c r="X170" s="78"/>
      <c r="Y170" s="78"/>
      <c r="Z170" s="78"/>
      <c r="AA170" s="78" t="s">
        <v>225</v>
      </c>
      <c r="AB170" s="78"/>
    </row>
    <row r="171" spans="1:28" x14ac:dyDescent="0.25">
      <c r="A171" t="str">
        <f>IF(EXACT('BOM A320 FFS'!B233,obsoleta!D171),"OK","ERROR")</f>
        <v>ERROR</v>
      </c>
      <c r="C171" s="32" t="s">
        <v>169</v>
      </c>
      <c r="D171" s="70">
        <v>1238024634001</v>
      </c>
      <c r="E171" s="70"/>
      <c r="F171" s="31" t="s">
        <v>2431</v>
      </c>
      <c r="G171" s="32" t="s">
        <v>2432</v>
      </c>
      <c r="H171" s="32"/>
      <c r="I171" s="32"/>
      <c r="J171" s="33">
        <v>50</v>
      </c>
      <c r="K171" s="34"/>
      <c r="L171" s="35">
        <v>0</v>
      </c>
      <c r="M171" s="36" t="s">
        <v>32</v>
      </c>
      <c r="N171" s="37">
        <v>1</v>
      </c>
      <c r="O171" s="35">
        <v>0</v>
      </c>
      <c r="P171" s="35" t="s">
        <v>99</v>
      </c>
      <c r="Q171" s="97">
        <v>45442</v>
      </c>
      <c r="R171" s="35" t="s">
        <v>62</v>
      </c>
      <c r="S171" s="38"/>
      <c r="T171" s="78">
        <v>2</v>
      </c>
      <c r="U171" s="78"/>
      <c r="V171" s="78"/>
      <c r="W171" s="78" t="s">
        <v>175</v>
      </c>
      <c r="X171" s="78"/>
      <c r="Y171" s="78"/>
      <c r="Z171" s="78"/>
      <c r="AA171" s="78" t="s">
        <v>225</v>
      </c>
      <c r="AB171" s="78"/>
    </row>
    <row r="172" spans="1:28" x14ac:dyDescent="0.25">
      <c r="A172" t="str">
        <f>IF(EXACT('BOM A320 FFS'!B234,obsoleta!D172),"OK","ERROR")</f>
        <v>ERROR</v>
      </c>
      <c r="C172" s="32" t="s">
        <v>169</v>
      </c>
      <c r="D172" s="70">
        <v>1519013012016</v>
      </c>
      <c r="E172" s="70"/>
      <c r="F172" s="31" t="s">
        <v>2383</v>
      </c>
      <c r="G172" s="32" t="s">
        <v>2384</v>
      </c>
      <c r="H172" s="32"/>
      <c r="I172" s="32"/>
      <c r="J172" s="33">
        <v>50</v>
      </c>
      <c r="K172" s="34"/>
      <c r="L172" s="35">
        <v>0</v>
      </c>
      <c r="M172" s="36" t="s">
        <v>32</v>
      </c>
      <c r="N172" s="37">
        <v>1</v>
      </c>
      <c r="O172" s="35">
        <v>0</v>
      </c>
      <c r="P172" s="35" t="s">
        <v>99</v>
      </c>
      <c r="Q172" s="97">
        <v>45442</v>
      </c>
      <c r="R172" s="35" t="s">
        <v>62</v>
      </c>
      <c r="S172" s="38"/>
      <c r="T172" s="78">
        <v>2</v>
      </c>
      <c r="U172" s="78"/>
      <c r="V172" s="78"/>
      <c r="W172" s="78" t="s">
        <v>175</v>
      </c>
      <c r="X172" s="78"/>
      <c r="Y172" s="78"/>
      <c r="Z172" s="78"/>
      <c r="AA172" s="78" t="s">
        <v>225</v>
      </c>
      <c r="AB172" s="78"/>
    </row>
    <row r="173" spans="1:28" x14ac:dyDescent="0.25">
      <c r="A173" t="str">
        <f>IF(EXACT('BOM A320 FFS'!B235,obsoleta!D173),"OK","ERROR")</f>
        <v>ERROR</v>
      </c>
      <c r="C173" s="32" t="s">
        <v>169</v>
      </c>
      <c r="D173" s="70">
        <v>1238512650400</v>
      </c>
      <c r="E173" s="70"/>
      <c r="F173" s="31" t="s">
        <v>2426</v>
      </c>
      <c r="G173" s="32" t="s">
        <v>2427</v>
      </c>
      <c r="H173" s="32"/>
      <c r="I173" s="32"/>
      <c r="J173" s="33">
        <v>50</v>
      </c>
      <c r="K173" s="34"/>
      <c r="L173" s="35">
        <v>0</v>
      </c>
      <c r="M173" s="36" t="s">
        <v>32</v>
      </c>
      <c r="N173" s="37">
        <v>1</v>
      </c>
      <c r="O173" s="35">
        <v>0</v>
      </c>
      <c r="P173" s="35" t="s">
        <v>99</v>
      </c>
      <c r="Q173" s="97">
        <v>45442</v>
      </c>
      <c r="R173" s="35" t="s">
        <v>62</v>
      </c>
      <c r="S173" s="38"/>
      <c r="T173" s="78">
        <v>2</v>
      </c>
      <c r="U173" s="78"/>
      <c r="V173" s="78"/>
      <c r="W173" s="78" t="s">
        <v>175</v>
      </c>
      <c r="X173" s="78"/>
      <c r="Y173" s="78"/>
      <c r="Z173" s="78"/>
      <c r="AA173" s="78" t="s">
        <v>225</v>
      </c>
      <c r="AB173" s="78"/>
    </row>
    <row r="174" spans="1:28" x14ac:dyDescent="0.25">
      <c r="A174" t="e">
        <f>IF(EXACT('BOM A320 FFS'!#REF!,obsoleta!D174),"OK","ERROR")</f>
        <v>#REF!</v>
      </c>
      <c r="C174" s="31" t="s">
        <v>169</v>
      </c>
      <c r="D174" s="71">
        <v>3120500540200</v>
      </c>
      <c r="E174" s="71"/>
      <c r="F174" s="32" t="s">
        <v>3731</v>
      </c>
      <c r="G174" s="175">
        <v>7979337</v>
      </c>
      <c r="H174" s="32" t="s">
        <v>200</v>
      </c>
      <c r="I174" s="32"/>
      <c r="J174" s="33">
        <v>2</v>
      </c>
      <c r="K174" s="34">
        <v>1000</v>
      </c>
      <c r="L174" s="35">
        <v>2000</v>
      </c>
      <c r="M174" s="36" t="s">
        <v>32</v>
      </c>
      <c r="N174" s="37">
        <v>1</v>
      </c>
      <c r="O174" s="35">
        <v>2000</v>
      </c>
      <c r="P174" s="35" t="s">
        <v>99</v>
      </c>
      <c r="Q174" s="97">
        <v>45442</v>
      </c>
      <c r="R174" s="35" t="s">
        <v>62</v>
      </c>
      <c r="S174" s="38"/>
      <c r="T174" s="78">
        <v>2</v>
      </c>
      <c r="U174" s="78"/>
      <c r="V174" s="78"/>
      <c r="W174" s="78" t="s">
        <v>175</v>
      </c>
      <c r="X174" s="78"/>
      <c r="Y174" s="78"/>
      <c r="Z174" s="78"/>
      <c r="AA174" s="78" t="s">
        <v>225</v>
      </c>
      <c r="AB174" s="78"/>
    </row>
    <row r="175" spans="1:28" x14ac:dyDescent="0.25">
      <c r="A175" t="str">
        <f>IF(EXACT('BOM A320 FFS'!B238,obsoleta!D175),"OK","ERROR")</f>
        <v>ERROR</v>
      </c>
      <c r="C175" s="31" t="s">
        <v>169</v>
      </c>
      <c r="D175" s="71">
        <v>1708500960000</v>
      </c>
      <c r="E175" s="71"/>
      <c r="F175" s="32" t="s">
        <v>749</v>
      </c>
      <c r="G175" s="32">
        <v>7113000</v>
      </c>
      <c r="H175" s="32" t="s">
        <v>200</v>
      </c>
      <c r="I175" s="32"/>
      <c r="J175" s="33">
        <v>8</v>
      </c>
      <c r="K175" s="34">
        <v>50</v>
      </c>
      <c r="L175" s="35">
        <v>400</v>
      </c>
      <c r="M175" s="36" t="s">
        <v>32</v>
      </c>
      <c r="N175" s="37">
        <v>1</v>
      </c>
      <c r="O175" s="35">
        <v>400</v>
      </c>
      <c r="P175" s="35" t="s">
        <v>99</v>
      </c>
      <c r="Q175" s="97">
        <v>45442</v>
      </c>
      <c r="R175" s="35" t="s">
        <v>62</v>
      </c>
      <c r="S175" s="38"/>
      <c r="T175" s="78">
        <v>2</v>
      </c>
      <c r="U175" s="78"/>
      <c r="V175" s="78"/>
      <c r="W175" s="78" t="s">
        <v>175</v>
      </c>
      <c r="X175" s="78"/>
      <c r="Y175" s="78"/>
      <c r="Z175" s="78"/>
      <c r="AA175" s="78" t="s">
        <v>225</v>
      </c>
      <c r="AB175" s="78"/>
    </row>
    <row r="176" spans="1:28" x14ac:dyDescent="0.25">
      <c r="A176" t="str">
        <f>IF(EXACT('BOM A320 FFS'!B239,obsoleta!D176),"OK","ERROR")</f>
        <v>ERROR</v>
      </c>
      <c r="C176" s="31" t="s">
        <v>169</v>
      </c>
      <c r="D176" s="71">
        <v>1706500060200</v>
      </c>
      <c r="E176" s="71"/>
      <c r="F176" s="32" t="s">
        <v>3079</v>
      </c>
      <c r="G176" s="32" t="s">
        <v>3080</v>
      </c>
      <c r="H176" s="32"/>
      <c r="I176" s="32"/>
      <c r="J176" s="33">
        <v>15</v>
      </c>
      <c r="K176" s="34"/>
      <c r="L176" s="35">
        <v>0</v>
      </c>
      <c r="M176" s="36" t="s">
        <v>32</v>
      </c>
      <c r="N176" s="37">
        <v>1</v>
      </c>
      <c r="O176" s="35">
        <v>0</v>
      </c>
      <c r="P176" s="35" t="s">
        <v>99</v>
      </c>
      <c r="Q176" s="97">
        <v>45442</v>
      </c>
      <c r="R176" s="35" t="s">
        <v>62</v>
      </c>
      <c r="S176" s="38"/>
      <c r="T176" s="78">
        <v>2</v>
      </c>
      <c r="U176" s="78"/>
      <c r="V176" s="78"/>
      <c r="W176" s="78" t="s">
        <v>175</v>
      </c>
      <c r="X176" s="78"/>
      <c r="Y176" s="78"/>
      <c r="Z176" s="78"/>
      <c r="AA176" s="78" t="s">
        <v>225</v>
      </c>
      <c r="AB176" s="78"/>
    </row>
    <row r="177" spans="1:28" x14ac:dyDescent="0.25">
      <c r="A177" t="str">
        <f>IF(EXACT('BOM A320 FFS'!B240,obsoleta!D177),"OK","ERROR")</f>
        <v>ERROR</v>
      </c>
      <c r="C177" s="31" t="s">
        <v>169</v>
      </c>
      <c r="D177" s="71">
        <v>1706500060400</v>
      </c>
      <c r="E177" s="71"/>
      <c r="F177" s="32" t="s">
        <v>2980</v>
      </c>
      <c r="G177" s="32" t="s">
        <v>2981</v>
      </c>
      <c r="H177" s="32"/>
      <c r="I177" s="32"/>
      <c r="J177" s="33">
        <v>2</v>
      </c>
      <c r="K177" s="34"/>
      <c r="L177" s="35">
        <v>0</v>
      </c>
      <c r="M177" s="36" t="s">
        <v>32</v>
      </c>
      <c r="N177" s="37">
        <v>1</v>
      </c>
      <c r="O177" s="35">
        <v>0</v>
      </c>
      <c r="P177" s="35" t="s">
        <v>99</v>
      </c>
      <c r="Q177" s="97">
        <v>45442</v>
      </c>
      <c r="R177" s="35" t="s">
        <v>62</v>
      </c>
      <c r="S177" s="38"/>
      <c r="T177" s="78">
        <v>2</v>
      </c>
      <c r="U177" s="78"/>
      <c r="V177" s="78"/>
      <c r="W177" s="78" t="s">
        <v>175</v>
      </c>
      <c r="X177" s="78"/>
      <c r="Y177" s="78"/>
      <c r="Z177" s="78"/>
      <c r="AA177" s="78" t="s">
        <v>225</v>
      </c>
      <c r="AB177" s="78"/>
    </row>
    <row r="178" spans="1:28" x14ac:dyDescent="0.25">
      <c r="A178" t="str">
        <f>IF(EXACT('BOM A320 FFS'!B241,obsoleta!D178),"OK","ERROR")</f>
        <v>ERROR</v>
      </c>
      <c r="C178" s="31" t="s">
        <v>169</v>
      </c>
      <c r="D178" s="71">
        <v>1706500571000</v>
      </c>
      <c r="E178" s="71"/>
      <c r="F178" s="32" t="s">
        <v>3076</v>
      </c>
      <c r="G178" s="32" t="s">
        <v>3077</v>
      </c>
      <c r="H178" s="32"/>
      <c r="I178" s="32"/>
      <c r="J178" s="33">
        <v>1</v>
      </c>
      <c r="K178" s="34"/>
      <c r="L178" s="35">
        <v>0</v>
      </c>
      <c r="M178" s="36" t="s">
        <v>32</v>
      </c>
      <c r="N178" s="37">
        <v>1</v>
      </c>
      <c r="O178" s="35">
        <v>0</v>
      </c>
      <c r="P178" s="35" t="s">
        <v>99</v>
      </c>
      <c r="Q178" s="97">
        <v>45442</v>
      </c>
      <c r="R178" s="35" t="s">
        <v>62</v>
      </c>
      <c r="S178" s="38"/>
      <c r="T178" s="78">
        <v>2</v>
      </c>
      <c r="U178" s="78"/>
      <c r="V178" s="78"/>
      <c r="W178" s="78" t="s">
        <v>175</v>
      </c>
      <c r="X178" s="78"/>
      <c r="Y178" s="78"/>
      <c r="Z178" s="78"/>
      <c r="AA178" s="78" t="s">
        <v>225</v>
      </c>
      <c r="AB178" s="78"/>
    </row>
    <row r="179" spans="1:28" x14ac:dyDescent="0.25">
      <c r="A179" t="str">
        <f>IF(EXACT('BOM A320 FFS'!B242,obsoleta!D179),"OK","ERROR")</f>
        <v>ERROR</v>
      </c>
      <c r="C179" s="31" t="s">
        <v>169</v>
      </c>
      <c r="D179" s="71">
        <v>1706500020900</v>
      </c>
      <c r="E179" s="71"/>
      <c r="F179" s="32" t="s">
        <v>2983</v>
      </c>
      <c r="G179" s="32" t="s">
        <v>2984</v>
      </c>
      <c r="H179" s="32"/>
      <c r="I179" s="32"/>
      <c r="J179" s="33">
        <v>1</v>
      </c>
      <c r="K179" s="34"/>
      <c r="L179" s="35">
        <v>0</v>
      </c>
      <c r="M179" s="36" t="s">
        <v>32</v>
      </c>
      <c r="N179" s="37">
        <v>1</v>
      </c>
      <c r="O179" s="35">
        <v>0</v>
      </c>
      <c r="P179" s="35" t="s">
        <v>99</v>
      </c>
      <c r="Q179" s="97">
        <v>45442</v>
      </c>
      <c r="R179" s="35" t="s">
        <v>62</v>
      </c>
      <c r="S179" s="38"/>
      <c r="T179" s="78">
        <v>2</v>
      </c>
      <c r="U179" s="78"/>
      <c r="V179" s="78"/>
      <c r="W179" s="78" t="s">
        <v>175</v>
      </c>
      <c r="X179" s="78"/>
      <c r="Y179" s="78"/>
      <c r="Z179" s="78"/>
      <c r="AA179" s="78" t="s">
        <v>225</v>
      </c>
      <c r="AB179" s="78"/>
    </row>
    <row r="180" spans="1:28" x14ac:dyDescent="0.25">
      <c r="A180" t="str">
        <f>IF(EXACT('BOM A320 FFS'!B243,obsoleta!D180),"OK","ERROR")</f>
        <v>ERROR</v>
      </c>
      <c r="C180" s="31" t="s">
        <v>169</v>
      </c>
      <c r="D180" s="71">
        <v>3210503440000</v>
      </c>
      <c r="E180" s="71"/>
      <c r="F180" s="32" t="s">
        <v>454</v>
      </c>
      <c r="G180" s="32" t="s">
        <v>455</v>
      </c>
      <c r="H180" s="32" t="s">
        <v>456</v>
      </c>
      <c r="I180" s="32"/>
      <c r="J180" s="33">
        <v>5</v>
      </c>
      <c r="K180" s="34">
        <v>400</v>
      </c>
      <c r="L180" s="35">
        <v>2000</v>
      </c>
      <c r="M180" s="36" t="s">
        <v>32</v>
      </c>
      <c r="N180" s="37">
        <v>1</v>
      </c>
      <c r="O180" s="35">
        <v>2000</v>
      </c>
      <c r="P180" s="35" t="s">
        <v>33</v>
      </c>
      <c r="Q180" s="97">
        <v>45453</v>
      </c>
      <c r="R180" s="35" t="s">
        <v>62</v>
      </c>
      <c r="S180" s="38"/>
      <c r="T180" s="78">
        <v>2</v>
      </c>
      <c r="U180" s="78"/>
      <c r="V180" s="78"/>
      <c r="W180" s="78" t="s">
        <v>371</v>
      </c>
      <c r="X180" s="78" t="s">
        <v>3707</v>
      </c>
      <c r="Y180" s="78">
        <v>1</v>
      </c>
      <c r="Z180" s="78" t="s">
        <v>48</v>
      </c>
      <c r="AA180" s="78" t="s">
        <v>225</v>
      </c>
      <c r="AB180" s="78">
        <v>5</v>
      </c>
    </row>
    <row r="181" spans="1:28" x14ac:dyDescent="0.25">
      <c r="A181" t="str">
        <f>IF(EXACT('BOM A320 FFS'!B247,obsoleta!D181),"OK","ERROR")</f>
        <v>ERROR</v>
      </c>
      <c r="C181" s="48" t="s">
        <v>169</v>
      </c>
      <c r="D181" s="48" t="s">
        <v>3185</v>
      </c>
      <c r="E181" s="48"/>
      <c r="F181" s="32"/>
      <c r="G181" s="32"/>
      <c r="H181" s="32"/>
      <c r="I181" s="32"/>
      <c r="J181" s="33"/>
      <c r="K181" s="34"/>
      <c r="L181" s="35">
        <v>0</v>
      </c>
      <c r="M181" s="36" t="s">
        <v>32</v>
      </c>
      <c r="N181" s="37">
        <v>1</v>
      </c>
      <c r="O181" s="35">
        <v>0</v>
      </c>
      <c r="P181" s="35"/>
      <c r="Q181" s="97"/>
      <c r="R181" s="35"/>
      <c r="S181" s="38"/>
      <c r="T181" s="78">
        <v>2</v>
      </c>
      <c r="U181" s="78"/>
      <c r="V181" s="78"/>
      <c r="W181" s="78"/>
      <c r="X181" s="78"/>
      <c r="Y181" s="78"/>
      <c r="Z181" s="78"/>
      <c r="AA181" s="78" t="s">
        <v>225</v>
      </c>
      <c r="AB181" s="78"/>
    </row>
    <row r="182" spans="1:28" x14ac:dyDescent="0.25">
      <c r="A182" t="str">
        <f>IF(EXACT('BOM A320 FFS'!B248,obsoleta!D182),"OK","ERROR")</f>
        <v>ERROR</v>
      </c>
      <c r="C182" s="31" t="s">
        <v>169</v>
      </c>
      <c r="D182" s="71">
        <v>1229501660600</v>
      </c>
      <c r="E182" s="71"/>
      <c r="F182" s="32" t="s">
        <v>755</v>
      </c>
      <c r="G182" s="32" t="s">
        <v>756</v>
      </c>
      <c r="H182" s="32" t="s">
        <v>753</v>
      </c>
      <c r="I182" s="32" t="s">
        <v>461</v>
      </c>
      <c r="J182" s="33">
        <v>3</v>
      </c>
      <c r="K182" s="34">
        <v>50</v>
      </c>
      <c r="L182" s="35">
        <v>150</v>
      </c>
      <c r="M182" s="36" t="s">
        <v>32</v>
      </c>
      <c r="N182" s="37">
        <v>1</v>
      </c>
      <c r="O182" s="35">
        <v>150</v>
      </c>
      <c r="P182" s="35" t="s">
        <v>33</v>
      </c>
      <c r="Q182" s="97">
        <v>45453</v>
      </c>
      <c r="R182" s="35" t="s">
        <v>62</v>
      </c>
      <c r="S182" s="38"/>
      <c r="T182" s="78">
        <v>2</v>
      </c>
      <c r="U182" s="78"/>
      <c r="V182" s="78"/>
      <c r="W182" s="78" t="s">
        <v>54</v>
      </c>
      <c r="X182" s="78" t="s">
        <v>3732</v>
      </c>
      <c r="Y182" s="78">
        <v>1</v>
      </c>
      <c r="Z182" s="78" t="s">
        <v>48</v>
      </c>
      <c r="AA182" s="78" t="s">
        <v>225</v>
      </c>
      <c r="AB182" s="78">
        <v>3</v>
      </c>
    </row>
    <row r="183" spans="1:28" x14ac:dyDescent="0.25">
      <c r="A183" t="str">
        <f>IF(EXACT('BOM A320 FFS'!B250,obsoleta!D183),"OK","ERROR")</f>
        <v>ERROR</v>
      </c>
      <c r="C183" s="31" t="s">
        <v>169</v>
      </c>
      <c r="D183" s="71">
        <v>1218000542500</v>
      </c>
      <c r="E183" s="71"/>
      <c r="F183" s="32" t="s">
        <v>774</v>
      </c>
      <c r="G183" s="32" t="s">
        <v>775</v>
      </c>
      <c r="H183" s="32" t="s">
        <v>753</v>
      </c>
      <c r="I183" s="32" t="s">
        <v>461</v>
      </c>
      <c r="J183" s="33">
        <v>1</v>
      </c>
      <c r="K183" s="34">
        <v>50</v>
      </c>
      <c r="L183" s="35">
        <v>50</v>
      </c>
      <c r="M183" s="36" t="s">
        <v>32</v>
      </c>
      <c r="N183" s="37">
        <v>1</v>
      </c>
      <c r="O183" s="35">
        <v>50</v>
      </c>
      <c r="P183" s="35" t="s">
        <v>33</v>
      </c>
      <c r="Q183" s="97">
        <v>45453</v>
      </c>
      <c r="R183" s="35" t="s">
        <v>62</v>
      </c>
      <c r="S183" s="38"/>
      <c r="T183" s="78">
        <v>2</v>
      </c>
      <c r="U183" s="78"/>
      <c r="V183" s="78"/>
      <c r="W183" s="78" t="s">
        <v>54</v>
      </c>
      <c r="X183" s="78" t="s">
        <v>3732</v>
      </c>
      <c r="Y183" s="78">
        <v>1</v>
      </c>
      <c r="Z183" s="78" t="s">
        <v>48</v>
      </c>
      <c r="AA183" s="78" t="s">
        <v>225</v>
      </c>
      <c r="AB183" s="78">
        <v>1</v>
      </c>
    </row>
    <row r="184" spans="1:28" x14ac:dyDescent="0.25">
      <c r="A184" t="str">
        <f>IF(EXACT('BOM A320 FFS'!B251,obsoleta!D184),"OK","ERROR")</f>
        <v>ERROR</v>
      </c>
      <c r="C184" s="31" t="s">
        <v>169</v>
      </c>
      <c r="D184" s="31" t="s">
        <v>70</v>
      </c>
      <c r="E184" s="31"/>
      <c r="F184" s="32" t="s">
        <v>771</v>
      </c>
      <c r="G184" s="32" t="s">
        <v>772</v>
      </c>
      <c r="H184" s="32" t="s">
        <v>753</v>
      </c>
      <c r="I184" s="32" t="s">
        <v>461</v>
      </c>
      <c r="J184" s="33">
        <v>1</v>
      </c>
      <c r="K184" s="34">
        <v>50</v>
      </c>
      <c r="L184" s="35">
        <v>50</v>
      </c>
      <c r="M184" s="36" t="s">
        <v>32</v>
      </c>
      <c r="N184" s="37">
        <v>1</v>
      </c>
      <c r="O184" s="35">
        <v>50</v>
      </c>
      <c r="P184" s="35" t="s">
        <v>33</v>
      </c>
      <c r="Q184" s="97">
        <v>45453</v>
      </c>
      <c r="R184" s="35" t="s">
        <v>62</v>
      </c>
      <c r="S184" s="38"/>
      <c r="T184" s="78">
        <v>2</v>
      </c>
      <c r="U184" s="78"/>
      <c r="V184" s="78"/>
      <c r="W184" s="78" t="s">
        <v>54</v>
      </c>
      <c r="X184" s="78" t="s">
        <v>3732</v>
      </c>
      <c r="Y184" s="78">
        <v>1</v>
      </c>
      <c r="Z184" s="78" t="s">
        <v>48</v>
      </c>
      <c r="AA184" s="78" t="s">
        <v>225</v>
      </c>
      <c r="AB184" s="78">
        <v>1</v>
      </c>
    </row>
    <row r="185" spans="1:28" x14ac:dyDescent="0.25">
      <c r="A185" t="str">
        <f>IF(EXACT('BOM A320 FFS'!B252,obsoleta!D185),"OK","ERROR")</f>
        <v>ERROR</v>
      </c>
      <c r="C185" s="31" t="s">
        <v>169</v>
      </c>
      <c r="D185" s="71">
        <v>1229501660800</v>
      </c>
      <c r="E185" s="71"/>
      <c r="F185" s="32" t="s">
        <v>751</v>
      </c>
      <c r="G185" s="32" t="s">
        <v>752</v>
      </c>
      <c r="H185" s="32" t="s">
        <v>753</v>
      </c>
      <c r="I185" s="32" t="s">
        <v>461</v>
      </c>
      <c r="J185" s="33">
        <v>3</v>
      </c>
      <c r="K185" s="34">
        <v>50</v>
      </c>
      <c r="L185" s="35">
        <v>150</v>
      </c>
      <c r="M185" s="36" t="s">
        <v>32</v>
      </c>
      <c r="N185" s="37">
        <v>1</v>
      </c>
      <c r="O185" s="35">
        <v>150</v>
      </c>
      <c r="P185" s="35" t="s">
        <v>33</v>
      </c>
      <c r="Q185" s="97">
        <v>45453</v>
      </c>
      <c r="R185" s="35" t="s">
        <v>62</v>
      </c>
      <c r="S185" s="38"/>
      <c r="T185" s="78">
        <v>2</v>
      </c>
      <c r="U185" s="78"/>
      <c r="V185" s="78"/>
      <c r="W185" s="78" t="s">
        <v>54</v>
      </c>
      <c r="X185" s="78" t="s">
        <v>3732</v>
      </c>
      <c r="Y185" s="78">
        <v>1</v>
      </c>
      <c r="Z185" s="78" t="s">
        <v>48</v>
      </c>
      <c r="AA185" s="78" t="s">
        <v>225</v>
      </c>
      <c r="AB185" s="78">
        <v>3</v>
      </c>
    </row>
    <row r="186" spans="1:28" x14ac:dyDescent="0.25">
      <c r="A186" t="str">
        <f>IF(EXACT('BOM A320 FFS'!B254,obsoleta!D186),"OK","ERROR")</f>
        <v>ERROR</v>
      </c>
      <c r="C186" s="48"/>
      <c r="D186" s="48" t="s">
        <v>3630</v>
      </c>
      <c r="E186" s="48"/>
      <c r="F186" s="28"/>
      <c r="G186" s="28"/>
      <c r="H186" s="28"/>
      <c r="I186" s="28"/>
      <c r="J186" s="40"/>
      <c r="K186" s="30"/>
      <c r="L186" s="30"/>
      <c r="M186" s="26"/>
      <c r="N186" s="26"/>
      <c r="O186" s="41"/>
      <c r="P186" s="41"/>
      <c r="Q186" s="98"/>
      <c r="R186" s="41"/>
      <c r="S186" s="30"/>
      <c r="T186" s="82"/>
      <c r="U186" s="82"/>
      <c r="V186" s="82"/>
      <c r="W186" s="82"/>
      <c r="X186" s="82"/>
      <c r="Y186" s="82"/>
      <c r="Z186" s="82"/>
      <c r="AA186" s="82" t="s">
        <v>225</v>
      </c>
      <c r="AB186" s="82"/>
    </row>
    <row r="187" spans="1:28" x14ac:dyDescent="0.25">
      <c r="A187" t="e">
        <f>IF(EXACT('BOM A320 FFS'!#REF!,obsoleta!D187),"OK","ERROR")</f>
        <v>#REF!</v>
      </c>
      <c r="C187" s="32" t="s">
        <v>169</v>
      </c>
      <c r="D187" s="70" t="s">
        <v>3733</v>
      </c>
      <c r="E187" s="70"/>
      <c r="F187" s="31" t="s">
        <v>3734</v>
      </c>
      <c r="G187" s="32" t="s">
        <v>3735</v>
      </c>
      <c r="H187" s="32" t="s">
        <v>297</v>
      </c>
      <c r="I187" s="32"/>
      <c r="J187" s="33">
        <v>8</v>
      </c>
      <c r="K187" s="34">
        <v>600</v>
      </c>
      <c r="L187" s="35">
        <v>4800</v>
      </c>
      <c r="M187" s="36" t="s">
        <v>32</v>
      </c>
      <c r="N187" s="37">
        <v>1</v>
      </c>
      <c r="O187" s="35">
        <v>4800</v>
      </c>
      <c r="P187" s="35" t="s">
        <v>99</v>
      </c>
      <c r="Q187" s="97">
        <v>45427</v>
      </c>
      <c r="R187" s="35" t="s">
        <v>62</v>
      </c>
      <c r="S187" s="38"/>
      <c r="T187" s="78">
        <v>2</v>
      </c>
      <c r="U187" s="78"/>
      <c r="V187" s="78"/>
      <c r="W187" s="78" t="s">
        <v>175</v>
      </c>
      <c r="X187" s="78"/>
      <c r="Y187" s="78"/>
      <c r="Z187" s="78"/>
      <c r="AA187" s="78" t="s">
        <v>225</v>
      </c>
      <c r="AB187" s="78"/>
    </row>
    <row r="188" spans="1:28" x14ac:dyDescent="0.25">
      <c r="A188" t="str">
        <f>IF(EXACT('BOM A320 FFS'!B255,obsoleta!D188),"OK","ERROR")</f>
        <v>ERROR</v>
      </c>
      <c r="C188" s="32" t="s">
        <v>169</v>
      </c>
      <c r="D188" s="70" t="s">
        <v>3736</v>
      </c>
      <c r="E188" s="70"/>
      <c r="F188" s="31" t="s">
        <v>3737</v>
      </c>
      <c r="G188" s="32" t="s">
        <v>3738</v>
      </c>
      <c r="H188" s="32" t="s">
        <v>297</v>
      </c>
      <c r="I188" s="32"/>
      <c r="J188" s="33">
        <v>2</v>
      </c>
      <c r="K188" s="34">
        <v>800</v>
      </c>
      <c r="L188" s="35">
        <v>1600</v>
      </c>
      <c r="M188" s="36" t="s">
        <v>32</v>
      </c>
      <c r="N188" s="37">
        <v>1</v>
      </c>
      <c r="O188" s="35">
        <v>1600</v>
      </c>
      <c r="P188" s="35" t="s">
        <v>99</v>
      </c>
      <c r="Q188" s="97">
        <v>45427</v>
      </c>
      <c r="R188" s="35" t="s">
        <v>62</v>
      </c>
      <c r="S188" s="38"/>
      <c r="T188" s="78">
        <v>2</v>
      </c>
      <c r="U188" s="78"/>
      <c r="V188" s="78"/>
      <c r="W188" s="78" t="s">
        <v>175</v>
      </c>
      <c r="X188" s="78"/>
      <c r="Y188" s="78"/>
      <c r="Z188" s="78"/>
      <c r="AA188" s="78" t="s">
        <v>225</v>
      </c>
      <c r="AB188" s="78"/>
    </row>
    <row r="189" spans="1:28" x14ac:dyDescent="0.25">
      <c r="A189" t="str">
        <f>IF(EXACT('BOM A320 FFS'!B258,obsoleta!D189),"OK","ERROR")</f>
        <v>ERROR</v>
      </c>
      <c r="C189" s="48"/>
      <c r="D189" s="48" t="s">
        <v>3631</v>
      </c>
      <c r="E189" s="48"/>
      <c r="F189" s="28"/>
      <c r="G189" s="28"/>
      <c r="H189" s="28"/>
      <c r="I189" s="28"/>
      <c r="J189" s="40"/>
      <c r="K189" s="30"/>
      <c r="L189" s="30"/>
      <c r="M189" s="26"/>
      <c r="N189" s="26"/>
      <c r="O189" s="41"/>
      <c r="P189" s="41"/>
      <c r="Q189" s="98"/>
      <c r="R189" s="41"/>
      <c r="S189" s="30"/>
      <c r="T189" s="82"/>
      <c r="U189" s="82"/>
      <c r="V189" s="82"/>
      <c r="W189" s="82"/>
      <c r="X189" s="82"/>
      <c r="Y189" s="82"/>
      <c r="Z189" s="82"/>
      <c r="AA189" s="82" t="s">
        <v>225</v>
      </c>
      <c r="AB189" s="82"/>
    </row>
    <row r="190" spans="1:28" x14ac:dyDescent="0.25">
      <c r="A190" t="str">
        <f>IF(EXACT('BOM A320 FFS'!B259,obsoleta!D190),"OK","ERROR")</f>
        <v>ERROR</v>
      </c>
      <c r="C190" s="31" t="s">
        <v>169</v>
      </c>
      <c r="D190" s="71">
        <v>3170107821000</v>
      </c>
      <c r="E190" s="71"/>
      <c r="F190" s="32" t="s">
        <v>392</v>
      </c>
      <c r="G190" s="32" t="s">
        <v>393</v>
      </c>
      <c r="H190" s="32" t="s">
        <v>394</v>
      </c>
      <c r="I190" s="32"/>
      <c r="J190" s="33">
        <v>25</v>
      </c>
      <c r="K190" s="34">
        <v>640</v>
      </c>
      <c r="L190" s="35">
        <v>16000</v>
      </c>
      <c r="M190" s="36" t="s">
        <v>32</v>
      </c>
      <c r="N190" s="37">
        <v>1</v>
      </c>
      <c r="O190" s="35">
        <v>16000</v>
      </c>
      <c r="P190" s="35" t="s">
        <v>99</v>
      </c>
      <c r="Q190" s="97">
        <v>45427</v>
      </c>
      <c r="R190" s="35" t="s">
        <v>62</v>
      </c>
      <c r="S190" s="38"/>
      <c r="T190" s="78">
        <v>2</v>
      </c>
      <c r="U190" s="78"/>
      <c r="V190" s="78"/>
      <c r="W190" s="78" t="s">
        <v>175</v>
      </c>
      <c r="X190" s="78"/>
      <c r="Y190" s="78"/>
      <c r="Z190" s="78"/>
      <c r="AA190" s="78" t="s">
        <v>225</v>
      </c>
      <c r="AB190" s="78"/>
    </row>
    <row r="191" spans="1:28" x14ac:dyDescent="0.25">
      <c r="A191" t="str">
        <f>IF(EXACT('BOM A320 FFS'!B262,obsoleta!D191),"OK","ERROR")</f>
        <v>ERROR</v>
      </c>
      <c r="C191" s="31" t="s">
        <v>169</v>
      </c>
      <c r="D191" s="71">
        <v>3170108880000</v>
      </c>
      <c r="E191" s="71"/>
      <c r="F191" s="32" t="s">
        <v>343</v>
      </c>
      <c r="G191" s="32" t="s">
        <v>3739</v>
      </c>
      <c r="H191" s="32" t="s">
        <v>260</v>
      </c>
      <c r="I191" s="32"/>
      <c r="J191" s="33">
        <v>2</v>
      </c>
      <c r="K191" s="34">
        <v>1000</v>
      </c>
      <c r="L191" s="35">
        <v>2000</v>
      </c>
      <c r="M191" s="36" t="s">
        <v>32</v>
      </c>
      <c r="N191" s="37">
        <v>1</v>
      </c>
      <c r="O191" s="35">
        <v>2000</v>
      </c>
      <c r="P191" s="35" t="s">
        <v>99</v>
      </c>
      <c r="Q191" s="97">
        <v>45427</v>
      </c>
      <c r="R191" s="35" t="s">
        <v>62</v>
      </c>
      <c r="S191" s="38"/>
      <c r="T191" s="78">
        <v>2</v>
      </c>
      <c r="U191" s="78"/>
      <c r="V191" s="78"/>
      <c r="W191" s="78" t="s">
        <v>175</v>
      </c>
      <c r="X191" s="78"/>
      <c r="Y191" s="78"/>
      <c r="Z191" s="78"/>
      <c r="AA191" s="78" t="s">
        <v>225</v>
      </c>
      <c r="AB191" s="78"/>
    </row>
    <row r="192" spans="1:28" x14ac:dyDescent="0.25">
      <c r="A192" t="str">
        <f>IF(EXACT('BOM A320 FFS'!B263,obsoleta!D192),"OK","ERROR")</f>
        <v>ERROR</v>
      </c>
      <c r="C192" s="31" t="s">
        <v>169</v>
      </c>
      <c r="D192" s="71">
        <v>3170108870000</v>
      </c>
      <c r="E192" s="71"/>
      <c r="F192" s="32" t="s">
        <v>340</v>
      </c>
      <c r="G192" s="32" t="s">
        <v>341</v>
      </c>
      <c r="H192" s="32" t="s">
        <v>260</v>
      </c>
      <c r="I192" s="32"/>
      <c r="J192" s="33">
        <v>2</v>
      </c>
      <c r="K192" s="34">
        <v>1000</v>
      </c>
      <c r="L192" s="35">
        <v>2000</v>
      </c>
      <c r="M192" s="36" t="s">
        <v>32</v>
      </c>
      <c r="N192" s="37">
        <v>1</v>
      </c>
      <c r="O192" s="35">
        <v>2000</v>
      </c>
      <c r="P192" s="35" t="s">
        <v>99</v>
      </c>
      <c r="Q192" s="97">
        <v>45427</v>
      </c>
      <c r="R192" s="35" t="s">
        <v>62</v>
      </c>
      <c r="S192" s="38"/>
      <c r="T192" s="78">
        <v>2</v>
      </c>
      <c r="U192" s="78"/>
      <c r="V192" s="78"/>
      <c r="W192" s="78" t="s">
        <v>175</v>
      </c>
      <c r="X192" s="78"/>
      <c r="Y192" s="78"/>
      <c r="Z192" s="78"/>
      <c r="AA192" s="78" t="s">
        <v>225</v>
      </c>
      <c r="AB192" s="78"/>
    </row>
    <row r="193" spans="1:28" x14ac:dyDescent="0.25">
      <c r="A193" t="str">
        <f>IF(EXACT('BOM A320 FFS'!B264,obsoleta!D193),"OK","ERROR")</f>
        <v>ERROR</v>
      </c>
      <c r="C193" s="31" t="s">
        <v>169</v>
      </c>
      <c r="D193" s="71">
        <v>3210505150000</v>
      </c>
      <c r="E193" s="71"/>
      <c r="F193" s="32" t="s">
        <v>606</v>
      </c>
      <c r="G193" s="32" t="s">
        <v>607</v>
      </c>
      <c r="H193" s="32" t="s">
        <v>394</v>
      </c>
      <c r="I193" s="32"/>
      <c r="J193" s="33">
        <v>30</v>
      </c>
      <c r="K193" s="34">
        <v>120</v>
      </c>
      <c r="L193" s="35">
        <v>3600</v>
      </c>
      <c r="M193" s="36" t="s">
        <v>32</v>
      </c>
      <c r="N193" s="37">
        <v>1</v>
      </c>
      <c r="O193" s="35">
        <v>3600</v>
      </c>
      <c r="P193" s="35" t="s">
        <v>99</v>
      </c>
      <c r="Q193" s="97">
        <v>45427</v>
      </c>
      <c r="R193" s="35" t="s">
        <v>62</v>
      </c>
      <c r="S193" s="38"/>
      <c r="T193" s="78">
        <v>2</v>
      </c>
      <c r="U193" s="78"/>
      <c r="V193" s="78"/>
      <c r="W193" s="78" t="s">
        <v>175</v>
      </c>
      <c r="X193" s="78"/>
      <c r="Y193" s="78"/>
      <c r="Z193" s="78"/>
      <c r="AA193" s="78" t="s">
        <v>225</v>
      </c>
      <c r="AB193" s="78"/>
    </row>
    <row r="194" spans="1:28" x14ac:dyDescent="0.25">
      <c r="A194" t="str">
        <f>IF(EXACT('BOM A320 FFS'!B265,obsoleta!D194),"OK","ERROR")</f>
        <v>ERROR</v>
      </c>
      <c r="C194" s="31" t="s">
        <v>169</v>
      </c>
      <c r="D194" s="71">
        <v>3210505160000</v>
      </c>
      <c r="E194" s="71"/>
      <c r="F194" s="32" t="s">
        <v>612</v>
      </c>
      <c r="G194" s="32" t="s">
        <v>613</v>
      </c>
      <c r="H194" s="32" t="s">
        <v>394</v>
      </c>
      <c r="I194" s="32"/>
      <c r="J194" s="33">
        <v>5</v>
      </c>
      <c r="K194" s="34">
        <v>120</v>
      </c>
      <c r="L194" s="35">
        <v>600</v>
      </c>
      <c r="M194" s="36" t="s">
        <v>32</v>
      </c>
      <c r="N194" s="37">
        <v>1</v>
      </c>
      <c r="O194" s="35">
        <v>600</v>
      </c>
      <c r="P194" s="35" t="s">
        <v>99</v>
      </c>
      <c r="Q194" s="97">
        <v>45427</v>
      </c>
      <c r="R194" s="35" t="s">
        <v>62</v>
      </c>
      <c r="S194" s="38"/>
      <c r="T194" s="78">
        <v>2</v>
      </c>
      <c r="U194" s="78"/>
      <c r="V194" s="78"/>
      <c r="W194" s="78" t="s">
        <v>175</v>
      </c>
      <c r="X194" s="78"/>
      <c r="Y194" s="78"/>
      <c r="Z194" s="78"/>
      <c r="AA194" s="78" t="s">
        <v>225</v>
      </c>
      <c r="AB194" s="78"/>
    </row>
    <row r="195" spans="1:28" x14ac:dyDescent="0.25">
      <c r="A195" t="str">
        <f>IF(EXACT('BOM A320 FFS'!B266,obsoleta!D195),"OK","ERROR")</f>
        <v>ERROR</v>
      </c>
      <c r="C195" s="31" t="s">
        <v>169</v>
      </c>
      <c r="D195" s="71">
        <v>1229599576000</v>
      </c>
      <c r="E195" s="71"/>
      <c r="F195" s="32" t="s">
        <v>3740</v>
      </c>
      <c r="G195" s="32" t="s">
        <v>610</v>
      </c>
      <c r="H195" s="32" t="s">
        <v>394</v>
      </c>
      <c r="I195" s="32"/>
      <c r="J195" s="33">
        <v>5</v>
      </c>
      <c r="K195" s="34">
        <v>120</v>
      </c>
      <c r="L195" s="35">
        <v>600</v>
      </c>
      <c r="M195" s="36" t="s">
        <v>32</v>
      </c>
      <c r="N195" s="37">
        <v>1</v>
      </c>
      <c r="O195" s="35">
        <v>600</v>
      </c>
      <c r="P195" s="35" t="s">
        <v>99</v>
      </c>
      <c r="Q195" s="97">
        <v>45427</v>
      </c>
      <c r="R195" s="35" t="s">
        <v>62</v>
      </c>
      <c r="S195" s="38"/>
      <c r="T195" s="78">
        <v>2</v>
      </c>
      <c r="U195" s="78"/>
      <c r="V195" s="78"/>
      <c r="W195" s="78" t="s">
        <v>175</v>
      </c>
      <c r="X195" s="78"/>
      <c r="Y195" s="78"/>
      <c r="Z195" s="78"/>
      <c r="AA195" s="78" t="s">
        <v>225</v>
      </c>
      <c r="AB195" s="78"/>
    </row>
    <row r="196" spans="1:28" x14ac:dyDescent="0.25">
      <c r="A196" t="str">
        <f>IF(EXACT('BOM A320 FFS'!B267,obsoleta!D196),"OK","ERROR")</f>
        <v>ERROR</v>
      </c>
      <c r="C196" s="31" t="s">
        <v>169</v>
      </c>
      <c r="D196" s="71">
        <v>3170107821090</v>
      </c>
      <c r="E196" s="71"/>
      <c r="F196" s="32" t="s">
        <v>2951</v>
      </c>
      <c r="G196" s="32" t="s">
        <v>2952</v>
      </c>
      <c r="H196" s="32" t="s">
        <v>394</v>
      </c>
      <c r="I196" s="32"/>
      <c r="J196" s="33">
        <v>2</v>
      </c>
      <c r="K196" s="34"/>
      <c r="L196" s="35">
        <v>0</v>
      </c>
      <c r="M196" s="36" t="s">
        <v>32</v>
      </c>
      <c r="N196" s="37">
        <v>1</v>
      </c>
      <c r="O196" s="35">
        <v>0</v>
      </c>
      <c r="P196" s="35" t="s">
        <v>99</v>
      </c>
      <c r="Q196" s="97">
        <v>45427</v>
      </c>
      <c r="R196" s="35" t="s">
        <v>62</v>
      </c>
      <c r="S196" s="38"/>
      <c r="T196" s="78">
        <v>2</v>
      </c>
      <c r="U196" s="78"/>
      <c r="V196" s="78"/>
      <c r="W196" s="78" t="s">
        <v>175</v>
      </c>
      <c r="X196" s="78"/>
      <c r="Y196" s="78"/>
      <c r="Z196" s="78"/>
      <c r="AA196" s="78" t="s">
        <v>225</v>
      </c>
      <c r="AB196" s="78"/>
    </row>
    <row r="197" spans="1:28" x14ac:dyDescent="0.25">
      <c r="A197" t="str">
        <f>IF(EXACT('BOM A320 FFS'!B268,obsoleta!D197),"OK","ERROR")</f>
        <v>ERROR</v>
      </c>
      <c r="C197" s="31" t="s">
        <v>169</v>
      </c>
      <c r="D197" s="71">
        <v>3210512000200</v>
      </c>
      <c r="E197" s="71"/>
      <c r="F197" s="32" t="s">
        <v>1446</v>
      </c>
      <c r="G197" s="32" t="s">
        <v>1447</v>
      </c>
      <c r="H197" s="32"/>
      <c r="I197" s="32"/>
      <c r="J197" s="33">
        <v>15</v>
      </c>
      <c r="K197" s="34">
        <v>5</v>
      </c>
      <c r="L197" s="35">
        <v>75</v>
      </c>
      <c r="M197" s="36" t="s">
        <v>32</v>
      </c>
      <c r="N197" s="37">
        <v>1</v>
      </c>
      <c r="O197" s="35">
        <v>75</v>
      </c>
      <c r="P197" s="35" t="s">
        <v>99</v>
      </c>
      <c r="Q197" s="97">
        <v>45427</v>
      </c>
      <c r="R197" s="35" t="s">
        <v>62</v>
      </c>
      <c r="S197" s="38"/>
      <c r="T197" s="78">
        <v>2</v>
      </c>
      <c r="U197" s="78"/>
      <c r="V197" s="78"/>
      <c r="W197" s="78" t="s">
        <v>175</v>
      </c>
      <c r="X197" s="78"/>
      <c r="Y197" s="78"/>
      <c r="Z197" s="78"/>
      <c r="AA197" s="78" t="s">
        <v>225</v>
      </c>
      <c r="AB197" s="78"/>
    </row>
    <row r="198" spans="1:28" x14ac:dyDescent="0.25">
      <c r="A198" t="str">
        <f>IF(EXACT('BOM A320 FFS'!B272,obsoleta!D198),"OK","ERROR")</f>
        <v>ERROR</v>
      </c>
      <c r="C198" s="48"/>
      <c r="D198" s="48" t="s">
        <v>3632</v>
      </c>
      <c r="E198" s="48"/>
      <c r="F198" s="28"/>
      <c r="G198" s="28"/>
      <c r="H198" s="28"/>
      <c r="I198" s="28"/>
      <c r="J198" s="40"/>
      <c r="K198" s="30"/>
      <c r="L198" s="30"/>
      <c r="M198" s="26"/>
      <c r="N198" s="26"/>
      <c r="O198" s="41"/>
      <c r="P198" s="41"/>
      <c r="Q198" s="98"/>
      <c r="R198" s="41"/>
      <c r="S198" s="30"/>
      <c r="T198" s="78"/>
      <c r="U198" s="78"/>
      <c r="V198" s="78"/>
      <c r="W198" s="78"/>
      <c r="X198" s="78"/>
      <c r="Y198" s="78"/>
      <c r="Z198" s="78"/>
      <c r="AA198" s="78" t="s">
        <v>225</v>
      </c>
      <c r="AB198" s="78"/>
    </row>
    <row r="199" spans="1:28" x14ac:dyDescent="0.25">
      <c r="A199" t="str">
        <f>IF(EXACT('BOM A320 FFS'!B273,obsoleta!D199),"OK","ERROR")</f>
        <v>ERROR</v>
      </c>
      <c r="C199" s="31" t="s">
        <v>169</v>
      </c>
      <c r="D199" s="71">
        <v>3190402881100</v>
      </c>
      <c r="E199" s="71"/>
      <c r="F199" s="32" t="s">
        <v>554</v>
      </c>
      <c r="G199" s="32" t="s">
        <v>555</v>
      </c>
      <c r="H199" s="32" t="s">
        <v>556</v>
      </c>
      <c r="I199" s="32"/>
      <c r="J199" s="33">
        <v>1</v>
      </c>
      <c r="K199" s="34">
        <v>200</v>
      </c>
      <c r="L199" s="35">
        <v>200</v>
      </c>
      <c r="M199" s="36" t="s">
        <v>32</v>
      </c>
      <c r="N199" s="37">
        <v>1</v>
      </c>
      <c r="O199" s="35">
        <v>200</v>
      </c>
      <c r="P199" s="35" t="s">
        <v>33</v>
      </c>
      <c r="Q199" s="97">
        <v>45453</v>
      </c>
      <c r="R199" s="35" t="s">
        <v>62</v>
      </c>
      <c r="S199" s="38"/>
      <c r="T199" s="78">
        <v>2</v>
      </c>
      <c r="U199" s="78"/>
      <c r="V199" s="78"/>
      <c r="W199" s="78" t="s">
        <v>54</v>
      </c>
      <c r="X199" s="78" t="s">
        <v>3732</v>
      </c>
      <c r="Y199" s="78">
        <v>1</v>
      </c>
      <c r="Z199" s="78" t="s">
        <v>48</v>
      </c>
      <c r="AA199" s="78" t="s">
        <v>225</v>
      </c>
      <c r="AB199" s="78">
        <v>1</v>
      </c>
    </row>
    <row r="200" spans="1:28" x14ac:dyDescent="0.25">
      <c r="A200" t="str">
        <f>IF(EXACT('BOM A320 FFS'!B274,obsoleta!D200),"OK","ERROR")</f>
        <v>ERROR</v>
      </c>
      <c r="C200" s="39"/>
      <c r="D200" s="39"/>
      <c r="E200" s="39"/>
      <c r="F200" s="28"/>
      <c r="G200" s="28"/>
      <c r="H200" s="28"/>
      <c r="I200" s="28"/>
      <c r="J200" s="40"/>
      <c r="K200" s="30"/>
      <c r="L200" s="30"/>
      <c r="M200" s="26"/>
      <c r="N200" s="45"/>
      <c r="O200" s="46"/>
      <c r="P200" s="46"/>
      <c r="Q200" s="99"/>
      <c r="R200" s="46"/>
      <c r="S200" s="47"/>
      <c r="T200" s="82"/>
      <c r="U200" s="82"/>
      <c r="V200" s="82"/>
      <c r="W200" s="82"/>
      <c r="X200" s="82"/>
      <c r="Y200" s="82"/>
      <c r="Z200" s="82"/>
      <c r="AA200" s="82" t="s">
        <v>225</v>
      </c>
      <c r="AB200" s="82"/>
    </row>
    <row r="201" spans="1:28" x14ac:dyDescent="0.25">
      <c r="A201" t="str">
        <f>IF(EXACT('BOM A320 FFS'!B282,obsoleta!D201),"OK","ERROR")</f>
        <v>ERROR</v>
      </c>
      <c r="C201" s="39"/>
      <c r="D201" s="39"/>
      <c r="E201" s="39"/>
      <c r="F201" s="28"/>
      <c r="G201" s="28"/>
      <c r="H201" s="28"/>
      <c r="I201" s="28"/>
      <c r="J201" s="40"/>
      <c r="K201" s="41"/>
      <c r="L201" s="30"/>
      <c r="M201" s="26"/>
      <c r="N201" s="26"/>
      <c r="O201" s="41"/>
      <c r="P201" s="41"/>
      <c r="Q201" s="98"/>
      <c r="R201" s="41"/>
      <c r="S201" s="30"/>
      <c r="T201" s="82"/>
      <c r="U201" s="82"/>
      <c r="V201" s="82"/>
      <c r="W201" s="82"/>
      <c r="X201" s="82"/>
      <c r="Y201" s="82"/>
      <c r="Z201" s="82"/>
      <c r="AA201" s="82" t="s">
        <v>225</v>
      </c>
      <c r="AB201" s="82"/>
    </row>
    <row r="202" spans="1:28" ht="18.75" x14ac:dyDescent="0.3">
      <c r="A202" t="str">
        <f>IF(EXACT('BOM A320 FFS'!B292,obsoleta!D202),"OK","ERROR")</f>
        <v>ERROR</v>
      </c>
      <c r="C202" s="19"/>
      <c r="D202" s="19" t="s">
        <v>3638</v>
      </c>
      <c r="E202" s="19"/>
      <c r="F202" s="20"/>
      <c r="G202" s="21"/>
      <c r="H202" s="21"/>
      <c r="I202" s="21"/>
      <c r="J202" s="22"/>
      <c r="K202" s="25"/>
      <c r="L202" s="25"/>
      <c r="M202" s="24"/>
      <c r="N202" s="24"/>
      <c r="O202" s="49"/>
      <c r="P202" s="49"/>
      <c r="Q202" s="100"/>
      <c r="R202" s="49"/>
      <c r="S202" s="25"/>
      <c r="T202" s="49"/>
      <c r="U202" s="49"/>
      <c r="V202" s="49"/>
      <c r="W202" s="49"/>
      <c r="X202" s="49"/>
      <c r="Y202" s="49"/>
      <c r="Z202" s="49"/>
      <c r="AA202" s="49" t="s">
        <v>225</v>
      </c>
      <c r="AB202" s="49"/>
    </row>
    <row r="203" spans="1:28" x14ac:dyDescent="0.25">
      <c r="A203" t="e">
        <f>IF(EXACT('BOM A320 FFS'!#REF!,obsoleta!D203),"OK","ERROR")</f>
        <v>#REF!</v>
      </c>
      <c r="C203" s="31" t="s">
        <v>366</v>
      </c>
      <c r="D203" s="71">
        <v>3190401111101</v>
      </c>
      <c r="E203" s="71"/>
      <c r="F203" s="31" t="s">
        <v>3741</v>
      </c>
      <c r="G203" s="70" t="s">
        <v>3742</v>
      </c>
      <c r="H203" s="32" t="s">
        <v>3743</v>
      </c>
      <c r="I203" s="32"/>
      <c r="J203" s="33">
        <v>6</v>
      </c>
      <c r="K203" s="34">
        <v>350</v>
      </c>
      <c r="L203" s="35">
        <v>2100</v>
      </c>
      <c r="M203" s="36" t="s">
        <v>32</v>
      </c>
      <c r="N203" s="37">
        <v>1</v>
      </c>
      <c r="O203" s="35">
        <v>2100</v>
      </c>
      <c r="P203" s="35" t="s">
        <v>130</v>
      </c>
      <c r="Q203" s="97"/>
      <c r="R203" s="35" t="s">
        <v>62</v>
      </c>
      <c r="S203" s="38"/>
      <c r="T203" s="78">
        <v>2</v>
      </c>
      <c r="U203" s="78"/>
      <c r="V203" s="78"/>
      <c r="W203" s="78" t="s">
        <v>371</v>
      </c>
      <c r="X203" s="78"/>
      <c r="Y203" s="78"/>
      <c r="Z203" s="78"/>
      <c r="AA203" s="78" t="s">
        <v>225</v>
      </c>
      <c r="AB203" s="78"/>
    </row>
    <row r="204" spans="1:28" x14ac:dyDescent="0.25">
      <c r="A204" t="e">
        <f>IF(EXACT('BOM A320 FFS'!#REF!,obsoleta!D204),"OK","ERROR")</f>
        <v>#REF!</v>
      </c>
      <c r="C204" s="71" t="s">
        <v>366</v>
      </c>
      <c r="D204" s="71">
        <v>1312704920000</v>
      </c>
      <c r="E204" s="71"/>
      <c r="F204" s="32" t="s">
        <v>3744</v>
      </c>
      <c r="G204" s="31" t="s">
        <v>3745</v>
      </c>
      <c r="H204" s="32" t="s">
        <v>3746</v>
      </c>
      <c r="I204" s="32"/>
      <c r="J204" s="33">
        <v>1</v>
      </c>
      <c r="K204" s="34">
        <v>1500</v>
      </c>
      <c r="L204" s="35">
        <v>1500</v>
      </c>
      <c r="M204" s="36" t="s">
        <v>32</v>
      </c>
      <c r="N204" s="37">
        <v>1</v>
      </c>
      <c r="O204" s="35">
        <v>1500</v>
      </c>
      <c r="P204" s="35" t="s">
        <v>130</v>
      </c>
      <c r="Q204" s="97"/>
      <c r="R204" s="35" t="s">
        <v>62</v>
      </c>
      <c r="S204" s="38"/>
      <c r="T204" s="78">
        <v>2</v>
      </c>
      <c r="U204" s="78"/>
      <c r="V204" s="78"/>
      <c r="W204" s="78" t="s">
        <v>371</v>
      </c>
      <c r="X204" s="78"/>
      <c r="Y204" s="78"/>
      <c r="Z204" s="78"/>
      <c r="AA204" s="78" t="s">
        <v>225</v>
      </c>
      <c r="AB204" s="78"/>
    </row>
    <row r="205" spans="1:28" x14ac:dyDescent="0.25">
      <c r="A205" t="str">
        <f>IF(EXACT('BOM A320 FFS'!B294,obsoleta!D205),"OK","ERROR")</f>
        <v>ERROR</v>
      </c>
      <c r="C205" s="31" t="s">
        <v>366</v>
      </c>
      <c r="D205" s="71">
        <v>1250100210600</v>
      </c>
      <c r="E205" s="71"/>
      <c r="F205" s="32" t="s">
        <v>482</v>
      </c>
      <c r="G205" s="32" t="s">
        <v>483</v>
      </c>
      <c r="H205" s="32"/>
      <c r="I205" s="32"/>
      <c r="J205" s="33">
        <v>1</v>
      </c>
      <c r="K205" s="34">
        <v>300</v>
      </c>
      <c r="L205" s="35">
        <v>300</v>
      </c>
      <c r="M205" s="36" t="s">
        <v>32</v>
      </c>
      <c r="N205" s="37">
        <v>1</v>
      </c>
      <c r="O205" s="35">
        <v>300</v>
      </c>
      <c r="P205" s="35" t="s">
        <v>130</v>
      </c>
      <c r="Q205" s="97"/>
      <c r="R205" s="35" t="s">
        <v>62</v>
      </c>
      <c r="S205" s="38"/>
      <c r="T205" s="78">
        <v>2</v>
      </c>
      <c r="U205" s="78"/>
      <c r="V205" s="78"/>
      <c r="W205" s="78" t="s">
        <v>371</v>
      </c>
      <c r="X205" s="78"/>
      <c r="Y205" s="78"/>
      <c r="Z205" s="78"/>
      <c r="AA205" s="78" t="s">
        <v>225</v>
      </c>
      <c r="AB205" s="78"/>
    </row>
    <row r="206" spans="1:28" x14ac:dyDescent="0.25">
      <c r="A206" t="e">
        <f>IF(EXACT('BOM A320 FFS'!#REF!,obsoleta!D206),"OK","ERROR")</f>
        <v>#REF!</v>
      </c>
      <c r="C206" s="31" t="s">
        <v>366</v>
      </c>
      <c r="D206" s="71">
        <v>1311006910000</v>
      </c>
      <c r="E206" s="71"/>
      <c r="F206" s="32" t="s">
        <v>3747</v>
      </c>
      <c r="G206" s="32" t="s">
        <v>3748</v>
      </c>
      <c r="H206" s="32"/>
      <c r="I206" s="32"/>
      <c r="J206" s="33">
        <v>1</v>
      </c>
      <c r="K206" s="34">
        <v>100</v>
      </c>
      <c r="L206" s="35">
        <v>100</v>
      </c>
      <c r="M206" s="36" t="s">
        <v>32</v>
      </c>
      <c r="N206" s="37">
        <v>1</v>
      </c>
      <c r="O206" s="35">
        <v>100</v>
      </c>
      <c r="P206" s="35" t="s">
        <v>130</v>
      </c>
      <c r="Q206" s="97"/>
      <c r="R206" s="35" t="s">
        <v>62</v>
      </c>
      <c r="S206" s="38"/>
      <c r="T206" s="78">
        <v>2</v>
      </c>
      <c r="U206" s="78"/>
      <c r="V206" s="78"/>
      <c r="W206" s="78" t="s">
        <v>371</v>
      </c>
      <c r="X206" s="78"/>
      <c r="Y206" s="78"/>
      <c r="Z206" s="78"/>
      <c r="AA206" s="78" t="s">
        <v>225</v>
      </c>
      <c r="AB206" s="78"/>
    </row>
    <row r="207" spans="1:28" x14ac:dyDescent="0.25">
      <c r="A207" t="e">
        <f>IF(EXACT('BOM A320 FFS'!#REF!,obsoleta!D207),"OK","ERROR")</f>
        <v>#REF!</v>
      </c>
      <c r="C207" s="31" t="s">
        <v>366</v>
      </c>
      <c r="D207" s="71">
        <v>1311006919000</v>
      </c>
      <c r="E207" s="71"/>
      <c r="F207" s="32" t="s">
        <v>3749</v>
      </c>
      <c r="G207" s="32" t="s">
        <v>3750</v>
      </c>
      <c r="H207" s="32"/>
      <c r="I207" s="32"/>
      <c r="J207" s="33">
        <v>1</v>
      </c>
      <c r="K207" s="34">
        <v>20</v>
      </c>
      <c r="L207" s="35">
        <v>20</v>
      </c>
      <c r="M207" s="36" t="s">
        <v>32</v>
      </c>
      <c r="N207" s="37">
        <v>1</v>
      </c>
      <c r="O207" s="35">
        <v>20</v>
      </c>
      <c r="P207" s="35" t="s">
        <v>130</v>
      </c>
      <c r="Q207" s="97"/>
      <c r="R207" s="35" t="s">
        <v>62</v>
      </c>
      <c r="S207" s="38"/>
      <c r="T207" s="78">
        <v>2</v>
      </c>
      <c r="U207" s="78"/>
      <c r="V207" s="78"/>
      <c r="W207" s="78" t="s">
        <v>371</v>
      </c>
      <c r="X207" s="78"/>
      <c r="Y207" s="78"/>
      <c r="Z207" s="78"/>
      <c r="AA207" s="78" t="s">
        <v>225</v>
      </c>
      <c r="AB207" s="78"/>
    </row>
    <row r="208" spans="1:28" x14ac:dyDescent="0.25">
      <c r="A208" t="e">
        <f>IF(EXACT('BOM A320 FFS'!#REF!,obsoleta!D208),"OK","ERROR")</f>
        <v>#REF!</v>
      </c>
      <c r="C208" s="31" t="s">
        <v>366</v>
      </c>
      <c r="D208" s="71">
        <v>1311006919100</v>
      </c>
      <c r="E208" s="71"/>
      <c r="F208" s="32" t="s">
        <v>3751</v>
      </c>
      <c r="G208" s="70" t="s">
        <v>3752</v>
      </c>
      <c r="H208" s="32"/>
      <c r="I208" s="32"/>
      <c r="J208" s="33">
        <v>1</v>
      </c>
      <c r="K208" s="34">
        <v>20</v>
      </c>
      <c r="L208" s="35">
        <v>20</v>
      </c>
      <c r="M208" s="36" t="s">
        <v>32</v>
      </c>
      <c r="N208" s="37">
        <v>1</v>
      </c>
      <c r="O208" s="35">
        <v>20</v>
      </c>
      <c r="P208" s="35" t="s">
        <v>130</v>
      </c>
      <c r="Q208" s="97"/>
      <c r="R208" s="35" t="s">
        <v>62</v>
      </c>
      <c r="S208" s="38"/>
      <c r="T208" s="78">
        <v>2</v>
      </c>
      <c r="U208" s="78"/>
      <c r="V208" s="78"/>
      <c r="W208" s="78" t="s">
        <v>371</v>
      </c>
      <c r="X208" s="78"/>
      <c r="Y208" s="78"/>
      <c r="Z208" s="78"/>
      <c r="AA208" s="78" t="s">
        <v>225</v>
      </c>
      <c r="AB208" s="78"/>
    </row>
    <row r="209" spans="1:28" x14ac:dyDescent="0.25">
      <c r="A209" t="e">
        <f>IF(EXACT('BOM A320 FFS'!#REF!,obsoleta!D209),"OK","ERROR")</f>
        <v>#REF!</v>
      </c>
      <c r="C209" s="32" t="s">
        <v>366</v>
      </c>
      <c r="D209" s="70">
        <v>1229511811600</v>
      </c>
      <c r="E209" s="70"/>
      <c r="F209" s="32" t="s">
        <v>3753</v>
      </c>
      <c r="G209" s="32" t="s">
        <v>3754</v>
      </c>
      <c r="H209" s="32"/>
      <c r="I209" s="32"/>
      <c r="J209" s="33">
        <v>1</v>
      </c>
      <c r="K209" s="34">
        <v>20</v>
      </c>
      <c r="L209" s="35">
        <v>20</v>
      </c>
      <c r="M209" s="36" t="s">
        <v>32</v>
      </c>
      <c r="N209" s="37">
        <v>1</v>
      </c>
      <c r="O209" s="35">
        <v>20</v>
      </c>
      <c r="P209" s="35" t="s">
        <v>130</v>
      </c>
      <c r="Q209" s="97"/>
      <c r="R209" s="35" t="s">
        <v>62</v>
      </c>
      <c r="S209" s="38"/>
      <c r="T209" s="78">
        <v>2</v>
      </c>
      <c r="U209" s="78"/>
      <c r="V209" s="78"/>
      <c r="W209" s="78" t="s">
        <v>371</v>
      </c>
      <c r="X209" s="78"/>
      <c r="Y209" s="78"/>
      <c r="Z209" s="78"/>
      <c r="AA209" s="78" t="s">
        <v>225</v>
      </c>
      <c r="AB209" s="78"/>
    </row>
    <row r="210" spans="1:28" x14ac:dyDescent="0.25">
      <c r="A210" t="str">
        <f>IF(EXACT('BOM A320 FFS'!B298,obsoleta!D210),"OK","ERROR")</f>
        <v>ERROR</v>
      </c>
      <c r="C210" s="39"/>
      <c r="D210" s="39"/>
      <c r="E210" s="39"/>
      <c r="F210" s="28"/>
      <c r="G210" s="28"/>
      <c r="H210" s="28"/>
      <c r="I210" s="28"/>
      <c r="J210" s="40"/>
      <c r="K210" s="41"/>
      <c r="L210" s="30"/>
      <c r="M210" s="26"/>
      <c r="N210" s="26"/>
      <c r="O210" s="41"/>
      <c r="P210" s="41"/>
      <c r="Q210" s="98"/>
      <c r="R210" s="41"/>
      <c r="S210" s="30"/>
      <c r="T210" s="82"/>
      <c r="U210" s="82"/>
      <c r="V210" s="82"/>
      <c r="W210" s="82"/>
      <c r="X210" s="82"/>
      <c r="Y210" s="82"/>
      <c r="Z210" s="82"/>
      <c r="AA210" s="82" t="s">
        <v>225</v>
      </c>
      <c r="AB210" s="82"/>
    </row>
    <row r="211" spans="1:28" ht="18.75" x14ac:dyDescent="0.3">
      <c r="A211" t="str">
        <f>IF(EXACT('BOM A320 FFS'!B299,obsoleta!D211),"OK","ERROR")</f>
        <v>ERROR</v>
      </c>
      <c r="C211" s="19"/>
      <c r="D211" s="19" t="s">
        <v>3639</v>
      </c>
      <c r="E211" s="19"/>
      <c r="F211" s="20"/>
      <c r="G211" s="21"/>
      <c r="H211" s="21"/>
      <c r="I211" s="21"/>
      <c r="J211" s="22"/>
      <c r="K211" s="25"/>
      <c r="L211" s="25"/>
      <c r="M211" s="24"/>
      <c r="N211" s="24"/>
      <c r="O211" s="49"/>
      <c r="P211" s="49"/>
      <c r="Q211" s="100"/>
      <c r="R211" s="49"/>
      <c r="S211" s="25"/>
      <c r="T211" s="49"/>
      <c r="U211" s="49"/>
      <c r="V211" s="49"/>
      <c r="W211" s="49"/>
      <c r="X211" s="49"/>
      <c r="Y211" s="49"/>
      <c r="Z211" s="49"/>
      <c r="AA211" s="49" t="s">
        <v>225</v>
      </c>
      <c r="AB211" s="49"/>
    </row>
    <row r="212" spans="1:28" x14ac:dyDescent="0.25">
      <c r="A212" t="str">
        <f>IF(EXACT('BOM A320 FFS'!B300,obsoleta!D212),"OK","ERROR")</f>
        <v>ERROR</v>
      </c>
      <c r="C212" s="48"/>
      <c r="D212" s="48" t="s">
        <v>3640</v>
      </c>
      <c r="E212" s="48"/>
      <c r="F212" s="28"/>
      <c r="G212" s="28"/>
      <c r="H212" s="28"/>
      <c r="I212" s="28"/>
      <c r="J212" s="40"/>
      <c r="K212" s="41"/>
      <c r="L212" s="30"/>
      <c r="M212" s="26"/>
      <c r="N212" s="26"/>
      <c r="O212" s="41"/>
      <c r="P212" s="41"/>
      <c r="Q212" s="98"/>
      <c r="R212" s="41"/>
      <c r="S212" s="30"/>
      <c r="T212" s="82"/>
      <c r="U212" s="82"/>
      <c r="V212" s="82"/>
      <c r="W212" s="82"/>
      <c r="X212" s="82"/>
      <c r="Y212" s="82"/>
      <c r="Z212" s="82"/>
      <c r="AA212" s="82" t="s">
        <v>225</v>
      </c>
      <c r="AB212" s="82"/>
    </row>
    <row r="213" spans="1:28" x14ac:dyDescent="0.25">
      <c r="A213" t="str">
        <f>IF(EXACT('BOM A320 FFS'!B301,obsoleta!D213),"OK","ERROR")</f>
        <v>ERROR</v>
      </c>
      <c r="C213" s="116" t="s">
        <v>217</v>
      </c>
      <c r="D213" s="117">
        <v>3200501561700</v>
      </c>
      <c r="E213" s="117"/>
      <c r="F213" s="118" t="s">
        <v>258</v>
      </c>
      <c r="G213" s="118" t="s">
        <v>259</v>
      </c>
      <c r="H213" s="118" t="s">
        <v>260</v>
      </c>
      <c r="I213" s="118" t="s">
        <v>256</v>
      </c>
      <c r="J213" s="33">
        <v>0</v>
      </c>
      <c r="K213" s="34">
        <v>2800</v>
      </c>
      <c r="L213" s="35">
        <v>0</v>
      </c>
      <c r="M213" s="36" t="s">
        <v>32</v>
      </c>
      <c r="N213" s="37">
        <v>1</v>
      </c>
      <c r="O213" s="35">
        <v>0</v>
      </c>
      <c r="P213" s="35" t="s">
        <v>33</v>
      </c>
      <c r="Q213" s="97">
        <v>45453</v>
      </c>
      <c r="R213" s="35" t="s">
        <v>62</v>
      </c>
      <c r="S213" s="38"/>
      <c r="T213" s="78">
        <v>1</v>
      </c>
      <c r="U213" s="78"/>
      <c r="V213" s="78"/>
      <c r="W213" s="78" t="s">
        <v>223</v>
      </c>
      <c r="X213" s="78"/>
      <c r="Y213" s="78"/>
      <c r="Z213" s="78"/>
      <c r="AA213" s="78" t="s">
        <v>225</v>
      </c>
      <c r="AB213" s="78">
        <v>0</v>
      </c>
    </row>
    <row r="214" spans="1:28" x14ac:dyDescent="0.25">
      <c r="A214" t="str">
        <f>IF(EXACT('BOM A320 FFS'!B302,obsoleta!D214),"OK","ERROR")</f>
        <v>ERROR</v>
      </c>
      <c r="C214" s="51" t="s">
        <v>298</v>
      </c>
      <c r="D214" s="51" t="s">
        <v>2500</v>
      </c>
      <c r="E214" s="51"/>
      <c r="F214" s="32" t="s">
        <v>2502</v>
      </c>
      <c r="G214" s="32">
        <v>972828190100</v>
      </c>
      <c r="H214" s="52"/>
      <c r="I214" s="32" t="s">
        <v>301</v>
      </c>
      <c r="J214" s="54">
        <v>1</v>
      </c>
      <c r="K214" s="38"/>
      <c r="L214" s="35">
        <v>0</v>
      </c>
      <c r="M214" s="54" t="s">
        <v>32</v>
      </c>
      <c r="N214" s="37">
        <v>1</v>
      </c>
      <c r="O214" s="35">
        <v>0</v>
      </c>
      <c r="P214" s="35" t="s">
        <v>33</v>
      </c>
      <c r="Q214" s="97">
        <v>45453</v>
      </c>
      <c r="R214" s="35" t="s">
        <v>62</v>
      </c>
      <c r="S214" s="38"/>
      <c r="T214" s="78">
        <v>1</v>
      </c>
      <c r="U214" s="78" t="s">
        <v>34</v>
      </c>
      <c r="V214" s="78"/>
      <c r="W214" s="78" t="s">
        <v>223</v>
      </c>
      <c r="X214" s="78" t="s">
        <v>3755</v>
      </c>
      <c r="Y214" s="78">
        <v>1</v>
      </c>
      <c r="Z214" s="78" t="s">
        <v>48</v>
      </c>
      <c r="AA214" s="78" t="s">
        <v>225</v>
      </c>
      <c r="AB214" s="78">
        <v>1</v>
      </c>
    </row>
    <row r="215" spans="1:28" x14ac:dyDescent="0.25">
      <c r="A215" t="str">
        <f>IF(EXACT('BOM A320 FFS'!B303,obsoleta!D215),"OK","ERROR")</f>
        <v>ERROR</v>
      </c>
      <c r="C215" s="31" t="s">
        <v>217</v>
      </c>
      <c r="D215" s="71">
        <v>3200501301700</v>
      </c>
      <c r="E215" s="71"/>
      <c r="F215" s="32" t="s">
        <v>254</v>
      </c>
      <c r="G215" s="32" t="s">
        <v>255</v>
      </c>
      <c r="H215" s="32"/>
      <c r="I215" s="32" t="s">
        <v>256</v>
      </c>
      <c r="J215" s="33">
        <v>1</v>
      </c>
      <c r="K215" s="34">
        <v>2800</v>
      </c>
      <c r="L215" s="35">
        <v>2800</v>
      </c>
      <c r="M215" s="36" t="s">
        <v>32</v>
      </c>
      <c r="N215" s="37">
        <v>1</v>
      </c>
      <c r="O215" s="35">
        <v>2800</v>
      </c>
      <c r="P215" s="35" t="s">
        <v>33</v>
      </c>
      <c r="Q215" s="97">
        <v>45453</v>
      </c>
      <c r="R215" s="35" t="s">
        <v>62</v>
      </c>
      <c r="S215" s="38"/>
      <c r="T215" s="78">
        <v>1</v>
      </c>
      <c r="U215" s="78"/>
      <c r="V215" s="78"/>
      <c r="W215" s="78" t="s">
        <v>223</v>
      </c>
      <c r="X215" s="78"/>
      <c r="Y215" s="78">
        <v>1</v>
      </c>
      <c r="Z215" s="78" t="s">
        <v>48</v>
      </c>
      <c r="AA215" s="78" t="s">
        <v>225</v>
      </c>
      <c r="AB215" s="78">
        <v>1</v>
      </c>
    </row>
    <row r="216" spans="1:28" x14ac:dyDescent="0.25">
      <c r="A216" t="str">
        <f>IF(EXACT('BOM A320 FFS'!B304,obsoleta!D216),"OK","ERROR")</f>
        <v>ERROR</v>
      </c>
      <c r="C216" s="31" t="s">
        <v>217</v>
      </c>
      <c r="D216" s="71">
        <v>1217000831000</v>
      </c>
      <c r="E216" s="71"/>
      <c r="F216" s="32" t="s">
        <v>1450</v>
      </c>
      <c r="G216" s="70" t="s">
        <v>1451</v>
      </c>
      <c r="H216" s="32" t="s">
        <v>461</v>
      </c>
      <c r="I216" s="32" t="s">
        <v>461</v>
      </c>
      <c r="J216" s="33">
        <v>6</v>
      </c>
      <c r="K216" s="34">
        <v>5</v>
      </c>
      <c r="L216" s="35">
        <v>30</v>
      </c>
      <c r="M216" s="36" t="s">
        <v>32</v>
      </c>
      <c r="N216" s="37">
        <v>1</v>
      </c>
      <c r="O216" s="35">
        <v>30</v>
      </c>
      <c r="P216" s="35" t="s">
        <v>33</v>
      </c>
      <c r="Q216" s="97">
        <v>45453</v>
      </c>
      <c r="R216" s="35" t="s">
        <v>62</v>
      </c>
      <c r="S216" s="38"/>
      <c r="T216" s="78">
        <v>2</v>
      </c>
      <c r="U216" s="78"/>
      <c r="V216" s="78"/>
      <c r="W216" s="78" t="s">
        <v>223</v>
      </c>
      <c r="X216" s="78"/>
      <c r="Y216" s="78">
        <v>1</v>
      </c>
      <c r="Z216" s="78" t="s">
        <v>48</v>
      </c>
      <c r="AA216" s="78" t="s">
        <v>225</v>
      </c>
      <c r="AB216" s="78">
        <v>6</v>
      </c>
    </row>
    <row r="217" spans="1:28" x14ac:dyDescent="0.25">
      <c r="A217" t="str">
        <f>IF(EXACT('BOM A320 FFS'!B305,obsoleta!D217),"OK","ERROR")</f>
        <v>ERROR</v>
      </c>
      <c r="C217" s="32" t="s">
        <v>217</v>
      </c>
      <c r="D217" s="70">
        <v>1263511000106</v>
      </c>
      <c r="E217" s="70"/>
      <c r="F217" s="32" t="s">
        <v>1104</v>
      </c>
      <c r="G217" s="32" t="s">
        <v>1105</v>
      </c>
      <c r="H217" s="32"/>
      <c r="I217" s="32" t="s">
        <v>461</v>
      </c>
      <c r="J217" s="33">
        <v>1</v>
      </c>
      <c r="K217" s="34">
        <v>30</v>
      </c>
      <c r="L217" s="35">
        <v>30</v>
      </c>
      <c r="M217" s="36" t="s">
        <v>32</v>
      </c>
      <c r="N217" s="37">
        <v>1</v>
      </c>
      <c r="O217" s="35">
        <v>30</v>
      </c>
      <c r="P217" s="35" t="s">
        <v>33</v>
      </c>
      <c r="Q217" s="97">
        <v>45453</v>
      </c>
      <c r="R217" s="35" t="s">
        <v>62</v>
      </c>
      <c r="S217" s="38"/>
      <c r="T217" s="78">
        <v>2</v>
      </c>
      <c r="U217" s="78"/>
      <c r="V217" s="78"/>
      <c r="W217" s="78" t="s">
        <v>223</v>
      </c>
      <c r="X217" s="78"/>
      <c r="Y217" s="78">
        <v>1</v>
      </c>
      <c r="Z217" s="78" t="s">
        <v>48</v>
      </c>
      <c r="AA217" s="78" t="s">
        <v>225</v>
      </c>
      <c r="AB217" s="78">
        <v>1</v>
      </c>
    </row>
    <row r="218" spans="1:28" x14ac:dyDescent="0.25">
      <c r="A218" t="str">
        <f>IF(EXACT('BOM A320 FFS'!B306,obsoleta!D218),"OK","ERROR")</f>
        <v>ERROR</v>
      </c>
      <c r="C218" s="32" t="s">
        <v>217</v>
      </c>
      <c r="D218" s="70">
        <v>1229590140400</v>
      </c>
      <c r="E218" s="70"/>
      <c r="F218" s="31" t="s">
        <v>1089</v>
      </c>
      <c r="G218" s="32" t="s">
        <v>1090</v>
      </c>
      <c r="H218" s="32"/>
      <c r="I218" s="32" t="s">
        <v>461</v>
      </c>
      <c r="J218" s="33">
        <v>6</v>
      </c>
      <c r="K218" s="34">
        <v>30</v>
      </c>
      <c r="L218" s="35">
        <v>180</v>
      </c>
      <c r="M218" s="36" t="s">
        <v>32</v>
      </c>
      <c r="N218" s="37">
        <v>1</v>
      </c>
      <c r="O218" s="35">
        <v>180</v>
      </c>
      <c r="P218" s="35" t="s">
        <v>33</v>
      </c>
      <c r="Q218" s="97">
        <v>45453</v>
      </c>
      <c r="R218" s="35" t="s">
        <v>62</v>
      </c>
      <c r="S218" s="38"/>
      <c r="T218" s="78">
        <v>2</v>
      </c>
      <c r="U218" s="78"/>
      <c r="V218" s="78"/>
      <c r="W218" s="78" t="s">
        <v>223</v>
      </c>
      <c r="X218" s="78"/>
      <c r="Y218" s="78">
        <v>1</v>
      </c>
      <c r="Z218" s="78" t="s">
        <v>48</v>
      </c>
      <c r="AA218" s="78" t="s">
        <v>1670</v>
      </c>
      <c r="AB218" s="78">
        <v>6</v>
      </c>
    </row>
    <row r="219" spans="1:28" x14ac:dyDescent="0.25">
      <c r="A219" t="str">
        <f>IF(EXACT('BOM A320 FFS'!B309,obsoleta!D219),"OK","ERROR")</f>
        <v>ERROR</v>
      </c>
      <c r="C219" s="31" t="s">
        <v>217</v>
      </c>
      <c r="D219" s="71">
        <v>1390303690000</v>
      </c>
      <c r="E219" s="71"/>
      <c r="F219" s="32" t="s">
        <v>433</v>
      </c>
      <c r="G219" s="32" t="s">
        <v>434</v>
      </c>
      <c r="H219" s="32" t="s">
        <v>435</v>
      </c>
      <c r="I219" s="32"/>
      <c r="J219" s="33">
        <v>6</v>
      </c>
      <c r="K219" s="34">
        <v>450</v>
      </c>
      <c r="L219" s="35">
        <v>2700</v>
      </c>
      <c r="M219" s="36" t="s">
        <v>32</v>
      </c>
      <c r="N219" s="37">
        <v>1</v>
      </c>
      <c r="O219" s="35">
        <v>2700</v>
      </c>
      <c r="P219" s="35" t="s">
        <v>33</v>
      </c>
      <c r="Q219" s="97">
        <v>45453</v>
      </c>
      <c r="R219" s="35" t="s">
        <v>62</v>
      </c>
      <c r="S219" s="38"/>
      <c r="T219" s="78">
        <v>1</v>
      </c>
      <c r="U219" s="78"/>
      <c r="V219" s="78"/>
      <c r="W219" s="78" t="s">
        <v>223</v>
      </c>
      <c r="X219" s="78"/>
      <c r="Y219" s="78">
        <v>1</v>
      </c>
      <c r="Z219" s="78" t="s">
        <v>48</v>
      </c>
      <c r="AA219" s="78" t="s">
        <v>225</v>
      </c>
      <c r="AB219" s="78">
        <v>6</v>
      </c>
    </row>
    <row r="220" spans="1:28" x14ac:dyDescent="0.25">
      <c r="A220" t="str">
        <f>IF(EXACT('BOM A320 FFS'!B310,obsoleta!D220),"OK","ERROR")</f>
        <v>ERROR</v>
      </c>
      <c r="C220" s="31" t="s">
        <v>1662</v>
      </c>
      <c r="D220" s="71">
        <v>1002541009009</v>
      </c>
      <c r="E220" s="71"/>
      <c r="F220" s="32" t="s">
        <v>1800</v>
      </c>
      <c r="G220" s="70"/>
      <c r="H220" s="32"/>
      <c r="I220" s="32"/>
      <c r="J220" s="33">
        <v>3</v>
      </c>
      <c r="K220" s="34">
        <v>1</v>
      </c>
      <c r="L220" s="35">
        <v>3</v>
      </c>
      <c r="M220" s="36" t="s">
        <v>32</v>
      </c>
      <c r="N220" s="37">
        <v>1</v>
      </c>
      <c r="O220" s="35">
        <v>3</v>
      </c>
      <c r="P220" s="35" t="s">
        <v>33</v>
      </c>
      <c r="Q220" s="97">
        <v>45453</v>
      </c>
      <c r="R220" s="35" t="s">
        <v>62</v>
      </c>
      <c r="S220" s="38"/>
      <c r="T220" s="78">
        <v>2</v>
      </c>
      <c r="U220" s="78"/>
      <c r="V220" s="78"/>
      <c r="W220" s="78" t="s">
        <v>223</v>
      </c>
      <c r="X220" s="78"/>
      <c r="Y220" s="78">
        <v>1</v>
      </c>
      <c r="Z220" s="78" t="s">
        <v>48</v>
      </c>
      <c r="AA220" s="78" t="s">
        <v>225</v>
      </c>
      <c r="AB220" s="78">
        <v>3</v>
      </c>
    </row>
    <row r="221" spans="1:28" x14ac:dyDescent="0.25">
      <c r="A221" t="str">
        <f>IF(EXACT('BOM A320 FFS'!B311,obsoleta!D221),"OK","ERROR")</f>
        <v>ERROR</v>
      </c>
      <c r="C221" s="71" t="s">
        <v>217</v>
      </c>
      <c r="D221" s="71">
        <v>3210501151200</v>
      </c>
      <c r="E221" s="71"/>
      <c r="F221" s="32" t="s">
        <v>527</v>
      </c>
      <c r="G221" s="32" t="s">
        <v>528</v>
      </c>
      <c r="H221" s="32" t="s">
        <v>435</v>
      </c>
      <c r="I221" s="32"/>
      <c r="J221" s="33">
        <v>2</v>
      </c>
      <c r="K221" s="34">
        <v>228</v>
      </c>
      <c r="L221" s="35">
        <v>456</v>
      </c>
      <c r="M221" s="36" t="s">
        <v>32</v>
      </c>
      <c r="N221" s="37">
        <v>1</v>
      </c>
      <c r="O221" s="35">
        <v>456</v>
      </c>
      <c r="P221" s="35" t="s">
        <v>33</v>
      </c>
      <c r="Q221" s="97">
        <v>45453</v>
      </c>
      <c r="R221" s="35" t="s">
        <v>62</v>
      </c>
      <c r="S221" s="38"/>
      <c r="T221" s="78">
        <v>1</v>
      </c>
      <c r="U221" s="78"/>
      <c r="V221" s="78"/>
      <c r="W221" s="78" t="s">
        <v>223</v>
      </c>
      <c r="X221" s="78"/>
      <c r="Y221" s="78">
        <v>1</v>
      </c>
      <c r="Z221" s="78" t="s">
        <v>48</v>
      </c>
      <c r="AA221" s="78" t="s">
        <v>225</v>
      </c>
      <c r="AB221" s="78">
        <v>2</v>
      </c>
    </row>
    <row r="222" spans="1:28" x14ac:dyDescent="0.25">
      <c r="A222" t="str">
        <f>IF(EXACT('BOM A320 FFS'!B312,obsoleta!D222),"OK","ERROR")</f>
        <v>ERROR</v>
      </c>
      <c r="C222" s="31" t="s">
        <v>1662</v>
      </c>
      <c r="D222" s="71">
        <v>1002551003509</v>
      </c>
      <c r="E222" s="71"/>
      <c r="F222" s="32" t="s">
        <v>1806</v>
      </c>
      <c r="G222" s="70"/>
      <c r="H222" s="32"/>
      <c r="I222" s="32"/>
      <c r="J222" s="33">
        <v>2</v>
      </c>
      <c r="K222" s="34">
        <v>1</v>
      </c>
      <c r="L222" s="35">
        <v>2</v>
      </c>
      <c r="M222" s="36" t="s">
        <v>32</v>
      </c>
      <c r="N222" s="37">
        <v>1</v>
      </c>
      <c r="O222" s="35">
        <v>2</v>
      </c>
      <c r="P222" s="35" t="s">
        <v>33</v>
      </c>
      <c r="Q222" s="97">
        <v>45453</v>
      </c>
      <c r="R222" s="35" t="s">
        <v>62</v>
      </c>
      <c r="S222" s="38"/>
      <c r="T222" s="78">
        <v>2</v>
      </c>
      <c r="U222" s="78"/>
      <c r="V222" s="78"/>
      <c r="W222" s="78" t="s">
        <v>223</v>
      </c>
      <c r="X222" s="78"/>
      <c r="Y222" s="78">
        <v>1</v>
      </c>
      <c r="Z222" s="78" t="s">
        <v>48</v>
      </c>
      <c r="AA222" s="78" t="s">
        <v>225</v>
      </c>
      <c r="AB222" s="78">
        <v>2</v>
      </c>
    </row>
    <row r="223" spans="1:28" x14ac:dyDescent="0.25">
      <c r="A223" t="str">
        <f>IF(EXACT('BOM A320 FFS'!B314,obsoleta!D223),"OK","ERROR")</f>
        <v>ERROR</v>
      </c>
      <c r="C223" s="31" t="s">
        <v>217</v>
      </c>
      <c r="D223" s="71">
        <v>1351710950100</v>
      </c>
      <c r="E223" s="71"/>
      <c r="F223" s="32" t="s">
        <v>320</v>
      </c>
      <c r="G223" s="32" t="s">
        <v>321</v>
      </c>
      <c r="H223" s="32" t="s">
        <v>322</v>
      </c>
      <c r="I223" s="32" t="s">
        <v>322</v>
      </c>
      <c r="J223" s="33">
        <v>1</v>
      </c>
      <c r="K223" s="34">
        <v>1500</v>
      </c>
      <c r="L223" s="35">
        <v>1500</v>
      </c>
      <c r="M223" s="36" t="s">
        <v>32</v>
      </c>
      <c r="N223" s="37">
        <v>1</v>
      </c>
      <c r="O223" s="35">
        <v>1500</v>
      </c>
      <c r="P223" s="35" t="s">
        <v>33</v>
      </c>
      <c r="Q223" s="97">
        <v>45453</v>
      </c>
      <c r="R223" s="35" t="s">
        <v>62</v>
      </c>
      <c r="S223" s="38"/>
      <c r="T223" s="78">
        <v>2</v>
      </c>
      <c r="U223" s="78"/>
      <c r="V223" s="78"/>
      <c r="W223" s="78" t="s">
        <v>223</v>
      </c>
      <c r="X223" s="78"/>
      <c r="Y223" s="78">
        <v>1</v>
      </c>
      <c r="Z223" s="78" t="s">
        <v>48</v>
      </c>
      <c r="AA223" s="78" t="s">
        <v>225</v>
      </c>
      <c r="AB223" s="78">
        <v>1</v>
      </c>
    </row>
    <row r="224" spans="1:28" x14ac:dyDescent="0.25">
      <c r="A224" t="str">
        <f>IF(EXACT('BOM A320 FFS'!B315,obsoleta!D224),"OK","ERROR")</f>
        <v>ERROR</v>
      </c>
      <c r="C224" s="31" t="s">
        <v>1662</v>
      </c>
      <c r="D224" s="71">
        <v>1050106909000</v>
      </c>
      <c r="E224" s="71"/>
      <c r="F224" s="32" t="s">
        <v>1802</v>
      </c>
      <c r="G224" s="70"/>
      <c r="H224" s="32"/>
      <c r="I224" s="32"/>
      <c r="J224" s="33">
        <v>2</v>
      </c>
      <c r="K224" s="34">
        <v>1</v>
      </c>
      <c r="L224" s="35">
        <v>2</v>
      </c>
      <c r="M224" s="36" t="s">
        <v>32</v>
      </c>
      <c r="N224" s="37">
        <v>1</v>
      </c>
      <c r="O224" s="35">
        <v>2</v>
      </c>
      <c r="P224" s="35" t="s">
        <v>33</v>
      </c>
      <c r="Q224" s="97">
        <v>45453</v>
      </c>
      <c r="R224" s="35" t="s">
        <v>62</v>
      </c>
      <c r="S224" s="38"/>
      <c r="T224" s="78">
        <v>2</v>
      </c>
      <c r="U224" s="78"/>
      <c r="V224" s="78"/>
      <c r="W224" s="78" t="s">
        <v>223</v>
      </c>
      <c r="X224" s="78"/>
      <c r="Y224" s="78">
        <v>1</v>
      </c>
      <c r="Z224" s="78" t="s">
        <v>48</v>
      </c>
      <c r="AA224" s="78" t="s">
        <v>225</v>
      </c>
      <c r="AB224" s="78">
        <v>2</v>
      </c>
    </row>
    <row r="225" spans="1:28" x14ac:dyDescent="0.25">
      <c r="A225" t="str">
        <f>IF(EXACT('BOM A320 FFS'!B316,obsoleta!D225),"OK","ERROR")</f>
        <v>ERROR</v>
      </c>
      <c r="C225" s="31" t="s">
        <v>217</v>
      </c>
      <c r="D225" s="71">
        <v>3170103091600</v>
      </c>
      <c r="E225" s="71"/>
      <c r="F225" s="32" t="s">
        <v>591</v>
      </c>
      <c r="G225" s="70" t="s">
        <v>592</v>
      </c>
      <c r="H225" s="32"/>
      <c r="I225" s="32"/>
      <c r="J225" s="33">
        <v>1</v>
      </c>
      <c r="K225" s="34">
        <v>130</v>
      </c>
      <c r="L225" s="35">
        <v>130</v>
      </c>
      <c r="M225" s="36" t="s">
        <v>32</v>
      </c>
      <c r="N225" s="37">
        <v>1</v>
      </c>
      <c r="O225" s="35">
        <v>130</v>
      </c>
      <c r="P225" s="35" t="s">
        <v>33</v>
      </c>
      <c r="Q225" s="97">
        <v>45453</v>
      </c>
      <c r="R225" s="35" t="s">
        <v>62</v>
      </c>
      <c r="S225" s="38"/>
      <c r="T225" s="78">
        <v>2</v>
      </c>
      <c r="U225" s="78"/>
      <c r="V225" s="78"/>
      <c r="W225" s="78" t="s">
        <v>223</v>
      </c>
      <c r="X225" s="78"/>
      <c r="Y225" s="78">
        <v>1</v>
      </c>
      <c r="Z225" s="78" t="s">
        <v>48</v>
      </c>
      <c r="AA225" s="78" t="s">
        <v>225</v>
      </c>
      <c r="AB225" s="78">
        <v>1</v>
      </c>
    </row>
    <row r="226" spans="1:28" x14ac:dyDescent="0.25">
      <c r="A226" t="str">
        <f>IF(EXACT('BOM A320 FFS'!B317,obsoleta!D226),"OK","ERROR")</f>
        <v>ERROR</v>
      </c>
      <c r="C226" s="31" t="s">
        <v>1662</v>
      </c>
      <c r="D226" s="71">
        <v>1219001090100</v>
      </c>
      <c r="E226" s="71"/>
      <c r="F226" s="32" t="s">
        <v>1676</v>
      </c>
      <c r="G226" s="70"/>
      <c r="H226" s="32"/>
      <c r="I226" s="32"/>
      <c r="J226" s="33">
        <v>1</v>
      </c>
      <c r="K226" s="34">
        <v>2</v>
      </c>
      <c r="L226" s="35">
        <v>2</v>
      </c>
      <c r="M226" s="36" t="s">
        <v>32</v>
      </c>
      <c r="N226" s="37">
        <v>1</v>
      </c>
      <c r="O226" s="35">
        <v>2</v>
      </c>
      <c r="P226" s="35" t="s">
        <v>33</v>
      </c>
      <c r="Q226" s="97">
        <v>45453</v>
      </c>
      <c r="R226" s="35" t="s">
        <v>62</v>
      </c>
      <c r="S226" s="38"/>
      <c r="T226" s="78">
        <v>2</v>
      </c>
      <c r="U226" s="78"/>
      <c r="V226" s="78"/>
      <c r="W226" s="78" t="s">
        <v>223</v>
      </c>
      <c r="X226" s="78"/>
      <c r="Y226" s="78">
        <v>1</v>
      </c>
      <c r="Z226" s="78" t="s">
        <v>48</v>
      </c>
      <c r="AA226" s="78" t="s">
        <v>1670</v>
      </c>
      <c r="AB226" s="78">
        <v>1</v>
      </c>
    </row>
    <row r="227" spans="1:28" x14ac:dyDescent="0.25">
      <c r="A227" t="str">
        <f>IF(EXACT('BOM A320 FFS'!B319,obsoleta!D227),"OK","ERROR")</f>
        <v>ERROR</v>
      </c>
      <c r="C227" s="31" t="s">
        <v>1662</v>
      </c>
      <c r="D227" s="71">
        <v>1219090030000</v>
      </c>
      <c r="E227" s="71"/>
      <c r="F227" s="32" t="s">
        <v>1808</v>
      </c>
      <c r="G227" s="70"/>
      <c r="H227" s="32"/>
      <c r="I227" s="32"/>
      <c r="J227" s="33">
        <v>10</v>
      </c>
      <c r="K227" s="34">
        <v>1</v>
      </c>
      <c r="L227" s="35">
        <v>0.15</v>
      </c>
      <c r="M227" s="36" t="s">
        <v>32</v>
      </c>
      <c r="N227" s="37">
        <v>1</v>
      </c>
      <c r="O227" s="35">
        <v>0.15</v>
      </c>
      <c r="P227" s="35" t="s">
        <v>33</v>
      </c>
      <c r="Q227" s="97">
        <v>45453</v>
      </c>
      <c r="R227" s="35" t="s">
        <v>62</v>
      </c>
      <c r="S227" s="38"/>
      <c r="T227" s="78">
        <v>2</v>
      </c>
      <c r="U227" s="78"/>
      <c r="V227" s="78"/>
      <c r="W227" s="78" t="s">
        <v>223</v>
      </c>
      <c r="X227" s="78"/>
      <c r="Y227" s="78">
        <v>1</v>
      </c>
      <c r="Z227" s="78" t="s">
        <v>48</v>
      </c>
      <c r="AA227" s="78" t="s">
        <v>225</v>
      </c>
      <c r="AB227" s="78">
        <v>10</v>
      </c>
    </row>
    <row r="228" spans="1:28" x14ac:dyDescent="0.25">
      <c r="A228" t="str">
        <f>IF(EXACT('BOM A320 FFS'!B320,obsoleta!D228),"OK","ERROR")</f>
        <v>ERROR</v>
      </c>
      <c r="C228" s="31" t="s">
        <v>1662</v>
      </c>
      <c r="D228" s="71">
        <v>1002545103100</v>
      </c>
      <c r="E228" s="71"/>
      <c r="F228" s="32" t="s">
        <v>1804</v>
      </c>
      <c r="G228" s="70"/>
      <c r="H228" s="32"/>
      <c r="I228" s="32"/>
      <c r="J228" s="33">
        <v>2</v>
      </c>
      <c r="K228" s="34">
        <v>1</v>
      </c>
      <c r="L228" s="35">
        <v>2</v>
      </c>
      <c r="M228" s="36" t="s">
        <v>32</v>
      </c>
      <c r="N228" s="37">
        <v>1</v>
      </c>
      <c r="O228" s="35">
        <v>2</v>
      </c>
      <c r="P228" s="35" t="s">
        <v>33</v>
      </c>
      <c r="Q228" s="97">
        <v>45453</v>
      </c>
      <c r="R228" s="35" t="s">
        <v>62</v>
      </c>
      <c r="S228" s="38"/>
      <c r="T228" s="78">
        <v>2</v>
      </c>
      <c r="U228" s="78"/>
      <c r="V228" s="78"/>
      <c r="W228" s="78" t="s">
        <v>223</v>
      </c>
      <c r="X228" s="78"/>
      <c r="Y228" s="78">
        <v>1</v>
      </c>
      <c r="Z228" s="78" t="s">
        <v>48</v>
      </c>
      <c r="AA228" s="78" t="s">
        <v>225</v>
      </c>
      <c r="AB228" s="78">
        <v>2</v>
      </c>
    </row>
    <row r="229" spans="1:28" x14ac:dyDescent="0.25">
      <c r="A229" t="str">
        <f>IF(EXACT('BOM A320 FFS'!B321,obsoleta!D229),"OK","ERROR")</f>
        <v>ERROR</v>
      </c>
      <c r="C229" s="31" t="s">
        <v>1662</v>
      </c>
      <c r="D229" s="71">
        <v>1066090000000</v>
      </c>
      <c r="E229" s="71"/>
      <c r="F229" s="32" t="s">
        <v>1795</v>
      </c>
      <c r="G229" s="70"/>
      <c r="H229" s="32"/>
      <c r="I229" s="32"/>
      <c r="J229" s="33">
        <v>1</v>
      </c>
      <c r="K229" s="34">
        <v>1</v>
      </c>
      <c r="L229" s="35">
        <v>5</v>
      </c>
      <c r="M229" s="36" t="s">
        <v>32</v>
      </c>
      <c r="N229" s="37">
        <v>1</v>
      </c>
      <c r="O229" s="35">
        <v>5</v>
      </c>
      <c r="P229" s="35" t="s">
        <v>33</v>
      </c>
      <c r="Q229" s="97">
        <v>45453</v>
      </c>
      <c r="R229" s="35" t="s">
        <v>62</v>
      </c>
      <c r="S229" s="38"/>
      <c r="T229" s="78">
        <v>2</v>
      </c>
      <c r="U229" s="78"/>
      <c r="V229" s="78"/>
      <c r="W229" s="78" t="s">
        <v>223</v>
      </c>
      <c r="X229" s="78"/>
      <c r="Y229" s="78">
        <v>1</v>
      </c>
      <c r="Z229" s="78" t="s">
        <v>48</v>
      </c>
      <c r="AA229" s="78" t="s">
        <v>225</v>
      </c>
      <c r="AB229" s="78">
        <v>1</v>
      </c>
    </row>
    <row r="230" spans="1:28" x14ac:dyDescent="0.25">
      <c r="A230" t="str">
        <f>IF(EXACT('BOM A320 FFS'!B323,obsoleta!D230),"OK","ERROR")</f>
        <v>ERROR</v>
      </c>
      <c r="C230" s="31" t="s">
        <v>1662</v>
      </c>
      <c r="D230" s="71">
        <v>1002531203209</v>
      </c>
      <c r="E230" s="71"/>
      <c r="F230" s="32" t="s">
        <v>1783</v>
      </c>
      <c r="G230" s="70"/>
      <c r="H230" s="32"/>
      <c r="I230" s="32"/>
      <c r="J230" s="33">
        <v>12</v>
      </c>
      <c r="K230" s="34">
        <v>1</v>
      </c>
      <c r="L230" s="35">
        <v>12</v>
      </c>
      <c r="M230" s="36" t="s">
        <v>32</v>
      </c>
      <c r="N230" s="37">
        <v>1</v>
      </c>
      <c r="O230" s="35">
        <v>12</v>
      </c>
      <c r="P230" s="35" t="s">
        <v>33</v>
      </c>
      <c r="Q230" s="97">
        <v>45453</v>
      </c>
      <c r="R230" s="35" t="s">
        <v>62</v>
      </c>
      <c r="S230" s="38"/>
      <c r="T230" s="78">
        <v>2</v>
      </c>
      <c r="U230" s="78"/>
      <c r="V230" s="78"/>
      <c r="W230" s="78" t="s">
        <v>223</v>
      </c>
      <c r="X230" s="78"/>
      <c r="Y230" s="78">
        <v>1</v>
      </c>
      <c r="Z230" s="78" t="s">
        <v>48</v>
      </c>
      <c r="AA230" s="78" t="s">
        <v>225</v>
      </c>
      <c r="AB230" s="78">
        <v>12</v>
      </c>
    </row>
    <row r="231" spans="1:28" x14ac:dyDescent="0.25">
      <c r="A231" t="str">
        <f>IF(EXACT('BOM A320 FFS'!B325,obsoleta!D231),"OK","ERROR")</f>
        <v>ERROR</v>
      </c>
      <c r="C231" s="31" t="s">
        <v>1662</v>
      </c>
      <c r="D231" s="31">
        <v>1209503600000</v>
      </c>
      <c r="E231" s="31"/>
      <c r="F231" s="32" t="s">
        <v>1664</v>
      </c>
      <c r="G231" s="70"/>
      <c r="H231" s="32"/>
      <c r="I231" s="32"/>
      <c r="J231" s="33">
        <v>1</v>
      </c>
      <c r="K231" s="34">
        <v>2</v>
      </c>
      <c r="L231" s="35">
        <v>2</v>
      </c>
      <c r="M231" s="36" t="s">
        <v>32</v>
      </c>
      <c r="N231" s="37">
        <v>1</v>
      </c>
      <c r="O231" s="35">
        <v>2</v>
      </c>
      <c r="P231" s="35" t="s">
        <v>33</v>
      </c>
      <c r="Q231" s="97">
        <v>45453</v>
      </c>
      <c r="R231" s="35" t="s">
        <v>62</v>
      </c>
      <c r="S231" s="38"/>
      <c r="T231" s="78">
        <v>2</v>
      </c>
      <c r="U231" s="78"/>
      <c r="V231" s="78"/>
      <c r="W231" s="78" t="s">
        <v>223</v>
      </c>
      <c r="X231" s="78"/>
      <c r="Y231" s="78">
        <v>1</v>
      </c>
      <c r="Z231" s="78" t="s">
        <v>48</v>
      </c>
      <c r="AA231" s="78" t="s">
        <v>225</v>
      </c>
      <c r="AB231" s="78">
        <v>1</v>
      </c>
    </row>
    <row r="232" spans="1:28" x14ac:dyDescent="0.25">
      <c r="A232" t="str">
        <f>IF(EXACT('BOM A320 FFS'!B326,obsoleta!D232),"OK","ERROR")</f>
        <v>ERROR</v>
      </c>
      <c r="C232" s="31" t="s">
        <v>1662</v>
      </c>
      <c r="D232" s="71">
        <v>1060900040000</v>
      </c>
      <c r="E232" s="71"/>
      <c r="F232" s="32" t="s">
        <v>1666</v>
      </c>
      <c r="G232" s="70"/>
      <c r="H232" s="32"/>
      <c r="I232" s="32"/>
      <c r="J232" s="33">
        <v>1</v>
      </c>
      <c r="K232" s="34">
        <v>2</v>
      </c>
      <c r="L232" s="35">
        <v>2</v>
      </c>
      <c r="M232" s="36" t="s">
        <v>32</v>
      </c>
      <c r="N232" s="37">
        <v>1</v>
      </c>
      <c r="O232" s="35">
        <v>2</v>
      </c>
      <c r="P232" s="35" t="s">
        <v>33</v>
      </c>
      <c r="Q232" s="97">
        <v>45453</v>
      </c>
      <c r="R232" s="35" t="s">
        <v>62</v>
      </c>
      <c r="S232" s="38"/>
      <c r="T232" s="78">
        <v>2</v>
      </c>
      <c r="U232" s="78"/>
      <c r="V232" s="78"/>
      <c r="W232" s="78" t="s">
        <v>223</v>
      </c>
      <c r="X232" s="78"/>
      <c r="Y232" s="78">
        <v>1</v>
      </c>
      <c r="Z232" s="78" t="s">
        <v>48</v>
      </c>
      <c r="AA232" s="78" t="s">
        <v>225</v>
      </c>
      <c r="AB232" s="78">
        <v>1</v>
      </c>
    </row>
    <row r="233" spans="1:28" x14ac:dyDescent="0.25">
      <c r="A233" t="str">
        <f>IF(EXACT('BOM A320 FFS'!B327,obsoleta!D233),"OK","ERROR")</f>
        <v>ERROR</v>
      </c>
      <c r="C233" s="39"/>
      <c r="D233" s="39"/>
      <c r="E233" s="39"/>
      <c r="F233" s="28"/>
      <c r="G233" s="28"/>
      <c r="H233" s="28"/>
      <c r="I233" s="28"/>
      <c r="J233" s="40"/>
      <c r="K233" s="41"/>
      <c r="L233" s="30"/>
      <c r="M233" s="26"/>
      <c r="N233" s="26"/>
      <c r="O233" s="41"/>
      <c r="P233" s="41"/>
      <c r="Q233" s="98"/>
      <c r="R233" s="41"/>
      <c r="S233" s="30"/>
      <c r="T233" s="82"/>
      <c r="U233" s="82"/>
      <c r="V233" s="82"/>
      <c r="W233" s="82"/>
      <c r="X233" s="82"/>
      <c r="Y233" s="82"/>
      <c r="Z233" s="82"/>
      <c r="AA233" s="82" t="s">
        <v>225</v>
      </c>
      <c r="AB233" s="82"/>
    </row>
    <row r="234" spans="1:28" x14ac:dyDescent="0.25">
      <c r="A234" t="str">
        <f>IF(EXACT('BOM A320 FFS'!B328,obsoleta!D234),"OK","ERROR")</f>
        <v>ERROR</v>
      </c>
      <c r="C234" s="48"/>
      <c r="D234" s="48" t="s">
        <v>3641</v>
      </c>
      <c r="E234" s="48"/>
      <c r="F234" s="28"/>
      <c r="G234" s="28"/>
      <c r="H234" s="28"/>
      <c r="I234" s="28"/>
      <c r="J234" s="40"/>
      <c r="K234" s="41"/>
      <c r="L234" s="30"/>
      <c r="M234" s="26"/>
      <c r="N234" s="26"/>
      <c r="O234" s="41"/>
      <c r="P234" s="41"/>
      <c r="Q234" s="98"/>
      <c r="R234" s="41"/>
      <c r="S234" s="30"/>
      <c r="T234" s="82"/>
      <c r="U234" s="82"/>
      <c r="V234" s="82"/>
      <c r="W234" s="82"/>
      <c r="X234" s="82"/>
      <c r="Y234" s="82"/>
      <c r="Z234" s="82"/>
      <c r="AA234" s="82" t="s">
        <v>225</v>
      </c>
      <c r="AB234" s="82"/>
    </row>
    <row r="235" spans="1:28" x14ac:dyDescent="0.25">
      <c r="A235" t="str">
        <f>IF(EXACT('BOM A320 FFS'!B329,obsoleta!D235),"OK","ERROR")</f>
        <v>ERROR</v>
      </c>
      <c r="C235" s="31" t="s">
        <v>217</v>
      </c>
      <c r="D235" s="71" t="s">
        <v>574</v>
      </c>
      <c r="E235" s="71"/>
      <c r="F235" s="32" t="s">
        <v>575</v>
      </c>
      <c r="G235" s="70">
        <v>918630000000</v>
      </c>
      <c r="H235" s="32" t="s">
        <v>519</v>
      </c>
      <c r="I235" s="32" t="s">
        <v>567</v>
      </c>
      <c r="J235" s="33">
        <v>45</v>
      </c>
      <c r="K235" s="34">
        <v>152.77000000000001</v>
      </c>
      <c r="L235" s="35">
        <v>6874.65</v>
      </c>
      <c r="M235" s="36" t="s">
        <v>32</v>
      </c>
      <c r="N235" s="37">
        <v>1</v>
      </c>
      <c r="O235" s="35">
        <v>6874.65</v>
      </c>
      <c r="P235" s="35" t="s">
        <v>33</v>
      </c>
      <c r="Q235" s="97">
        <v>45453</v>
      </c>
      <c r="R235" s="35" t="s">
        <v>62</v>
      </c>
      <c r="S235" s="38"/>
      <c r="T235" s="78">
        <v>1</v>
      </c>
      <c r="U235" s="78" t="s">
        <v>34</v>
      </c>
      <c r="V235" s="78"/>
      <c r="W235" s="78" t="s">
        <v>223</v>
      </c>
      <c r="X235" s="78" t="s">
        <v>3755</v>
      </c>
      <c r="Y235" s="78">
        <v>1</v>
      </c>
      <c r="Z235" s="78" t="s">
        <v>48</v>
      </c>
      <c r="AA235" s="78" t="s">
        <v>225</v>
      </c>
      <c r="AB235" s="78">
        <v>45</v>
      </c>
    </row>
    <row r="236" spans="1:28" x14ac:dyDescent="0.25">
      <c r="A236" t="str">
        <f>IF(EXACT('BOM A320 FFS'!B330,obsoleta!D236),"OK","ERROR")</f>
        <v>ERROR</v>
      </c>
      <c r="C236" s="31" t="s">
        <v>217</v>
      </c>
      <c r="D236" s="71" t="s">
        <v>565</v>
      </c>
      <c r="E236" s="71"/>
      <c r="F236" s="32" t="s">
        <v>566</v>
      </c>
      <c r="G236" s="70">
        <v>918630010000</v>
      </c>
      <c r="H236" s="32" t="s">
        <v>519</v>
      </c>
      <c r="I236" s="32" t="s">
        <v>567</v>
      </c>
      <c r="J236" s="33">
        <v>50</v>
      </c>
      <c r="K236" s="34">
        <v>164.21</v>
      </c>
      <c r="L236" s="35">
        <v>8210.5</v>
      </c>
      <c r="M236" s="36" t="s">
        <v>32</v>
      </c>
      <c r="N236" s="37">
        <v>1</v>
      </c>
      <c r="O236" s="35">
        <v>8210.5</v>
      </c>
      <c r="P236" s="35" t="s">
        <v>33</v>
      </c>
      <c r="Q236" s="97">
        <v>45453</v>
      </c>
      <c r="R236" s="35" t="s">
        <v>62</v>
      </c>
      <c r="S236" s="38"/>
      <c r="T236" s="78">
        <v>1</v>
      </c>
      <c r="U236" s="78" t="s">
        <v>34</v>
      </c>
      <c r="V236" s="78"/>
      <c r="W236" s="78" t="s">
        <v>223</v>
      </c>
      <c r="X236" s="78" t="s">
        <v>3755</v>
      </c>
      <c r="Y236" s="78">
        <v>1</v>
      </c>
      <c r="Z236" s="78" t="s">
        <v>48</v>
      </c>
      <c r="AA236" s="78" t="s">
        <v>225</v>
      </c>
      <c r="AB236" s="78">
        <v>50</v>
      </c>
    </row>
    <row r="237" spans="1:28" x14ac:dyDescent="0.25">
      <c r="A237" t="str">
        <f>IF(EXACT('BOM A320 FFS'!B331,obsoleta!D237),"OK","ERROR")</f>
        <v>ERROR</v>
      </c>
      <c r="C237" s="32" t="s">
        <v>217</v>
      </c>
      <c r="D237" s="70" t="s">
        <v>572</v>
      </c>
      <c r="E237" s="70"/>
      <c r="F237" s="32" t="s">
        <v>573</v>
      </c>
      <c r="G237" s="70">
        <v>918530000000</v>
      </c>
      <c r="H237" s="32" t="s">
        <v>519</v>
      </c>
      <c r="I237" s="32" t="s">
        <v>567</v>
      </c>
      <c r="J237" s="33">
        <v>25</v>
      </c>
      <c r="K237" s="34">
        <v>154.36000000000001</v>
      </c>
      <c r="L237" s="35">
        <v>3859</v>
      </c>
      <c r="M237" s="36" t="s">
        <v>32</v>
      </c>
      <c r="N237" s="37">
        <v>1</v>
      </c>
      <c r="O237" s="35">
        <v>3859</v>
      </c>
      <c r="P237" s="35" t="s">
        <v>33</v>
      </c>
      <c r="Q237" s="97">
        <v>45453</v>
      </c>
      <c r="R237" s="35" t="s">
        <v>62</v>
      </c>
      <c r="S237" s="38"/>
      <c r="T237" s="78">
        <v>1</v>
      </c>
      <c r="U237" s="78" t="s">
        <v>34</v>
      </c>
      <c r="V237" s="78"/>
      <c r="W237" s="78" t="s">
        <v>223</v>
      </c>
      <c r="X237" s="78"/>
      <c r="Y237" s="78">
        <v>1</v>
      </c>
      <c r="Z237" s="78" t="s">
        <v>48</v>
      </c>
      <c r="AA237" s="78" t="s">
        <v>225</v>
      </c>
      <c r="AB237" s="78">
        <v>25</v>
      </c>
    </row>
    <row r="238" spans="1:28" x14ac:dyDescent="0.25">
      <c r="A238" t="str">
        <f>IF(EXACT('BOM A320 FFS'!B332,obsoleta!D238),"OK","ERROR")</f>
        <v>ERROR</v>
      </c>
      <c r="C238" s="31" t="s">
        <v>108</v>
      </c>
      <c r="D238" s="71" t="s">
        <v>517</v>
      </c>
      <c r="E238" s="71"/>
      <c r="F238" s="32" t="s">
        <v>518</v>
      </c>
      <c r="G238" s="31">
        <v>915437020000</v>
      </c>
      <c r="H238" s="32" t="s">
        <v>519</v>
      </c>
      <c r="I238" s="32"/>
      <c r="J238" s="33">
        <v>6</v>
      </c>
      <c r="K238" s="34">
        <v>250</v>
      </c>
      <c r="L238" s="35">
        <v>1500</v>
      </c>
      <c r="M238" s="36" t="s">
        <v>32</v>
      </c>
      <c r="N238" s="37">
        <v>1</v>
      </c>
      <c r="O238" s="35">
        <v>1500</v>
      </c>
      <c r="P238" s="35" t="s">
        <v>33</v>
      </c>
      <c r="Q238" s="97">
        <v>45453</v>
      </c>
      <c r="R238" s="35" t="s">
        <v>62</v>
      </c>
      <c r="S238" s="38"/>
      <c r="T238" s="78">
        <v>2</v>
      </c>
      <c r="U238" s="78"/>
      <c r="V238" s="78"/>
      <c r="W238" s="78" t="s">
        <v>223</v>
      </c>
      <c r="X238" s="78"/>
      <c r="Y238" s="78">
        <v>1</v>
      </c>
      <c r="Z238" s="78" t="s">
        <v>48</v>
      </c>
      <c r="AA238" s="78" t="s">
        <v>225</v>
      </c>
      <c r="AB238" s="78">
        <v>6</v>
      </c>
    </row>
    <row r="239" spans="1:28" x14ac:dyDescent="0.25">
      <c r="A239" t="str">
        <f>IF(EXACT('BOM A320 FFS'!B333,obsoleta!D239),"OK","ERROR")</f>
        <v>ERROR</v>
      </c>
      <c r="C239" s="39"/>
      <c r="D239" s="39"/>
      <c r="E239" s="39"/>
      <c r="F239" s="28"/>
      <c r="G239" s="28"/>
      <c r="H239" s="28"/>
      <c r="I239" s="28"/>
      <c r="J239" s="40"/>
      <c r="K239" s="41"/>
      <c r="L239" s="30"/>
      <c r="M239" s="26"/>
      <c r="N239" s="26"/>
      <c r="O239" s="41"/>
      <c r="P239" s="41"/>
      <c r="Q239" s="98"/>
      <c r="R239" s="41"/>
      <c r="S239" s="30"/>
      <c r="T239" s="82"/>
      <c r="U239" s="82"/>
      <c r="V239" s="82"/>
      <c r="W239" s="82"/>
      <c r="X239" s="82"/>
      <c r="Y239" s="82"/>
      <c r="Z239" s="82"/>
      <c r="AA239" s="82" t="s">
        <v>225</v>
      </c>
      <c r="AB239" s="82"/>
    </row>
    <row r="240" spans="1:28" x14ac:dyDescent="0.25">
      <c r="A240" t="str">
        <f>IF(EXACT('BOM A320 FFS'!B334,obsoleta!D240),"OK","ERROR")</f>
        <v>ERROR</v>
      </c>
      <c r="C240" s="48"/>
      <c r="D240" s="48" t="s">
        <v>3642</v>
      </c>
      <c r="E240" s="48"/>
      <c r="F240" s="28"/>
      <c r="G240" s="28"/>
      <c r="H240" s="28"/>
      <c r="I240" s="28"/>
      <c r="J240" s="40"/>
      <c r="K240" s="41"/>
      <c r="L240" s="30"/>
      <c r="M240" s="26"/>
      <c r="N240" s="26"/>
      <c r="O240" s="41"/>
      <c r="P240" s="41"/>
      <c r="Q240" s="98"/>
      <c r="R240" s="41"/>
      <c r="S240" s="30"/>
      <c r="T240" s="82"/>
      <c r="U240" s="82"/>
      <c r="V240" s="82"/>
      <c r="W240" s="82"/>
      <c r="X240" s="82"/>
      <c r="Y240" s="82"/>
      <c r="Z240" s="82"/>
      <c r="AA240" s="82" t="s">
        <v>225</v>
      </c>
      <c r="AB240" s="82"/>
    </row>
    <row r="241" spans="1:28" x14ac:dyDescent="0.25">
      <c r="A241" t="str">
        <f>IF(EXACT('BOM A320 FFS'!B335,obsoleta!D241),"OK","ERROR")</f>
        <v>ERROR</v>
      </c>
      <c r="C241" s="48"/>
      <c r="D241" s="48" t="s">
        <v>3643</v>
      </c>
      <c r="E241" s="48"/>
      <c r="F241" s="28"/>
      <c r="G241" s="28"/>
      <c r="H241" s="28"/>
      <c r="I241" s="28"/>
      <c r="J241" s="40"/>
      <c r="K241" s="41"/>
      <c r="L241" s="30"/>
      <c r="M241" s="26"/>
      <c r="N241" s="26"/>
      <c r="O241" s="41"/>
      <c r="P241" s="41"/>
      <c r="Q241" s="98"/>
      <c r="R241" s="41"/>
      <c r="S241" s="30"/>
      <c r="T241" s="82"/>
      <c r="U241" s="82"/>
      <c r="V241" s="82"/>
      <c r="W241" s="82"/>
      <c r="X241" s="82"/>
      <c r="Y241" s="82"/>
      <c r="Z241" s="82"/>
      <c r="AA241" s="82" t="s">
        <v>225</v>
      </c>
      <c r="AB241" s="82"/>
    </row>
    <row r="242" spans="1:28" x14ac:dyDescent="0.25">
      <c r="A242" t="str">
        <f>IF(EXACT('BOM A320 FFS'!B336,obsoleta!D242),"OK","ERROR")</f>
        <v>ERROR</v>
      </c>
      <c r="C242" s="31" t="s">
        <v>217</v>
      </c>
      <c r="D242" s="71">
        <v>1229594740100</v>
      </c>
      <c r="E242" s="71"/>
      <c r="F242" s="32" t="s">
        <v>430</v>
      </c>
      <c r="G242" s="32" t="s">
        <v>431</v>
      </c>
      <c r="H242" s="32" t="s">
        <v>221</v>
      </c>
      <c r="I242" s="32" t="s">
        <v>222</v>
      </c>
      <c r="J242" s="33">
        <v>1</v>
      </c>
      <c r="K242" s="34">
        <v>455.26</v>
      </c>
      <c r="L242" s="35">
        <v>455.26</v>
      </c>
      <c r="M242" s="36" t="s">
        <v>39</v>
      </c>
      <c r="N242" s="37">
        <v>0.85</v>
      </c>
      <c r="O242" s="35">
        <v>386.97</v>
      </c>
      <c r="P242" s="35" t="s">
        <v>33</v>
      </c>
      <c r="Q242" s="97">
        <v>45453</v>
      </c>
      <c r="R242" s="35" t="s">
        <v>62</v>
      </c>
      <c r="S242" s="38"/>
      <c r="T242" s="78">
        <v>2</v>
      </c>
      <c r="U242" s="78"/>
      <c r="V242" s="78"/>
      <c r="W242" s="78" t="s">
        <v>223</v>
      </c>
      <c r="X242" s="78"/>
      <c r="Y242" s="78">
        <v>1</v>
      </c>
      <c r="Z242" s="78" t="s">
        <v>48</v>
      </c>
      <c r="AA242" s="78" t="s">
        <v>225</v>
      </c>
      <c r="AB242" s="78">
        <v>1</v>
      </c>
    </row>
    <row r="243" spans="1:28" x14ac:dyDescent="0.25">
      <c r="A243" t="str">
        <f>IF(EXACT('BOM A320 FFS'!B337,obsoleta!D243),"OK","ERROR")</f>
        <v>ERROR</v>
      </c>
      <c r="C243" s="31" t="s">
        <v>217</v>
      </c>
      <c r="D243" s="71">
        <v>1229594740000</v>
      </c>
      <c r="E243" s="71"/>
      <c r="F243" s="32" t="s">
        <v>399</v>
      </c>
      <c r="G243" s="32" t="s">
        <v>400</v>
      </c>
      <c r="H243" s="32" t="s">
        <v>221</v>
      </c>
      <c r="I243" s="32" t="s">
        <v>222</v>
      </c>
      <c r="J243" s="33">
        <v>5</v>
      </c>
      <c r="K243" s="34">
        <v>600</v>
      </c>
      <c r="L243" s="35">
        <v>3000</v>
      </c>
      <c r="M243" s="36" t="s">
        <v>39</v>
      </c>
      <c r="N243" s="37">
        <v>0.85</v>
      </c>
      <c r="O243" s="35">
        <v>2550</v>
      </c>
      <c r="P243" s="35" t="s">
        <v>33</v>
      </c>
      <c r="Q243" s="97">
        <v>45453</v>
      </c>
      <c r="R243" s="35" t="s">
        <v>62</v>
      </c>
      <c r="S243" s="38"/>
      <c r="T243" s="78">
        <v>2</v>
      </c>
      <c r="U243" s="78"/>
      <c r="V243" s="78"/>
      <c r="W243" s="78" t="s">
        <v>223</v>
      </c>
      <c r="X243" s="78"/>
      <c r="Y243" s="78">
        <v>1</v>
      </c>
      <c r="Z243" s="78" t="s">
        <v>48</v>
      </c>
      <c r="AA243" s="78" t="s">
        <v>225</v>
      </c>
      <c r="AB243" s="78">
        <v>5</v>
      </c>
    </row>
    <row r="244" spans="1:28" x14ac:dyDescent="0.25">
      <c r="A244" t="str">
        <f>IF(EXACT('BOM A320 FFS'!B339,obsoleta!D244),"OK","ERROR")</f>
        <v>ERROR</v>
      </c>
      <c r="C244" s="31" t="s">
        <v>217</v>
      </c>
      <c r="D244" s="71">
        <v>1351201490500</v>
      </c>
      <c r="E244" s="71"/>
      <c r="F244" s="32" t="s">
        <v>219</v>
      </c>
      <c r="G244" s="32" t="s">
        <v>220</v>
      </c>
      <c r="H244" s="32" t="s">
        <v>221</v>
      </c>
      <c r="I244" s="32" t="s">
        <v>222</v>
      </c>
      <c r="J244" s="33">
        <v>8</v>
      </c>
      <c r="K244" s="34">
        <v>3374.28</v>
      </c>
      <c r="L244" s="35">
        <v>26994.240000000002</v>
      </c>
      <c r="M244" s="36" t="s">
        <v>39</v>
      </c>
      <c r="N244" s="37">
        <v>0.85</v>
      </c>
      <c r="O244" s="35">
        <v>22945.1</v>
      </c>
      <c r="P244" s="35" t="s">
        <v>33</v>
      </c>
      <c r="Q244" s="97">
        <v>45453</v>
      </c>
      <c r="R244" s="35" t="s">
        <v>62</v>
      </c>
      <c r="S244" s="38"/>
      <c r="T244" s="78">
        <v>2</v>
      </c>
      <c r="U244" s="78"/>
      <c r="V244" s="78"/>
      <c r="W244" s="78" t="s">
        <v>223</v>
      </c>
      <c r="X244" s="78"/>
      <c r="Y244" s="78">
        <v>1</v>
      </c>
      <c r="Z244" s="78" t="s">
        <v>48</v>
      </c>
      <c r="AA244" s="78" t="s">
        <v>225</v>
      </c>
      <c r="AB244" s="78">
        <v>8</v>
      </c>
    </row>
    <row r="245" spans="1:28" x14ac:dyDescent="0.25">
      <c r="A245" t="str">
        <f>IF(EXACT('BOM A320 FFS'!B341,obsoleta!D245),"OK","ERROR")</f>
        <v>ERROR</v>
      </c>
      <c r="C245" s="31" t="s">
        <v>217</v>
      </c>
      <c r="D245" s="71">
        <v>1351201460000</v>
      </c>
      <c r="E245" s="71"/>
      <c r="F245" s="32" t="s">
        <v>251</v>
      </c>
      <c r="G245" s="32" t="s">
        <v>252</v>
      </c>
      <c r="H245" s="32" t="s">
        <v>221</v>
      </c>
      <c r="I245" s="32" t="s">
        <v>222</v>
      </c>
      <c r="J245" s="33">
        <v>4</v>
      </c>
      <c r="K245" s="34">
        <v>2951.16</v>
      </c>
      <c r="L245" s="35">
        <v>11804.64</v>
      </c>
      <c r="M245" s="36" t="s">
        <v>39</v>
      </c>
      <c r="N245" s="37">
        <v>0.85</v>
      </c>
      <c r="O245" s="35">
        <v>10033.94</v>
      </c>
      <c r="P245" s="35" t="s">
        <v>33</v>
      </c>
      <c r="Q245" s="97">
        <v>45453</v>
      </c>
      <c r="R245" s="35" t="s">
        <v>62</v>
      </c>
      <c r="S245" s="38"/>
      <c r="T245" s="78">
        <v>2</v>
      </c>
      <c r="U245" s="78"/>
      <c r="V245" s="78"/>
      <c r="W245" s="78" t="s">
        <v>223</v>
      </c>
      <c r="X245" s="78"/>
      <c r="Y245" s="78">
        <v>1</v>
      </c>
      <c r="Z245" s="78" t="s">
        <v>48</v>
      </c>
      <c r="AA245" s="78" t="s">
        <v>225</v>
      </c>
      <c r="AB245" s="78">
        <v>4</v>
      </c>
    </row>
    <row r="246" spans="1:28" x14ac:dyDescent="0.25">
      <c r="A246" t="str">
        <f>IF(EXACT('BOM A320 FFS'!B343,obsoleta!D246),"OK","ERROR")</f>
        <v>ERROR</v>
      </c>
      <c r="C246" s="39"/>
      <c r="D246" s="39"/>
      <c r="E246" s="39"/>
      <c r="F246" s="28"/>
      <c r="G246" s="28"/>
      <c r="H246" s="28"/>
      <c r="I246" s="28"/>
      <c r="J246" s="40"/>
      <c r="K246" s="41"/>
      <c r="L246" s="30"/>
      <c r="M246" s="26"/>
      <c r="N246" s="26"/>
      <c r="O246" s="41"/>
      <c r="P246" s="41"/>
      <c r="Q246" s="98"/>
      <c r="R246" s="41"/>
      <c r="S246" s="30"/>
      <c r="T246" s="82"/>
      <c r="U246" s="82"/>
      <c r="V246" s="82"/>
      <c r="W246" s="82"/>
      <c r="X246" s="82"/>
      <c r="Y246" s="82"/>
      <c r="Z246" s="82"/>
      <c r="AA246" s="82" t="s">
        <v>225</v>
      </c>
      <c r="AB246" s="82"/>
    </row>
    <row r="247" spans="1:28" x14ac:dyDescent="0.25">
      <c r="A247" t="str">
        <f>IF(EXACT('BOM A320 FFS'!B344,obsoleta!D247),"OK","ERROR")</f>
        <v>ERROR</v>
      </c>
      <c r="C247" s="48"/>
      <c r="D247" s="48" t="s">
        <v>3644</v>
      </c>
      <c r="E247" s="48"/>
      <c r="F247" s="28"/>
      <c r="G247" s="28"/>
      <c r="H247" s="28"/>
      <c r="I247" s="28"/>
      <c r="J247" s="40"/>
      <c r="K247" s="41"/>
      <c r="L247" s="30"/>
      <c r="M247" s="26"/>
      <c r="N247" s="26"/>
      <c r="O247" s="41"/>
      <c r="P247" s="41"/>
      <c r="Q247" s="98"/>
      <c r="R247" s="41"/>
      <c r="S247" s="30"/>
      <c r="T247" s="82"/>
      <c r="U247" s="82"/>
      <c r="V247" s="82"/>
      <c r="W247" s="82"/>
      <c r="X247" s="82"/>
      <c r="Y247" s="82"/>
      <c r="Z247" s="82"/>
      <c r="AA247" s="82" t="s">
        <v>225</v>
      </c>
      <c r="AB247" s="82"/>
    </row>
    <row r="248" spans="1:28" x14ac:dyDescent="0.25">
      <c r="A248" t="str">
        <f>IF(EXACT('BOM A320 FFS'!B345,obsoleta!D248),"OK","ERROR")</f>
        <v>ERROR</v>
      </c>
      <c r="C248" s="31" t="s">
        <v>217</v>
      </c>
      <c r="D248" s="71">
        <v>1701001920000</v>
      </c>
      <c r="E248" s="71"/>
      <c r="F248" s="32" t="s">
        <v>291</v>
      </c>
      <c r="G248" s="32" t="s">
        <v>292</v>
      </c>
      <c r="H248" s="32" t="s">
        <v>267</v>
      </c>
      <c r="I248" s="32"/>
      <c r="J248" s="33">
        <v>1</v>
      </c>
      <c r="K248" s="34">
        <v>2000</v>
      </c>
      <c r="L248" s="35">
        <v>2000</v>
      </c>
      <c r="M248" s="36" t="s">
        <v>32</v>
      </c>
      <c r="N248" s="37">
        <v>1</v>
      </c>
      <c r="O248" s="35">
        <v>2000</v>
      </c>
      <c r="P248" s="35" t="s">
        <v>33</v>
      </c>
      <c r="Q248" s="97">
        <v>45453</v>
      </c>
      <c r="R248" s="35" t="s">
        <v>62</v>
      </c>
      <c r="S248" s="38"/>
      <c r="T248" s="78">
        <v>2</v>
      </c>
      <c r="U248" s="78"/>
      <c r="V248" s="78"/>
      <c r="W248" s="78" t="s">
        <v>223</v>
      </c>
      <c r="X248" s="78"/>
      <c r="Y248" s="78">
        <v>1</v>
      </c>
      <c r="Z248" s="78" t="s">
        <v>48</v>
      </c>
      <c r="AA248" s="78" t="s">
        <v>225</v>
      </c>
      <c r="AB248" s="78">
        <v>1</v>
      </c>
    </row>
    <row r="249" spans="1:28" x14ac:dyDescent="0.25">
      <c r="A249" t="str">
        <f>IF(EXACT('BOM A320 FFS'!B346,obsoleta!D249),"OK","ERROR")</f>
        <v>ERROR</v>
      </c>
      <c r="C249" s="39"/>
      <c r="D249" s="39"/>
      <c r="E249" s="39"/>
      <c r="F249" s="28"/>
      <c r="G249" s="28"/>
      <c r="H249" s="28"/>
      <c r="I249" s="28"/>
      <c r="J249" s="40"/>
      <c r="K249" s="30"/>
      <c r="L249" s="30"/>
      <c r="M249" s="26"/>
      <c r="N249" s="45"/>
      <c r="O249" s="46"/>
      <c r="P249" s="46"/>
      <c r="Q249" s="99"/>
      <c r="R249" s="46"/>
      <c r="S249" s="47"/>
      <c r="T249" s="82"/>
      <c r="U249" s="82"/>
      <c r="V249" s="82"/>
      <c r="W249" s="82"/>
      <c r="X249" s="82"/>
      <c r="Y249" s="82"/>
      <c r="Z249" s="82"/>
      <c r="AA249" s="82" t="s">
        <v>225</v>
      </c>
      <c r="AB249" s="82"/>
    </row>
    <row r="250" spans="1:28" x14ac:dyDescent="0.25">
      <c r="A250" t="str">
        <f>IF(EXACT('BOM A320 FFS'!B347,obsoleta!D250),"OK","ERROR")</f>
        <v>ERROR</v>
      </c>
      <c r="C250" s="48"/>
      <c r="D250" s="48" t="s">
        <v>3645</v>
      </c>
      <c r="E250" s="48"/>
      <c r="F250" s="28"/>
      <c r="G250" s="28"/>
      <c r="H250" s="28"/>
      <c r="I250" s="28"/>
      <c r="J250" s="40"/>
      <c r="K250" s="41"/>
      <c r="L250" s="41"/>
      <c r="M250" s="26"/>
      <c r="N250" s="26"/>
      <c r="O250" s="41"/>
      <c r="P250" s="41"/>
      <c r="Q250" s="98"/>
      <c r="R250" s="41"/>
      <c r="S250" s="30"/>
      <c r="T250" s="82"/>
      <c r="U250" s="82"/>
      <c r="V250" s="82"/>
      <c r="W250" s="82"/>
      <c r="X250" s="82"/>
      <c r="Y250" s="82"/>
      <c r="Z250" s="82"/>
      <c r="AA250" s="82" t="s">
        <v>225</v>
      </c>
      <c r="AB250" s="82"/>
    </row>
    <row r="251" spans="1:28" x14ac:dyDescent="0.25">
      <c r="A251" t="str">
        <f>IF(EXACT('BOM A320 FFS'!B348,obsoleta!D251),"OK","ERROR")</f>
        <v>ERROR</v>
      </c>
      <c r="C251" s="31" t="s">
        <v>217</v>
      </c>
      <c r="D251" s="71">
        <v>1351001270000</v>
      </c>
      <c r="E251" s="71"/>
      <c r="F251" s="32" t="s">
        <v>3756</v>
      </c>
      <c r="G251" s="32" t="s">
        <v>3757</v>
      </c>
      <c r="H251" s="32" t="s">
        <v>267</v>
      </c>
      <c r="I251" s="32" t="s">
        <v>268</v>
      </c>
      <c r="J251" s="33">
        <v>1</v>
      </c>
      <c r="K251" s="34">
        <v>2500</v>
      </c>
      <c r="L251" s="35">
        <v>2500</v>
      </c>
      <c r="M251" s="36" t="s">
        <v>32</v>
      </c>
      <c r="N251" s="37">
        <v>1</v>
      </c>
      <c r="O251" s="35">
        <v>2500</v>
      </c>
      <c r="P251" s="35" t="s">
        <v>99</v>
      </c>
      <c r="Q251" s="97">
        <v>45427</v>
      </c>
      <c r="R251" s="35" t="s">
        <v>62</v>
      </c>
      <c r="S251" s="38"/>
      <c r="T251" s="78">
        <v>2</v>
      </c>
      <c r="U251" s="78"/>
      <c r="V251" s="78"/>
      <c r="W251" s="78" t="s">
        <v>223</v>
      </c>
      <c r="X251" s="78"/>
      <c r="Y251" s="78"/>
      <c r="Z251" s="78"/>
      <c r="AA251" s="78" t="s">
        <v>225</v>
      </c>
      <c r="AB251" s="78"/>
    </row>
    <row r="252" spans="1:28" x14ac:dyDescent="0.25">
      <c r="A252" t="str">
        <f>IF(EXACT('BOM A320 FFS'!B349,obsoleta!D252),"OK","ERROR")</f>
        <v>ERROR</v>
      </c>
      <c r="C252" s="39"/>
      <c r="D252" s="39"/>
      <c r="E252" s="39"/>
      <c r="F252" s="28"/>
      <c r="G252" s="28"/>
      <c r="H252" s="28"/>
      <c r="I252" s="28"/>
      <c r="J252" s="40"/>
      <c r="K252" s="30"/>
      <c r="L252" s="30"/>
      <c r="M252" s="26"/>
      <c r="N252" s="26"/>
      <c r="O252" s="41"/>
      <c r="P252" s="41"/>
      <c r="Q252" s="98"/>
      <c r="R252" s="41"/>
      <c r="S252" s="30"/>
      <c r="T252" s="83"/>
      <c r="U252" s="83"/>
      <c r="V252" s="83"/>
      <c r="W252" s="83"/>
      <c r="X252" s="83"/>
      <c r="Y252" s="83"/>
      <c r="Z252" s="83"/>
      <c r="AA252" s="83" t="s">
        <v>225</v>
      </c>
      <c r="AB252" s="83"/>
    </row>
    <row r="253" spans="1:28" ht="18.75" x14ac:dyDescent="0.3">
      <c r="A253" t="str">
        <f>IF(EXACT('BOM A320 FFS'!B350,obsoleta!D253),"OK","ERROR")</f>
        <v>ERROR</v>
      </c>
      <c r="C253" s="19"/>
      <c r="D253" s="19" t="s">
        <v>3646</v>
      </c>
      <c r="E253" s="19"/>
      <c r="F253" s="20"/>
      <c r="G253" s="21"/>
      <c r="H253" s="21"/>
      <c r="I253" s="21"/>
      <c r="J253" s="22"/>
      <c r="K253" s="25"/>
      <c r="L253" s="25"/>
      <c r="M253" s="24"/>
      <c r="N253" s="24"/>
      <c r="O253" s="49"/>
      <c r="P253" s="49"/>
      <c r="Q253" s="100"/>
      <c r="R253" s="49"/>
      <c r="S253" s="25"/>
      <c r="T253" s="25"/>
      <c r="U253" s="25"/>
      <c r="V253" s="25"/>
      <c r="W253" s="25"/>
      <c r="X253" s="25"/>
      <c r="Y253" s="25"/>
      <c r="Z253" s="25"/>
      <c r="AA253" s="25" t="s">
        <v>225</v>
      </c>
      <c r="AB253" s="25"/>
    </row>
    <row r="254" spans="1:28" x14ac:dyDescent="0.25">
      <c r="A254" t="str">
        <f>IF(EXACT('BOM A320 FFS'!B351,obsoleta!D254),"OK","ERROR")</f>
        <v>ERROR</v>
      </c>
      <c r="C254" s="48"/>
      <c r="D254" s="48"/>
      <c r="E254" s="48"/>
      <c r="F254" s="44"/>
      <c r="G254" s="28"/>
      <c r="H254" s="28"/>
      <c r="I254" s="28"/>
      <c r="J254" s="40"/>
      <c r="K254" s="30"/>
      <c r="L254" s="30"/>
      <c r="M254" s="26"/>
      <c r="N254" s="26"/>
      <c r="O254" s="41"/>
      <c r="P254" s="41"/>
      <c r="Q254" s="98"/>
      <c r="R254" s="41"/>
      <c r="S254" s="30"/>
      <c r="T254" s="83"/>
      <c r="U254" s="83"/>
      <c r="V254" s="83"/>
      <c r="W254" s="83"/>
      <c r="X254" s="83"/>
      <c r="Y254" s="83"/>
      <c r="Z254" s="83"/>
      <c r="AA254" s="83" t="s">
        <v>225</v>
      </c>
      <c r="AB254" s="83"/>
    </row>
    <row r="255" spans="1:28" x14ac:dyDescent="0.25">
      <c r="A255" t="str">
        <f>IF(EXACT('BOM A320 FFS'!B352,obsoleta!D255),"OK","ERROR")</f>
        <v>ERROR</v>
      </c>
      <c r="C255" s="48"/>
      <c r="D255" s="48" t="s">
        <v>3647</v>
      </c>
      <c r="E255" s="48"/>
      <c r="F255" s="28"/>
      <c r="G255" s="28"/>
      <c r="H255" s="28"/>
      <c r="I255" s="28"/>
      <c r="J255" s="40"/>
      <c r="K255" s="41"/>
      <c r="L255" s="41"/>
      <c r="M255" s="26"/>
      <c r="N255" s="26"/>
      <c r="O255" s="41"/>
      <c r="P255" s="41"/>
      <c r="Q255" s="98"/>
      <c r="R255" s="41"/>
      <c r="S255" s="30"/>
      <c r="T255" s="83"/>
      <c r="U255" s="83"/>
      <c r="V255" s="83"/>
      <c r="W255" s="83"/>
      <c r="X255" s="83"/>
      <c r="Y255" s="83"/>
      <c r="Z255" s="83"/>
      <c r="AA255" s="83" t="s">
        <v>225</v>
      </c>
      <c r="AB255" s="83"/>
    </row>
    <row r="256" spans="1:28" x14ac:dyDescent="0.25">
      <c r="A256" t="str">
        <f>IF(EXACT('BOM A320 FFS'!B353,obsoleta!D256),"OK","ERROR")</f>
        <v>ERROR</v>
      </c>
      <c r="C256" s="31" t="s">
        <v>314</v>
      </c>
      <c r="D256" s="71">
        <v>1219990110080</v>
      </c>
      <c r="E256" s="71"/>
      <c r="F256" s="32" t="s">
        <v>1987</v>
      </c>
      <c r="G256" s="32" t="s">
        <v>1988</v>
      </c>
      <c r="H256" s="32" t="s">
        <v>1070</v>
      </c>
      <c r="I256" s="32" t="s">
        <v>1071</v>
      </c>
      <c r="J256" s="33">
        <v>800</v>
      </c>
      <c r="K256" s="34">
        <v>0.44</v>
      </c>
      <c r="L256" s="35">
        <v>349.21</v>
      </c>
      <c r="M256" s="36" t="s">
        <v>32</v>
      </c>
      <c r="N256" s="37">
        <v>1</v>
      </c>
      <c r="O256" s="35">
        <v>349.21</v>
      </c>
      <c r="P256" s="35" t="s">
        <v>33</v>
      </c>
      <c r="Q256" s="97">
        <v>45453</v>
      </c>
      <c r="R256" s="35" t="s">
        <v>62</v>
      </c>
      <c r="S256" s="38"/>
      <c r="T256" s="78">
        <v>1</v>
      </c>
      <c r="U256" s="78" t="s">
        <v>34</v>
      </c>
      <c r="V256" s="78"/>
      <c r="W256" s="78" t="s">
        <v>303</v>
      </c>
      <c r="X256" s="78" t="s">
        <v>839</v>
      </c>
      <c r="Y256" s="78">
        <v>1</v>
      </c>
      <c r="Z256" s="78" t="s">
        <v>48</v>
      </c>
      <c r="AA256" s="78" t="s">
        <v>225</v>
      </c>
      <c r="AB256" s="78">
        <v>1000</v>
      </c>
    </row>
    <row r="257" spans="1:28" x14ac:dyDescent="0.25">
      <c r="A257" t="str">
        <f>IF(EXACT('BOM A320 FFS'!B354,obsoleta!D257),"OK","ERROR")</f>
        <v>ERROR</v>
      </c>
      <c r="C257" s="31" t="s">
        <v>314</v>
      </c>
      <c r="D257" s="71">
        <v>1209990080100</v>
      </c>
      <c r="E257" s="71"/>
      <c r="F257" s="32" t="s">
        <v>1969</v>
      </c>
      <c r="G257" s="32" t="s">
        <v>1970</v>
      </c>
      <c r="H257" s="32" t="s">
        <v>1070</v>
      </c>
      <c r="I257" s="32" t="s">
        <v>1071</v>
      </c>
      <c r="J257" s="33">
        <v>1000</v>
      </c>
      <c r="K257" s="34">
        <v>0.48</v>
      </c>
      <c r="L257" s="35">
        <v>476.19</v>
      </c>
      <c r="M257" s="36" t="s">
        <v>32</v>
      </c>
      <c r="N257" s="37">
        <v>1</v>
      </c>
      <c r="O257" s="35">
        <v>476.19</v>
      </c>
      <c r="P257" s="35" t="s">
        <v>33</v>
      </c>
      <c r="Q257" s="97">
        <v>45453</v>
      </c>
      <c r="R257" s="35" t="s">
        <v>62</v>
      </c>
      <c r="S257" s="38"/>
      <c r="T257" s="78">
        <v>1</v>
      </c>
      <c r="U257" s="78" t="s">
        <v>34</v>
      </c>
      <c r="V257" s="78"/>
      <c r="W257" s="78" t="s">
        <v>303</v>
      </c>
      <c r="X257" s="78" t="s">
        <v>839</v>
      </c>
      <c r="Y257" s="78">
        <v>1</v>
      </c>
      <c r="Z257" s="78" t="s">
        <v>48</v>
      </c>
      <c r="AA257" s="78" t="s">
        <v>225</v>
      </c>
      <c r="AB257" s="78">
        <v>1000</v>
      </c>
    </row>
    <row r="258" spans="1:28" x14ac:dyDescent="0.25">
      <c r="A258" t="str">
        <f>IF(EXACT('BOM A320 FFS'!B355,obsoleta!D258),"OK","ERROR")</f>
        <v>ERROR</v>
      </c>
      <c r="C258" s="31" t="s">
        <v>314</v>
      </c>
      <c r="D258" s="71">
        <v>1200390091600</v>
      </c>
      <c r="E258" s="71"/>
      <c r="F258" s="32" t="s">
        <v>1975</v>
      </c>
      <c r="G258" s="32" t="s">
        <v>1976</v>
      </c>
      <c r="H258" s="32" t="s">
        <v>719</v>
      </c>
      <c r="I258" s="32" t="s">
        <v>586</v>
      </c>
      <c r="J258" s="33">
        <v>200</v>
      </c>
      <c r="K258" s="34">
        <v>0.44</v>
      </c>
      <c r="L258" s="35">
        <v>88</v>
      </c>
      <c r="M258" s="36" t="s">
        <v>32</v>
      </c>
      <c r="N258" s="37">
        <v>1</v>
      </c>
      <c r="O258" s="35">
        <v>88</v>
      </c>
      <c r="P258" s="35" t="s">
        <v>33</v>
      </c>
      <c r="Q258" s="97">
        <v>45453</v>
      </c>
      <c r="R258" s="35" t="s">
        <v>62</v>
      </c>
      <c r="S258" s="38"/>
      <c r="T258" s="78">
        <v>1</v>
      </c>
      <c r="U258" s="78" t="s">
        <v>34</v>
      </c>
      <c r="V258" s="78"/>
      <c r="W258" s="78" t="s">
        <v>303</v>
      </c>
      <c r="X258" s="78" t="s">
        <v>839</v>
      </c>
      <c r="Y258" s="78">
        <v>1</v>
      </c>
      <c r="Z258" s="78" t="s">
        <v>48</v>
      </c>
      <c r="AA258" s="78" t="s">
        <v>225</v>
      </c>
      <c r="AB258" s="78">
        <v>200</v>
      </c>
    </row>
    <row r="259" spans="1:28" x14ac:dyDescent="0.25">
      <c r="A259" t="str">
        <f>IF(EXACT('BOM A320 FFS'!B358,obsoleta!D259),"OK","ERROR")</f>
        <v>ERROR</v>
      </c>
      <c r="C259" s="31" t="s">
        <v>314</v>
      </c>
      <c r="D259" s="71">
        <v>1200390091200</v>
      </c>
      <c r="E259" s="71"/>
      <c r="F259" s="32" t="s">
        <v>1602</v>
      </c>
      <c r="G259" s="32" t="s">
        <v>1603</v>
      </c>
      <c r="H259" s="32" t="s">
        <v>719</v>
      </c>
      <c r="I259" s="32" t="s">
        <v>586</v>
      </c>
      <c r="J259" s="33">
        <v>200</v>
      </c>
      <c r="K259" s="34">
        <v>2.0299999999999998</v>
      </c>
      <c r="L259" s="35">
        <v>406</v>
      </c>
      <c r="M259" s="36" t="s">
        <v>32</v>
      </c>
      <c r="N259" s="37">
        <v>1</v>
      </c>
      <c r="O259" s="35">
        <v>406</v>
      </c>
      <c r="P259" s="35" t="s">
        <v>33</v>
      </c>
      <c r="Q259" s="97">
        <v>45453</v>
      </c>
      <c r="R259" s="35" t="s">
        <v>62</v>
      </c>
      <c r="S259" s="38"/>
      <c r="T259" s="78">
        <v>1</v>
      </c>
      <c r="U259" s="78" t="s">
        <v>34</v>
      </c>
      <c r="V259" s="78"/>
      <c r="W259" s="78" t="s">
        <v>303</v>
      </c>
      <c r="X259" s="78" t="s">
        <v>839</v>
      </c>
      <c r="Y259" s="78">
        <v>1</v>
      </c>
      <c r="Z259" s="78" t="s">
        <v>48</v>
      </c>
      <c r="AA259" s="78" t="s">
        <v>1670</v>
      </c>
      <c r="AB259" s="78">
        <v>200</v>
      </c>
    </row>
    <row r="260" spans="1:28" x14ac:dyDescent="0.25">
      <c r="A260" t="str">
        <f>IF(EXACT('BOM A320 FFS'!B359,obsoleta!D260),"OK","ERROR")</f>
        <v>ERROR</v>
      </c>
      <c r="C260" s="31" t="s">
        <v>314</v>
      </c>
      <c r="D260" s="71">
        <v>1233590160200</v>
      </c>
      <c r="E260" s="71"/>
      <c r="F260" s="32" t="s">
        <v>1428</v>
      </c>
      <c r="G260" s="32" t="s">
        <v>1429</v>
      </c>
      <c r="H260" s="32" t="s">
        <v>1070</v>
      </c>
      <c r="I260" s="32" t="s">
        <v>1071</v>
      </c>
      <c r="J260" s="33">
        <v>40</v>
      </c>
      <c r="K260" s="34">
        <v>5.63</v>
      </c>
      <c r="L260" s="35">
        <v>225.2</v>
      </c>
      <c r="M260" s="36" t="s">
        <v>32</v>
      </c>
      <c r="N260" s="37">
        <v>1</v>
      </c>
      <c r="O260" s="35">
        <v>225.2</v>
      </c>
      <c r="P260" s="35" t="s">
        <v>33</v>
      </c>
      <c r="Q260" s="97">
        <v>45453</v>
      </c>
      <c r="R260" s="35" t="s">
        <v>62</v>
      </c>
      <c r="S260" s="38"/>
      <c r="T260" s="78">
        <v>1</v>
      </c>
      <c r="U260" s="78" t="s">
        <v>34</v>
      </c>
      <c r="V260" s="78"/>
      <c r="W260" s="78" t="s">
        <v>303</v>
      </c>
      <c r="X260" s="78" t="s">
        <v>839</v>
      </c>
      <c r="Y260" s="78">
        <v>1</v>
      </c>
      <c r="Z260" s="78" t="s">
        <v>48</v>
      </c>
      <c r="AA260" s="78" t="s">
        <v>225</v>
      </c>
      <c r="AB260" s="78">
        <v>40</v>
      </c>
    </row>
    <row r="261" spans="1:28" x14ac:dyDescent="0.25">
      <c r="A261" t="str">
        <f>IF(EXACT('BOM A320 FFS'!B361,obsoleta!D261),"OK","ERROR")</f>
        <v>ERROR</v>
      </c>
      <c r="C261" s="31" t="s">
        <v>314</v>
      </c>
      <c r="D261" s="71">
        <v>1200391070100</v>
      </c>
      <c r="E261" s="71"/>
      <c r="F261" s="32" t="s">
        <v>1206</v>
      </c>
      <c r="G261" s="32" t="s">
        <v>1207</v>
      </c>
      <c r="H261" s="32" t="s">
        <v>719</v>
      </c>
      <c r="I261" s="32" t="s">
        <v>586</v>
      </c>
      <c r="J261" s="33">
        <v>4</v>
      </c>
      <c r="K261" s="38">
        <v>19.899999999999999</v>
      </c>
      <c r="L261" s="35">
        <v>79.599999999999994</v>
      </c>
      <c r="M261" s="36" t="s">
        <v>32</v>
      </c>
      <c r="N261" s="37">
        <v>1</v>
      </c>
      <c r="O261" s="35">
        <v>79.599999999999994</v>
      </c>
      <c r="P261" s="35" t="s">
        <v>33</v>
      </c>
      <c r="Q261" s="97">
        <v>45453</v>
      </c>
      <c r="R261" s="35" t="s">
        <v>62</v>
      </c>
      <c r="S261" s="38"/>
      <c r="T261" s="78">
        <v>1</v>
      </c>
      <c r="U261" s="78" t="s">
        <v>34</v>
      </c>
      <c r="V261" s="78"/>
      <c r="W261" s="78" t="s">
        <v>303</v>
      </c>
      <c r="X261" s="78" t="s">
        <v>839</v>
      </c>
      <c r="Y261" s="78">
        <v>1</v>
      </c>
      <c r="Z261" s="78" t="s">
        <v>48</v>
      </c>
      <c r="AA261" s="78" t="s">
        <v>225</v>
      </c>
      <c r="AB261" s="78">
        <v>6</v>
      </c>
    </row>
    <row r="262" spans="1:28" x14ac:dyDescent="0.25">
      <c r="A262" t="str">
        <f>IF(EXACT('BOM A320 FFS'!B362,obsoleta!D262),"OK","ERROR")</f>
        <v>ERROR</v>
      </c>
      <c r="C262" s="31" t="s">
        <v>314</v>
      </c>
      <c r="D262" s="71">
        <v>1200394000106</v>
      </c>
      <c r="E262" s="71"/>
      <c r="F262" s="32" t="s">
        <v>1407</v>
      </c>
      <c r="G262" s="32" t="s">
        <v>1408</v>
      </c>
      <c r="H262" s="32" t="s">
        <v>719</v>
      </c>
      <c r="I262" s="32" t="s">
        <v>586</v>
      </c>
      <c r="J262" s="33">
        <v>10</v>
      </c>
      <c r="K262" s="34">
        <v>7.01</v>
      </c>
      <c r="L262" s="35">
        <v>70.099999999999994</v>
      </c>
      <c r="M262" s="36" t="s">
        <v>32</v>
      </c>
      <c r="N262" s="37">
        <v>1</v>
      </c>
      <c r="O262" s="35">
        <v>70.099999999999994</v>
      </c>
      <c r="P262" s="35" t="s">
        <v>33</v>
      </c>
      <c r="Q262" s="97">
        <v>45453</v>
      </c>
      <c r="R262" s="35" t="s">
        <v>62</v>
      </c>
      <c r="S262" s="38"/>
      <c r="T262" s="78">
        <v>1</v>
      </c>
      <c r="U262" s="78" t="s">
        <v>34</v>
      </c>
      <c r="V262" s="78"/>
      <c r="W262" s="78" t="s">
        <v>303</v>
      </c>
      <c r="X262" s="78" t="s">
        <v>839</v>
      </c>
      <c r="Y262" s="78">
        <v>1</v>
      </c>
      <c r="Z262" s="78" t="s">
        <v>48</v>
      </c>
      <c r="AA262" s="78" t="s">
        <v>225</v>
      </c>
      <c r="AB262" s="78">
        <v>10</v>
      </c>
    </row>
    <row r="263" spans="1:28" x14ac:dyDescent="0.25">
      <c r="A263" t="str">
        <f>IF(EXACT('BOM A320 FFS'!B363,obsoleta!D263),"OK","ERROR")</f>
        <v>ERROR</v>
      </c>
      <c r="C263" s="31" t="s">
        <v>314</v>
      </c>
      <c r="D263" s="71">
        <v>1200394000104</v>
      </c>
      <c r="E263" s="71"/>
      <c r="F263" s="32" t="s">
        <v>1425</v>
      </c>
      <c r="G263" s="32" t="s">
        <v>1426</v>
      </c>
      <c r="H263" s="32" t="s">
        <v>719</v>
      </c>
      <c r="I263" s="32" t="s">
        <v>586</v>
      </c>
      <c r="J263" s="33">
        <v>40</v>
      </c>
      <c r="K263" s="34">
        <v>5.63</v>
      </c>
      <c r="L263" s="35">
        <v>225.2</v>
      </c>
      <c r="M263" s="36" t="s">
        <v>32</v>
      </c>
      <c r="N263" s="37">
        <v>1</v>
      </c>
      <c r="O263" s="35">
        <v>225.2</v>
      </c>
      <c r="P263" s="35" t="s">
        <v>33</v>
      </c>
      <c r="Q263" s="97">
        <v>45453</v>
      </c>
      <c r="R263" s="35" t="s">
        <v>62</v>
      </c>
      <c r="S263" s="38"/>
      <c r="T263" s="78">
        <v>1</v>
      </c>
      <c r="U263" s="78" t="s">
        <v>34</v>
      </c>
      <c r="V263" s="78"/>
      <c r="W263" s="78" t="s">
        <v>303</v>
      </c>
      <c r="X263" s="78" t="s">
        <v>839</v>
      </c>
      <c r="Y263" s="78">
        <v>1</v>
      </c>
      <c r="Z263" s="78" t="s">
        <v>48</v>
      </c>
      <c r="AA263" s="78" t="s">
        <v>225</v>
      </c>
      <c r="AB263" s="78">
        <v>40</v>
      </c>
    </row>
    <row r="264" spans="1:28" x14ac:dyDescent="0.25">
      <c r="A264" t="str">
        <f>IF(EXACT('BOM A320 FFS'!B364,obsoleta!D264),"OK","ERROR")</f>
        <v>ERROR</v>
      </c>
      <c r="C264" s="31" t="s">
        <v>314</v>
      </c>
      <c r="D264" s="31">
        <v>1200394000103</v>
      </c>
      <c r="E264" s="31"/>
      <c r="F264" s="32" t="s">
        <v>1419</v>
      </c>
      <c r="G264" s="32" t="s">
        <v>1420</v>
      </c>
      <c r="H264" s="32" t="s">
        <v>719</v>
      </c>
      <c r="I264" s="32" t="s">
        <v>586</v>
      </c>
      <c r="J264" s="33">
        <v>10</v>
      </c>
      <c r="K264" s="34">
        <v>6.94</v>
      </c>
      <c r="L264" s="35">
        <v>69.400000000000006</v>
      </c>
      <c r="M264" s="36" t="s">
        <v>32</v>
      </c>
      <c r="N264" s="37">
        <v>1</v>
      </c>
      <c r="O264" s="35">
        <v>69.400000000000006</v>
      </c>
      <c r="P264" s="35" t="s">
        <v>33</v>
      </c>
      <c r="Q264" s="97">
        <v>45453</v>
      </c>
      <c r="R264" s="35" t="s">
        <v>62</v>
      </c>
      <c r="S264" s="38"/>
      <c r="T264" s="78">
        <v>1</v>
      </c>
      <c r="U264" s="78" t="s">
        <v>34</v>
      </c>
      <c r="V264" s="78"/>
      <c r="W264" s="78" t="s">
        <v>303</v>
      </c>
      <c r="X264" s="78" t="s">
        <v>839</v>
      </c>
      <c r="Y264" s="78">
        <v>1</v>
      </c>
      <c r="Z264" s="78" t="s">
        <v>48</v>
      </c>
      <c r="AA264" s="78" t="s">
        <v>225</v>
      </c>
      <c r="AB264" s="78">
        <v>10</v>
      </c>
    </row>
    <row r="265" spans="1:28" x14ac:dyDescent="0.25">
      <c r="A265" t="str">
        <f>IF(EXACT('BOM A320 FFS'!B365,obsoleta!D265),"OK","ERROR")</f>
        <v>ERROR</v>
      </c>
      <c r="C265" s="31" t="s">
        <v>314</v>
      </c>
      <c r="D265" s="71">
        <v>1200394000102</v>
      </c>
      <c r="E265" s="71"/>
      <c r="F265" s="32" t="s">
        <v>1376</v>
      </c>
      <c r="G265" s="32" t="s">
        <v>1377</v>
      </c>
      <c r="H265" s="32" t="s">
        <v>719</v>
      </c>
      <c r="I265" s="32" t="s">
        <v>586</v>
      </c>
      <c r="J265" s="33">
        <v>4</v>
      </c>
      <c r="K265" s="38">
        <v>8.08</v>
      </c>
      <c r="L265" s="35">
        <v>32.299999999999997</v>
      </c>
      <c r="M265" s="36" t="s">
        <v>32</v>
      </c>
      <c r="N265" s="37">
        <v>1</v>
      </c>
      <c r="O265" s="35">
        <v>32.299999999999997</v>
      </c>
      <c r="P265" s="35" t="s">
        <v>33</v>
      </c>
      <c r="Q265" s="97">
        <v>45453</v>
      </c>
      <c r="R265" s="35" t="s">
        <v>62</v>
      </c>
      <c r="S265" s="38"/>
      <c r="T265" s="78">
        <v>1</v>
      </c>
      <c r="U265" s="78" t="s">
        <v>34</v>
      </c>
      <c r="V265" s="78"/>
      <c r="W265" s="78" t="s">
        <v>303</v>
      </c>
      <c r="X265" s="78" t="s">
        <v>839</v>
      </c>
      <c r="Y265" s="78">
        <v>1</v>
      </c>
      <c r="Z265" s="78" t="s">
        <v>48</v>
      </c>
      <c r="AA265" s="78" t="s">
        <v>225</v>
      </c>
      <c r="AB265" s="78">
        <v>6</v>
      </c>
    </row>
    <row r="266" spans="1:28" x14ac:dyDescent="0.25">
      <c r="A266" t="str">
        <f>IF(EXACT('BOM A320 FFS'!B366,obsoleta!D266),"OK","ERROR")</f>
        <v>ERROR</v>
      </c>
      <c r="C266" s="31" t="s">
        <v>314</v>
      </c>
      <c r="D266" s="71">
        <v>1200394000101</v>
      </c>
      <c r="E266" s="71"/>
      <c r="F266" s="32" t="s">
        <v>1373</v>
      </c>
      <c r="G266" s="32" t="s">
        <v>1374</v>
      </c>
      <c r="H266" s="32" t="s">
        <v>719</v>
      </c>
      <c r="I266" s="32" t="s">
        <v>586</v>
      </c>
      <c r="J266" s="33">
        <v>4</v>
      </c>
      <c r="K266" s="38">
        <v>8.08</v>
      </c>
      <c r="L266" s="35">
        <v>32.299999999999997</v>
      </c>
      <c r="M266" s="36" t="s">
        <v>32</v>
      </c>
      <c r="N266" s="37">
        <v>1</v>
      </c>
      <c r="O266" s="35">
        <v>32.299999999999997</v>
      </c>
      <c r="P266" s="35" t="s">
        <v>33</v>
      </c>
      <c r="Q266" s="97">
        <v>45453</v>
      </c>
      <c r="R266" s="35" t="s">
        <v>62</v>
      </c>
      <c r="S266" s="38"/>
      <c r="T266" s="78">
        <v>1</v>
      </c>
      <c r="U266" s="78" t="s">
        <v>34</v>
      </c>
      <c r="V266" s="78"/>
      <c r="W266" s="78" t="s">
        <v>303</v>
      </c>
      <c r="X266" s="78" t="s">
        <v>839</v>
      </c>
      <c r="Y266" s="78">
        <v>1</v>
      </c>
      <c r="Z266" s="78" t="s">
        <v>48</v>
      </c>
      <c r="AA266" s="78" t="s">
        <v>225</v>
      </c>
      <c r="AB266" s="78">
        <v>6</v>
      </c>
    </row>
    <row r="267" spans="1:28" x14ac:dyDescent="0.25">
      <c r="A267" t="str">
        <f>IF(EXACT('BOM A320 FFS'!B367,obsoleta!D267),"OK","ERROR")</f>
        <v>ERROR</v>
      </c>
      <c r="C267" s="31" t="s">
        <v>314</v>
      </c>
      <c r="D267" s="71">
        <v>1238090100000</v>
      </c>
      <c r="E267" s="71"/>
      <c r="F267" s="32" t="s">
        <v>1290</v>
      </c>
      <c r="G267" s="32" t="s">
        <v>1291</v>
      </c>
      <c r="H267" s="32" t="s">
        <v>719</v>
      </c>
      <c r="I267" s="32" t="s">
        <v>586</v>
      </c>
      <c r="J267" s="33">
        <v>30</v>
      </c>
      <c r="K267" s="34">
        <v>12.72</v>
      </c>
      <c r="L267" s="35">
        <v>381.6</v>
      </c>
      <c r="M267" s="36" t="s">
        <v>32</v>
      </c>
      <c r="N267" s="37">
        <v>1</v>
      </c>
      <c r="O267" s="35">
        <v>381.6</v>
      </c>
      <c r="P267" s="35" t="s">
        <v>33</v>
      </c>
      <c r="Q267" s="97">
        <v>45453</v>
      </c>
      <c r="R267" s="35" t="s">
        <v>62</v>
      </c>
      <c r="S267" s="38"/>
      <c r="T267" s="78">
        <v>1</v>
      </c>
      <c r="U267" s="78" t="s">
        <v>34</v>
      </c>
      <c r="V267" s="78"/>
      <c r="W267" s="78" t="s">
        <v>303</v>
      </c>
      <c r="X267" s="78" t="s">
        <v>839</v>
      </c>
      <c r="Y267" s="78">
        <v>1</v>
      </c>
      <c r="Z267" s="78" t="s">
        <v>48</v>
      </c>
      <c r="AA267" s="78" t="s">
        <v>225</v>
      </c>
      <c r="AB267" s="78">
        <v>30</v>
      </c>
    </row>
    <row r="268" spans="1:28" x14ac:dyDescent="0.25">
      <c r="A268" t="str">
        <f>IF(EXACT('BOM A320 FFS'!B368,obsoleta!D268),"OK","ERROR")</f>
        <v>ERROR</v>
      </c>
      <c r="C268" s="31" t="s">
        <v>314</v>
      </c>
      <c r="D268" s="71">
        <v>1200300890200</v>
      </c>
      <c r="E268" s="71"/>
      <c r="F268" s="32" t="s">
        <v>717</v>
      </c>
      <c r="G268" s="32" t="s">
        <v>718</v>
      </c>
      <c r="H268" s="32" t="s">
        <v>719</v>
      </c>
      <c r="I268" s="32" t="s">
        <v>586</v>
      </c>
      <c r="J268" s="33">
        <v>4</v>
      </c>
      <c r="K268" s="38">
        <v>67.28</v>
      </c>
      <c r="L268" s="35">
        <v>269.10000000000002</v>
      </c>
      <c r="M268" s="36" t="s">
        <v>32</v>
      </c>
      <c r="N268" s="37">
        <v>1</v>
      </c>
      <c r="O268" s="35">
        <v>269.10000000000002</v>
      </c>
      <c r="P268" s="35" t="s">
        <v>33</v>
      </c>
      <c r="Q268" s="97">
        <v>45453</v>
      </c>
      <c r="R268" s="35" t="s">
        <v>62</v>
      </c>
      <c r="S268" s="38"/>
      <c r="T268" s="78">
        <v>1</v>
      </c>
      <c r="U268" s="78" t="s">
        <v>34</v>
      </c>
      <c r="V268" s="78"/>
      <c r="W268" s="78" t="s">
        <v>303</v>
      </c>
      <c r="X268" s="78" t="s">
        <v>839</v>
      </c>
      <c r="Y268" s="78">
        <v>1</v>
      </c>
      <c r="Z268" s="78" t="s">
        <v>48</v>
      </c>
      <c r="AA268" s="78" t="s">
        <v>225</v>
      </c>
      <c r="AB268" s="78">
        <v>4</v>
      </c>
    </row>
    <row r="269" spans="1:28" x14ac:dyDescent="0.25">
      <c r="A269" t="str">
        <f>IF(EXACT('BOM A320 FFS'!B369,obsoleta!D269),"OK","ERROR")</f>
        <v>ERROR</v>
      </c>
      <c r="C269" s="31" t="s">
        <v>314</v>
      </c>
      <c r="D269" s="71">
        <v>1200301890000</v>
      </c>
      <c r="E269" s="71"/>
      <c r="F269" s="32" t="s">
        <v>780</v>
      </c>
      <c r="G269" s="32" t="s">
        <v>781</v>
      </c>
      <c r="H269" s="32" t="s">
        <v>719</v>
      </c>
      <c r="I269" s="32" t="s">
        <v>586</v>
      </c>
      <c r="J269" s="33">
        <v>30</v>
      </c>
      <c r="K269" s="34">
        <v>49.82</v>
      </c>
      <c r="L269" s="35">
        <v>1494.6</v>
      </c>
      <c r="M269" s="36" t="s">
        <v>32</v>
      </c>
      <c r="N269" s="37">
        <v>1</v>
      </c>
      <c r="O269" s="35">
        <v>1494.6</v>
      </c>
      <c r="P269" s="35" t="s">
        <v>33</v>
      </c>
      <c r="Q269" s="97">
        <v>45453</v>
      </c>
      <c r="R269" s="35" t="s">
        <v>62</v>
      </c>
      <c r="S269" s="38"/>
      <c r="T269" s="78">
        <v>1</v>
      </c>
      <c r="U269" s="78" t="s">
        <v>34</v>
      </c>
      <c r="V269" s="78"/>
      <c r="W269" s="78" t="s">
        <v>303</v>
      </c>
      <c r="X269" s="78" t="s">
        <v>839</v>
      </c>
      <c r="Y269" s="78">
        <v>1</v>
      </c>
      <c r="Z269" s="78" t="s">
        <v>48</v>
      </c>
      <c r="AA269" s="78" t="s">
        <v>225</v>
      </c>
      <c r="AB269" s="78">
        <v>30</v>
      </c>
    </row>
    <row r="270" spans="1:28" x14ac:dyDescent="0.25">
      <c r="A270" t="str">
        <f>IF(EXACT('BOM A320 FFS'!B370,obsoleta!D270),"OK","ERROR")</f>
        <v>ERROR</v>
      </c>
      <c r="C270" s="31" t="s">
        <v>314</v>
      </c>
      <c r="D270" s="71">
        <v>1239990800000</v>
      </c>
      <c r="E270" s="71"/>
      <c r="F270" s="32" t="s">
        <v>1124</v>
      </c>
      <c r="G270" s="32" t="s">
        <v>1125</v>
      </c>
      <c r="H270" s="32" t="s">
        <v>742</v>
      </c>
      <c r="I270" s="32" t="s">
        <v>586</v>
      </c>
      <c r="J270" s="33">
        <v>5</v>
      </c>
      <c r="K270" s="34">
        <v>29.8</v>
      </c>
      <c r="L270" s="35">
        <v>149</v>
      </c>
      <c r="M270" s="36" t="s">
        <v>32</v>
      </c>
      <c r="N270" s="37">
        <v>1</v>
      </c>
      <c r="O270" s="35">
        <v>149</v>
      </c>
      <c r="P270" s="35" t="s">
        <v>33</v>
      </c>
      <c r="Q270" s="97">
        <v>45453</v>
      </c>
      <c r="R270" s="35" t="s">
        <v>62</v>
      </c>
      <c r="S270" s="38"/>
      <c r="T270" s="78">
        <v>1</v>
      </c>
      <c r="U270" s="78" t="s">
        <v>34</v>
      </c>
      <c r="V270" s="78"/>
      <c r="W270" s="78" t="s">
        <v>303</v>
      </c>
      <c r="X270" s="78" t="s">
        <v>839</v>
      </c>
      <c r="Y270" s="78">
        <v>1</v>
      </c>
      <c r="Z270" s="78" t="s">
        <v>48</v>
      </c>
      <c r="AA270" s="78" t="s">
        <v>1670</v>
      </c>
      <c r="AB270" s="78">
        <v>5</v>
      </c>
    </row>
    <row r="271" spans="1:28" x14ac:dyDescent="0.25">
      <c r="A271" t="str">
        <f>IF(EXACT('BOM A320 FFS'!B372,obsoleta!D271),"OK","ERROR")</f>
        <v>ERROR</v>
      </c>
      <c r="C271" s="31" t="s">
        <v>314</v>
      </c>
      <c r="D271" s="71">
        <v>1237090072100</v>
      </c>
      <c r="E271" s="71"/>
      <c r="F271" s="32" t="s">
        <v>1347</v>
      </c>
      <c r="G271" s="32" t="s">
        <v>1348</v>
      </c>
      <c r="H271" s="32" t="s">
        <v>1349</v>
      </c>
      <c r="I271" s="32" t="s">
        <v>586</v>
      </c>
      <c r="J271" s="33">
        <v>60</v>
      </c>
      <c r="K271" s="34">
        <v>9.5299999999999994</v>
      </c>
      <c r="L271" s="35">
        <v>571.79999999999995</v>
      </c>
      <c r="M271" s="36" t="s">
        <v>32</v>
      </c>
      <c r="N271" s="37">
        <v>1</v>
      </c>
      <c r="O271" s="35">
        <v>571.79999999999995</v>
      </c>
      <c r="P271" s="35" t="s">
        <v>33</v>
      </c>
      <c r="Q271" s="97">
        <v>45453</v>
      </c>
      <c r="R271" s="35" t="s">
        <v>62</v>
      </c>
      <c r="S271" s="38"/>
      <c r="T271" s="78">
        <v>1</v>
      </c>
      <c r="U271" s="78" t="s">
        <v>34</v>
      </c>
      <c r="V271" s="78"/>
      <c r="W271" s="78" t="s">
        <v>303</v>
      </c>
      <c r="X271" s="78" t="s">
        <v>839</v>
      </c>
      <c r="Y271" s="78">
        <v>1</v>
      </c>
      <c r="Z271" s="78" t="s">
        <v>48</v>
      </c>
      <c r="AA271" s="78" t="s">
        <v>225</v>
      </c>
      <c r="AB271" s="78">
        <v>60</v>
      </c>
    </row>
    <row r="272" spans="1:28" x14ac:dyDescent="0.25">
      <c r="A272" t="str">
        <f>IF(EXACT('BOM A320 FFS'!B373,obsoleta!D272),"OK","ERROR")</f>
        <v>ERROR</v>
      </c>
      <c r="C272" s="31" t="s">
        <v>314</v>
      </c>
      <c r="D272" s="71">
        <v>1237000262200</v>
      </c>
      <c r="E272" s="71"/>
      <c r="F272" s="32" t="s">
        <v>740</v>
      </c>
      <c r="G272" s="32" t="s">
        <v>741</v>
      </c>
      <c r="H272" s="32" t="s">
        <v>742</v>
      </c>
      <c r="I272" s="32" t="s">
        <v>586</v>
      </c>
      <c r="J272" s="33">
        <v>6</v>
      </c>
      <c r="K272" s="34">
        <v>53.82</v>
      </c>
      <c r="L272" s="35">
        <v>322.92</v>
      </c>
      <c r="M272" s="36" t="s">
        <v>32</v>
      </c>
      <c r="N272" s="37">
        <v>1</v>
      </c>
      <c r="O272" s="35">
        <v>322.92</v>
      </c>
      <c r="P272" s="35" t="s">
        <v>33</v>
      </c>
      <c r="Q272" s="97">
        <v>45453</v>
      </c>
      <c r="R272" s="35" t="s">
        <v>62</v>
      </c>
      <c r="S272" s="38"/>
      <c r="T272" s="78">
        <v>1</v>
      </c>
      <c r="U272" s="78" t="s">
        <v>34</v>
      </c>
      <c r="V272" s="78"/>
      <c r="W272" s="78" t="s">
        <v>303</v>
      </c>
      <c r="X272" s="78" t="s">
        <v>839</v>
      </c>
      <c r="Y272" s="78">
        <v>1</v>
      </c>
      <c r="Z272" s="78" t="s">
        <v>48</v>
      </c>
      <c r="AA272" s="78" t="s">
        <v>225</v>
      </c>
      <c r="AB272" s="78">
        <v>6</v>
      </c>
    </row>
    <row r="273" spans="1:28" x14ac:dyDescent="0.25">
      <c r="A273" t="str">
        <f>IF(EXACT('BOM A320 FFS'!B374,obsoleta!D273),"OK","ERROR")</f>
        <v>ERROR</v>
      </c>
      <c r="C273" s="31" t="s">
        <v>314</v>
      </c>
      <c r="D273" s="71">
        <v>1237090062100</v>
      </c>
      <c r="E273" s="71"/>
      <c r="F273" s="32" t="s">
        <v>1370</v>
      </c>
      <c r="G273" s="32" t="s">
        <v>1371</v>
      </c>
      <c r="H273" s="32" t="s">
        <v>1349</v>
      </c>
      <c r="I273" s="32" t="s">
        <v>586</v>
      </c>
      <c r="J273" s="33">
        <v>90</v>
      </c>
      <c r="K273" s="34">
        <v>8.17</v>
      </c>
      <c r="L273" s="35">
        <v>735.3</v>
      </c>
      <c r="M273" s="36" t="s">
        <v>32</v>
      </c>
      <c r="N273" s="37">
        <v>1</v>
      </c>
      <c r="O273" s="35">
        <v>735.3</v>
      </c>
      <c r="P273" s="35" t="s">
        <v>33</v>
      </c>
      <c r="Q273" s="97">
        <v>45453</v>
      </c>
      <c r="R273" s="35" t="s">
        <v>62</v>
      </c>
      <c r="S273" s="38"/>
      <c r="T273" s="78">
        <v>1</v>
      </c>
      <c r="U273" s="78" t="s">
        <v>34</v>
      </c>
      <c r="V273" s="78"/>
      <c r="W273" s="78" t="s">
        <v>303</v>
      </c>
      <c r="X273" s="78" t="s">
        <v>839</v>
      </c>
      <c r="Y273" s="78">
        <v>1</v>
      </c>
      <c r="Z273" s="78" t="s">
        <v>48</v>
      </c>
      <c r="AA273" s="78" t="s">
        <v>225</v>
      </c>
      <c r="AB273" s="78">
        <v>90</v>
      </c>
    </row>
    <row r="274" spans="1:28" x14ac:dyDescent="0.25">
      <c r="A274" t="str">
        <f>IF(EXACT('BOM A320 FFS'!B376,obsoleta!D274),"OK","ERROR")</f>
        <v>ERROR</v>
      </c>
      <c r="C274" s="31" t="s">
        <v>314</v>
      </c>
      <c r="D274" s="71">
        <v>1237000102900</v>
      </c>
      <c r="E274" s="71"/>
      <c r="F274" s="32" t="s">
        <v>1143</v>
      </c>
      <c r="G274" s="32" t="s">
        <v>1144</v>
      </c>
      <c r="H274" s="32" t="s">
        <v>742</v>
      </c>
      <c r="I274" s="32" t="s">
        <v>586</v>
      </c>
      <c r="J274" s="33">
        <v>20</v>
      </c>
      <c r="K274" s="34">
        <v>25.69</v>
      </c>
      <c r="L274" s="35">
        <v>513.79999999999995</v>
      </c>
      <c r="M274" s="36" t="s">
        <v>32</v>
      </c>
      <c r="N274" s="37">
        <v>1</v>
      </c>
      <c r="O274" s="35">
        <v>513.79999999999995</v>
      </c>
      <c r="P274" s="35" t="s">
        <v>33</v>
      </c>
      <c r="Q274" s="97">
        <v>45453</v>
      </c>
      <c r="R274" s="35" t="s">
        <v>62</v>
      </c>
      <c r="S274" s="38"/>
      <c r="T274" s="78">
        <v>1</v>
      </c>
      <c r="U274" s="78" t="s">
        <v>34</v>
      </c>
      <c r="V274" s="78"/>
      <c r="W274" s="78" t="s">
        <v>303</v>
      </c>
      <c r="X274" s="78" t="s">
        <v>839</v>
      </c>
      <c r="Y274" s="78">
        <v>1</v>
      </c>
      <c r="Z274" s="78" t="s">
        <v>48</v>
      </c>
      <c r="AA274" s="78" t="s">
        <v>1670</v>
      </c>
      <c r="AB274" s="78">
        <v>20</v>
      </c>
    </row>
    <row r="275" spans="1:28" x14ac:dyDescent="0.25">
      <c r="A275" t="str">
        <f>IF(EXACT('BOM A320 FFS'!B378,obsoleta!D275),"OK","ERROR")</f>
        <v>ERROR</v>
      </c>
      <c r="C275" s="31" t="s">
        <v>314</v>
      </c>
      <c r="D275" s="71">
        <v>1239991180200</v>
      </c>
      <c r="E275" s="71"/>
      <c r="F275" s="32" t="s">
        <v>1789</v>
      </c>
      <c r="G275" s="32" t="s">
        <v>1790</v>
      </c>
      <c r="H275" s="32" t="s">
        <v>1791</v>
      </c>
      <c r="I275" s="32" t="s">
        <v>1071</v>
      </c>
      <c r="J275" s="33">
        <v>10</v>
      </c>
      <c r="K275" s="34">
        <v>1</v>
      </c>
      <c r="L275" s="35">
        <v>10</v>
      </c>
      <c r="M275" s="36" t="s">
        <v>32</v>
      </c>
      <c r="N275" s="37">
        <v>1</v>
      </c>
      <c r="O275" s="35">
        <v>10</v>
      </c>
      <c r="P275" s="35" t="s">
        <v>33</v>
      </c>
      <c r="Q275" s="97">
        <v>45453</v>
      </c>
      <c r="R275" s="35" t="s">
        <v>62</v>
      </c>
      <c r="S275" s="38"/>
      <c r="T275" s="78">
        <v>2</v>
      </c>
      <c r="U275" s="78"/>
      <c r="V275" s="78"/>
      <c r="W275" s="78" t="s">
        <v>303</v>
      </c>
      <c r="X275" s="78" t="s">
        <v>839</v>
      </c>
      <c r="Y275" s="78">
        <v>1</v>
      </c>
      <c r="Z275" s="78" t="s">
        <v>48</v>
      </c>
      <c r="AA275" s="78" t="s">
        <v>225</v>
      </c>
      <c r="AB275" s="78">
        <v>10</v>
      </c>
    </row>
    <row r="276" spans="1:28" x14ac:dyDescent="0.25">
      <c r="A276" t="str">
        <f>IF(EXACT('BOM A320 FFS'!B379,obsoleta!D276),"OK","ERROR")</f>
        <v>ERROR</v>
      </c>
      <c r="C276" s="39"/>
      <c r="D276" s="39"/>
      <c r="E276" s="39"/>
      <c r="F276" s="28"/>
      <c r="G276" s="28"/>
      <c r="H276" s="28"/>
      <c r="I276" s="28"/>
      <c r="J276" s="40"/>
      <c r="K276" s="41"/>
      <c r="L276" s="41"/>
      <c r="M276" s="26"/>
      <c r="N276" s="26"/>
      <c r="O276" s="41"/>
      <c r="P276" s="41"/>
      <c r="Q276" s="98"/>
      <c r="R276" s="41"/>
      <c r="S276" s="30"/>
      <c r="T276" s="82"/>
      <c r="U276" s="82"/>
      <c r="V276" s="82"/>
      <c r="W276" s="82"/>
      <c r="X276" s="82"/>
      <c r="Y276" s="82"/>
      <c r="Z276" s="82"/>
      <c r="AA276" s="82" t="s">
        <v>225</v>
      </c>
      <c r="AB276" s="82"/>
    </row>
    <row r="277" spans="1:28" x14ac:dyDescent="0.25">
      <c r="A277" t="str">
        <f>IF(EXACT('BOM A320 FFS'!B380,obsoleta!D277),"OK","ERROR")</f>
        <v>ERROR</v>
      </c>
      <c r="C277" s="48"/>
      <c r="D277" s="48" t="s">
        <v>3648</v>
      </c>
      <c r="E277" s="48"/>
      <c r="F277" s="28"/>
      <c r="G277" s="28"/>
      <c r="H277" s="28"/>
      <c r="I277" s="28"/>
      <c r="J277" s="40"/>
      <c r="K277" s="41"/>
      <c r="L277" s="41"/>
      <c r="M277" s="26"/>
      <c r="N277" s="26"/>
      <c r="O277" s="41"/>
      <c r="P277" s="41"/>
      <c r="Q277" s="98"/>
      <c r="R277" s="41"/>
      <c r="S277" s="30"/>
      <c r="T277" s="82"/>
      <c r="U277" s="82"/>
      <c r="V277" s="82"/>
      <c r="W277" s="82"/>
      <c r="X277" s="82"/>
      <c r="Y277" s="82"/>
      <c r="Z277" s="82"/>
      <c r="AA277" s="82" t="s">
        <v>225</v>
      </c>
      <c r="AB277" s="82"/>
    </row>
    <row r="278" spans="1:28" x14ac:dyDescent="0.25">
      <c r="A278" t="str">
        <f>IF(EXACT('BOM A320 FFS'!B381,obsoleta!D278),"OK","ERROR")</f>
        <v>ERROR</v>
      </c>
      <c r="C278" s="48"/>
      <c r="D278" s="48" t="s">
        <v>3649</v>
      </c>
      <c r="E278" s="48"/>
      <c r="F278" s="28"/>
      <c r="G278" s="28"/>
      <c r="H278" s="28"/>
      <c r="I278" s="28"/>
      <c r="J278" s="40"/>
      <c r="K278" s="41"/>
      <c r="L278" s="41"/>
      <c r="M278" s="26"/>
      <c r="N278" s="26"/>
      <c r="O278" s="41"/>
      <c r="P278" s="41"/>
      <c r="Q278" s="98"/>
      <c r="R278" s="41"/>
      <c r="S278" s="30"/>
      <c r="T278" s="82"/>
      <c r="U278" s="82"/>
      <c r="V278" s="82"/>
      <c r="W278" s="82"/>
      <c r="X278" s="82"/>
      <c r="Y278" s="82"/>
      <c r="Z278" s="82"/>
      <c r="AA278" s="82" t="s">
        <v>225</v>
      </c>
      <c r="AB278" s="82"/>
    </row>
    <row r="279" spans="1:28" x14ac:dyDescent="0.25">
      <c r="A279" t="str">
        <f>IF(EXACT('BOM A320 FFS'!B382,obsoleta!D279),"OK","ERROR")</f>
        <v>ERROR</v>
      </c>
      <c r="C279" s="31" t="s">
        <v>314</v>
      </c>
      <c r="D279" s="71">
        <v>1209990030120</v>
      </c>
      <c r="E279" s="71"/>
      <c r="F279" s="32" t="s">
        <v>2064</v>
      </c>
      <c r="G279" s="32" t="s">
        <v>2065</v>
      </c>
      <c r="H279" s="32" t="s">
        <v>785</v>
      </c>
      <c r="I279" s="32" t="s">
        <v>1071</v>
      </c>
      <c r="J279" s="33">
        <v>200</v>
      </c>
      <c r="K279" s="38">
        <v>0.28000000000000003</v>
      </c>
      <c r="L279" s="35">
        <v>56</v>
      </c>
      <c r="M279" s="36" t="s">
        <v>32</v>
      </c>
      <c r="N279" s="37">
        <v>1</v>
      </c>
      <c r="O279" s="35">
        <v>56</v>
      </c>
      <c r="P279" s="35" t="s">
        <v>33</v>
      </c>
      <c r="Q279" s="97">
        <v>45453</v>
      </c>
      <c r="R279" s="35" t="s">
        <v>62</v>
      </c>
      <c r="S279" s="38"/>
      <c r="T279" s="78">
        <v>2</v>
      </c>
      <c r="U279" s="78"/>
      <c r="V279" s="78"/>
      <c r="W279" s="78" t="s">
        <v>303</v>
      </c>
      <c r="X279" s="78" t="s">
        <v>839</v>
      </c>
      <c r="Y279" s="78">
        <v>1</v>
      </c>
      <c r="Z279" s="78" t="s">
        <v>48</v>
      </c>
      <c r="AA279" s="78" t="s">
        <v>225</v>
      </c>
      <c r="AB279" s="78">
        <v>200</v>
      </c>
    </row>
    <row r="280" spans="1:28" x14ac:dyDescent="0.25">
      <c r="A280" t="str">
        <f>IF(EXACT('BOM A320 FFS'!B383,obsoleta!D280),"OK","ERROR")</f>
        <v>ERROR</v>
      </c>
      <c r="C280" s="31" t="s">
        <v>314</v>
      </c>
      <c r="D280" s="71">
        <v>1214890160020</v>
      </c>
      <c r="E280" s="71"/>
      <c r="F280" s="32" t="s">
        <v>1978</v>
      </c>
      <c r="G280" s="32" t="s">
        <v>1979</v>
      </c>
      <c r="H280" s="32" t="s">
        <v>785</v>
      </c>
      <c r="I280" s="32" t="s">
        <v>1071</v>
      </c>
      <c r="J280" s="33">
        <v>200</v>
      </c>
      <c r="K280" s="38">
        <v>0.44</v>
      </c>
      <c r="L280" s="35">
        <v>88</v>
      </c>
      <c r="M280" s="36" t="s">
        <v>32</v>
      </c>
      <c r="N280" s="37">
        <v>1</v>
      </c>
      <c r="O280" s="35">
        <v>88</v>
      </c>
      <c r="P280" s="35" t="s">
        <v>33</v>
      </c>
      <c r="Q280" s="97">
        <v>45453</v>
      </c>
      <c r="R280" s="35" t="s">
        <v>62</v>
      </c>
      <c r="S280" s="38"/>
      <c r="T280" s="78">
        <v>2</v>
      </c>
      <c r="U280" s="78"/>
      <c r="V280" s="78"/>
      <c r="W280" s="78" t="s">
        <v>303</v>
      </c>
      <c r="X280" s="78" t="s">
        <v>839</v>
      </c>
      <c r="Y280" s="78">
        <v>1</v>
      </c>
      <c r="Z280" s="78" t="s">
        <v>48</v>
      </c>
      <c r="AA280" s="78" t="s">
        <v>1670</v>
      </c>
      <c r="AB280" s="78">
        <v>200</v>
      </c>
    </row>
    <row r="281" spans="1:28" x14ac:dyDescent="0.25">
      <c r="A281" t="str">
        <f>IF(EXACT('BOM A320 FFS'!B384,obsoleta!D281),"OK","ERROR")</f>
        <v>ERROR</v>
      </c>
      <c r="C281" s="31" t="s">
        <v>314</v>
      </c>
      <c r="D281" s="71">
        <v>1214090010420</v>
      </c>
      <c r="E281" s="71"/>
      <c r="F281" s="32" t="s">
        <v>2101</v>
      </c>
      <c r="G281" s="32" t="s">
        <v>2102</v>
      </c>
      <c r="H281" s="32" t="s">
        <v>785</v>
      </c>
      <c r="I281" s="32" t="s">
        <v>1071</v>
      </c>
      <c r="J281" s="33">
        <v>1000</v>
      </c>
      <c r="K281" s="38">
        <v>0.21</v>
      </c>
      <c r="L281" s="35">
        <v>210</v>
      </c>
      <c r="M281" s="36" t="s">
        <v>32</v>
      </c>
      <c r="N281" s="37">
        <v>1</v>
      </c>
      <c r="O281" s="35">
        <v>210</v>
      </c>
      <c r="P281" s="35" t="s">
        <v>33</v>
      </c>
      <c r="Q281" s="97">
        <v>45453</v>
      </c>
      <c r="R281" s="35" t="s">
        <v>62</v>
      </c>
      <c r="S281" s="38"/>
      <c r="T281" s="78">
        <v>2</v>
      </c>
      <c r="U281" s="78"/>
      <c r="V281" s="78"/>
      <c r="W281" s="78" t="s">
        <v>303</v>
      </c>
      <c r="X281" s="78" t="s">
        <v>839</v>
      </c>
      <c r="Y281" s="78">
        <v>1</v>
      </c>
      <c r="Z281" s="78" t="s">
        <v>48</v>
      </c>
      <c r="AA281" s="78" t="s">
        <v>225</v>
      </c>
      <c r="AB281" s="78">
        <v>1000</v>
      </c>
    </row>
    <row r="282" spans="1:28" x14ac:dyDescent="0.25">
      <c r="A282" t="str">
        <f>IF(EXACT('BOM A320 FFS'!B386,obsoleta!D282),"OK","ERROR")</f>
        <v>ERROR</v>
      </c>
      <c r="C282" s="31" t="s">
        <v>314</v>
      </c>
      <c r="D282" s="71">
        <v>1204090200020</v>
      </c>
      <c r="E282" s="71"/>
      <c r="F282" s="32" t="s">
        <v>2107</v>
      </c>
      <c r="G282" s="32" t="s">
        <v>2108</v>
      </c>
      <c r="H282" s="32" t="s">
        <v>785</v>
      </c>
      <c r="I282" s="32" t="s">
        <v>586</v>
      </c>
      <c r="J282" s="33">
        <v>1000</v>
      </c>
      <c r="K282" s="34">
        <v>0.2</v>
      </c>
      <c r="L282" s="35">
        <v>200</v>
      </c>
      <c r="M282" s="36" t="s">
        <v>32</v>
      </c>
      <c r="N282" s="37">
        <v>1</v>
      </c>
      <c r="O282" s="35">
        <v>200</v>
      </c>
      <c r="P282" s="35" t="s">
        <v>33</v>
      </c>
      <c r="Q282" s="97">
        <v>45453</v>
      </c>
      <c r="R282" s="35" t="s">
        <v>62</v>
      </c>
      <c r="S282" s="38"/>
      <c r="T282" s="78">
        <v>2</v>
      </c>
      <c r="U282" s="78"/>
      <c r="V282" s="78"/>
      <c r="W282" s="78" t="s">
        <v>303</v>
      </c>
      <c r="X282" s="78" t="s">
        <v>839</v>
      </c>
      <c r="Y282" s="78">
        <v>1</v>
      </c>
      <c r="Z282" s="78" t="s">
        <v>48</v>
      </c>
      <c r="AA282" s="78" t="s">
        <v>225</v>
      </c>
      <c r="AB282" s="78">
        <v>1000</v>
      </c>
    </row>
    <row r="283" spans="1:28" x14ac:dyDescent="0.25">
      <c r="A283" t="str">
        <f>IF(EXACT('BOM A320 FFS'!B387,obsoleta!D283),"OK","ERROR")</f>
        <v>ERROR</v>
      </c>
      <c r="C283" s="73"/>
      <c r="D283" s="73" t="s">
        <v>3650</v>
      </c>
      <c r="E283" s="73"/>
      <c r="F283" s="32"/>
      <c r="G283" s="32"/>
      <c r="H283" s="32"/>
      <c r="I283" s="32"/>
      <c r="J283" s="33"/>
      <c r="K283" s="34"/>
      <c r="L283" s="35"/>
      <c r="M283" s="36"/>
      <c r="N283" s="37"/>
      <c r="O283" s="35"/>
      <c r="P283" s="35"/>
      <c r="Q283" s="97"/>
      <c r="R283" s="35"/>
      <c r="S283" s="38"/>
      <c r="T283" s="78"/>
      <c r="U283" s="78"/>
      <c r="V283" s="78"/>
      <c r="W283" s="78"/>
      <c r="X283" s="78"/>
      <c r="Y283" s="78"/>
      <c r="Z283" s="78"/>
      <c r="AA283" s="78" t="s">
        <v>1670</v>
      </c>
      <c r="AB283" s="78"/>
    </row>
    <row r="284" spans="1:28" x14ac:dyDescent="0.25">
      <c r="A284" t="str">
        <f>IF(EXACT('BOM A320 FFS'!B388,obsoleta!D284),"OK","ERROR")</f>
        <v>ERROR</v>
      </c>
      <c r="C284" s="31" t="s">
        <v>314</v>
      </c>
      <c r="D284" s="71">
        <v>1209990020720</v>
      </c>
      <c r="E284" s="71"/>
      <c r="F284" s="32" t="s">
        <v>1922</v>
      </c>
      <c r="G284" s="32" t="s">
        <v>1923</v>
      </c>
      <c r="H284" s="32" t="s">
        <v>785</v>
      </c>
      <c r="I284" s="32" t="s">
        <v>1071</v>
      </c>
      <c r="J284" s="33">
        <v>80</v>
      </c>
      <c r="K284" s="38">
        <v>0.51</v>
      </c>
      <c r="L284" s="35">
        <v>40.799999999999997</v>
      </c>
      <c r="M284" s="36" t="s">
        <v>32</v>
      </c>
      <c r="N284" s="37">
        <v>1</v>
      </c>
      <c r="O284" s="35">
        <v>40.799999999999997</v>
      </c>
      <c r="P284" s="35" t="s">
        <v>33</v>
      </c>
      <c r="Q284" s="97">
        <v>45453</v>
      </c>
      <c r="R284" s="35" t="s">
        <v>62</v>
      </c>
      <c r="S284" s="38"/>
      <c r="T284" s="78">
        <v>2</v>
      </c>
      <c r="U284" s="78"/>
      <c r="V284" s="78"/>
      <c r="W284" s="78" t="s">
        <v>303</v>
      </c>
      <c r="X284" s="78" t="s">
        <v>839</v>
      </c>
      <c r="Y284" s="78">
        <v>1</v>
      </c>
      <c r="Z284" s="78" t="s">
        <v>48</v>
      </c>
      <c r="AA284" s="78" t="s">
        <v>225</v>
      </c>
      <c r="AB284" s="78">
        <v>80</v>
      </c>
    </row>
    <row r="285" spans="1:28" x14ac:dyDescent="0.25">
      <c r="A285" t="str">
        <f>IF(EXACT('BOM A320 FFS'!B389,obsoleta!D285),"OK","ERROR")</f>
        <v>ERROR</v>
      </c>
      <c r="C285" s="31" t="s">
        <v>314</v>
      </c>
      <c r="D285" s="71">
        <v>1204890010121</v>
      </c>
      <c r="E285" s="71"/>
      <c r="F285" s="32" t="s">
        <v>1826</v>
      </c>
      <c r="G285" s="32" t="s">
        <v>1827</v>
      </c>
      <c r="H285" s="32" t="s">
        <v>785</v>
      </c>
      <c r="I285" s="32" t="s">
        <v>1071</v>
      </c>
      <c r="J285" s="33">
        <v>80</v>
      </c>
      <c r="K285" s="38">
        <v>0.87</v>
      </c>
      <c r="L285" s="35">
        <v>69.599999999999994</v>
      </c>
      <c r="M285" s="36" t="s">
        <v>32</v>
      </c>
      <c r="N285" s="37">
        <v>1</v>
      </c>
      <c r="O285" s="35">
        <v>69.599999999999994</v>
      </c>
      <c r="P285" s="35" t="s">
        <v>33</v>
      </c>
      <c r="Q285" s="97">
        <v>45453</v>
      </c>
      <c r="R285" s="35" t="s">
        <v>62</v>
      </c>
      <c r="S285" s="38"/>
      <c r="T285" s="78">
        <v>2</v>
      </c>
      <c r="U285" s="78"/>
      <c r="V285" s="78"/>
      <c r="W285" s="78" t="s">
        <v>303</v>
      </c>
      <c r="X285" s="78" t="s">
        <v>839</v>
      </c>
      <c r="Y285" s="78">
        <v>1</v>
      </c>
      <c r="Z285" s="78" t="s">
        <v>48</v>
      </c>
      <c r="AA285" s="78" t="s">
        <v>225</v>
      </c>
      <c r="AB285" s="78">
        <v>80</v>
      </c>
    </row>
    <row r="286" spans="1:28" x14ac:dyDescent="0.25">
      <c r="A286" t="str">
        <f>IF(EXACT('BOM A320 FFS'!B405,obsoleta!D286),"OK","ERROR")</f>
        <v>ERROR</v>
      </c>
      <c r="C286" s="31" t="s">
        <v>314</v>
      </c>
      <c r="D286" s="71">
        <v>1204890012220</v>
      </c>
      <c r="E286" s="71"/>
      <c r="F286" s="32" t="s">
        <v>2133</v>
      </c>
      <c r="G286" s="32" t="s">
        <v>2134</v>
      </c>
      <c r="H286" s="32" t="s">
        <v>785</v>
      </c>
      <c r="I286" s="32" t="s">
        <v>1071</v>
      </c>
      <c r="J286" s="33">
        <v>2000</v>
      </c>
      <c r="K286" s="38">
        <v>0.18</v>
      </c>
      <c r="L286" s="35">
        <v>360</v>
      </c>
      <c r="M286" s="36" t="s">
        <v>32</v>
      </c>
      <c r="N286" s="37">
        <v>1</v>
      </c>
      <c r="O286" s="35">
        <v>360</v>
      </c>
      <c r="P286" s="35" t="s">
        <v>33</v>
      </c>
      <c r="Q286" s="97">
        <v>45453</v>
      </c>
      <c r="R286" s="35" t="s">
        <v>62</v>
      </c>
      <c r="S286" s="38"/>
      <c r="T286" s="78">
        <v>2</v>
      </c>
      <c r="U286" s="78"/>
      <c r="V286" s="78"/>
      <c r="W286" s="78" t="s">
        <v>303</v>
      </c>
      <c r="X286" s="78" t="s">
        <v>839</v>
      </c>
      <c r="Y286" s="78">
        <v>1</v>
      </c>
      <c r="Z286" s="78" t="s">
        <v>48</v>
      </c>
      <c r="AA286" s="78" t="s">
        <v>225</v>
      </c>
      <c r="AB286" s="78">
        <v>2000</v>
      </c>
    </row>
    <row r="287" spans="1:28" x14ac:dyDescent="0.25">
      <c r="A287" t="str">
        <f>IF(EXACT('BOM A320 FFS'!B390,obsoleta!D287),"OK","ERROR")</f>
        <v>ERROR</v>
      </c>
      <c r="C287" s="31" t="s">
        <v>314</v>
      </c>
      <c r="D287" s="71">
        <v>1204890010120</v>
      </c>
      <c r="E287" s="71"/>
      <c r="F287" s="32" t="s">
        <v>2073</v>
      </c>
      <c r="G287" s="32" t="s">
        <v>2074</v>
      </c>
      <c r="H287" s="32" t="s">
        <v>785</v>
      </c>
      <c r="I287" s="32" t="s">
        <v>586</v>
      </c>
      <c r="J287" s="33">
        <v>100</v>
      </c>
      <c r="K287" s="38">
        <v>0.28000000000000003</v>
      </c>
      <c r="L287" s="35">
        <v>28</v>
      </c>
      <c r="M287" s="36" t="s">
        <v>32</v>
      </c>
      <c r="N287" s="37">
        <v>1</v>
      </c>
      <c r="O287" s="35">
        <v>28</v>
      </c>
      <c r="P287" s="35" t="s">
        <v>33</v>
      </c>
      <c r="Q287" s="97">
        <v>45453</v>
      </c>
      <c r="R287" s="35" t="s">
        <v>62</v>
      </c>
      <c r="S287" s="38"/>
      <c r="T287" s="78">
        <v>2</v>
      </c>
      <c r="U287" s="78"/>
      <c r="V287" s="78"/>
      <c r="W287" s="78" t="s">
        <v>303</v>
      </c>
      <c r="X287" s="78" t="s">
        <v>839</v>
      </c>
      <c r="Y287" s="78">
        <v>1</v>
      </c>
      <c r="Z287" s="78" t="s">
        <v>48</v>
      </c>
      <c r="AA287" s="78" t="s">
        <v>225</v>
      </c>
      <c r="AB287" s="78">
        <v>100</v>
      </c>
    </row>
    <row r="288" spans="1:28" x14ac:dyDescent="0.25">
      <c r="A288" t="str">
        <f>IF(EXACT('BOM A320 FFS'!B391,obsoleta!D288),"OK","ERROR")</f>
        <v>ERROR</v>
      </c>
      <c r="C288" s="31" t="s">
        <v>314</v>
      </c>
      <c r="D288" s="71">
        <v>1209990020820</v>
      </c>
      <c r="E288" s="71"/>
      <c r="F288" s="32" t="s">
        <v>2076</v>
      </c>
      <c r="G288" s="32" t="s">
        <v>2077</v>
      </c>
      <c r="H288" s="32" t="s">
        <v>785</v>
      </c>
      <c r="I288" s="32" t="s">
        <v>586</v>
      </c>
      <c r="J288" s="33">
        <v>100</v>
      </c>
      <c r="K288" s="38">
        <v>0.28000000000000003</v>
      </c>
      <c r="L288" s="35">
        <v>28</v>
      </c>
      <c r="M288" s="36" t="s">
        <v>32</v>
      </c>
      <c r="N288" s="37">
        <v>1</v>
      </c>
      <c r="O288" s="35">
        <v>28</v>
      </c>
      <c r="P288" s="35" t="s">
        <v>33</v>
      </c>
      <c r="Q288" s="97">
        <v>45453</v>
      </c>
      <c r="R288" s="35" t="s">
        <v>62</v>
      </c>
      <c r="S288" s="38"/>
      <c r="T288" s="78">
        <v>2</v>
      </c>
      <c r="U288" s="78"/>
      <c r="V288" s="78"/>
      <c r="W288" s="78" t="s">
        <v>303</v>
      </c>
      <c r="X288" s="78" t="s">
        <v>839</v>
      </c>
      <c r="Y288" s="78">
        <v>1</v>
      </c>
      <c r="Z288" s="78" t="s">
        <v>48</v>
      </c>
      <c r="AA288" s="78" t="s">
        <v>225</v>
      </c>
      <c r="AB288" s="78">
        <v>100</v>
      </c>
    </row>
    <row r="289" spans="1:28" x14ac:dyDescent="0.25">
      <c r="A289" t="str">
        <f>IF(EXACT('BOM A320 FFS'!B392,obsoleta!D289),"OK","ERROR")</f>
        <v>ERROR</v>
      </c>
      <c r="C289" s="31" t="s">
        <v>314</v>
      </c>
      <c r="D289" s="71">
        <v>1214890290020</v>
      </c>
      <c r="E289" s="71"/>
      <c r="F289" s="32" t="s">
        <v>2058</v>
      </c>
      <c r="G289" s="32" t="s">
        <v>2059</v>
      </c>
      <c r="H289" s="32" t="s">
        <v>785</v>
      </c>
      <c r="I289" s="32" t="s">
        <v>586</v>
      </c>
      <c r="J289" s="33">
        <v>300</v>
      </c>
      <c r="K289" s="38">
        <v>0.28000000000000003</v>
      </c>
      <c r="L289" s="35">
        <v>84</v>
      </c>
      <c r="M289" s="36" t="s">
        <v>32</v>
      </c>
      <c r="N289" s="37">
        <v>1</v>
      </c>
      <c r="O289" s="35">
        <v>84</v>
      </c>
      <c r="P289" s="35" t="s">
        <v>33</v>
      </c>
      <c r="Q289" s="97">
        <v>45453</v>
      </c>
      <c r="R289" s="35" t="s">
        <v>62</v>
      </c>
      <c r="S289" s="38"/>
      <c r="T289" s="78">
        <v>2</v>
      </c>
      <c r="U289" s="78"/>
      <c r="V289" s="78"/>
      <c r="W289" s="78" t="s">
        <v>303</v>
      </c>
      <c r="X289" s="78" t="s">
        <v>839</v>
      </c>
      <c r="Y289" s="78">
        <v>1</v>
      </c>
      <c r="Z289" s="78" t="s">
        <v>48</v>
      </c>
      <c r="AA289" s="78" t="s">
        <v>225</v>
      </c>
      <c r="AB289" s="78">
        <v>300</v>
      </c>
    </row>
    <row r="290" spans="1:28" x14ac:dyDescent="0.25">
      <c r="A290" t="str">
        <f>IF(EXACT('BOM A320 FFS'!B393,obsoleta!D290),"OK","ERROR")</f>
        <v>ERROR</v>
      </c>
      <c r="C290" s="31" t="s">
        <v>314</v>
      </c>
      <c r="D290" s="71">
        <v>1209990020620</v>
      </c>
      <c r="E290" s="71"/>
      <c r="F290" s="32" t="s">
        <v>2061</v>
      </c>
      <c r="G290" s="32" t="s">
        <v>2062</v>
      </c>
      <c r="H290" s="32" t="s">
        <v>785</v>
      </c>
      <c r="I290" s="32" t="s">
        <v>586</v>
      </c>
      <c r="J290" s="33">
        <v>300</v>
      </c>
      <c r="K290" s="38">
        <v>0.28000000000000003</v>
      </c>
      <c r="L290" s="35">
        <v>84</v>
      </c>
      <c r="M290" s="36" t="s">
        <v>32</v>
      </c>
      <c r="N290" s="37">
        <v>1</v>
      </c>
      <c r="O290" s="35">
        <v>84</v>
      </c>
      <c r="P290" s="35" t="s">
        <v>33</v>
      </c>
      <c r="Q290" s="97">
        <v>45453</v>
      </c>
      <c r="R290" s="35" t="s">
        <v>62</v>
      </c>
      <c r="S290" s="38"/>
      <c r="T290" s="78">
        <v>2</v>
      </c>
      <c r="U290" s="78"/>
      <c r="V290" s="78"/>
      <c r="W290" s="78" t="s">
        <v>303</v>
      </c>
      <c r="X290" s="78" t="s">
        <v>839</v>
      </c>
      <c r="Y290" s="78">
        <v>1</v>
      </c>
      <c r="Z290" s="78" t="s">
        <v>48</v>
      </c>
      <c r="AA290" s="78" t="s">
        <v>225</v>
      </c>
      <c r="AB290" s="78">
        <v>300</v>
      </c>
    </row>
    <row r="291" spans="1:28" x14ac:dyDescent="0.25">
      <c r="A291" t="str">
        <f>IF(EXACT('BOM A320 FFS'!B395,obsoleta!D291),"OK","ERROR")</f>
        <v>ERROR</v>
      </c>
      <c r="C291" s="73"/>
      <c r="D291" s="73" t="s">
        <v>3651</v>
      </c>
      <c r="E291" s="73"/>
      <c r="F291" s="32"/>
      <c r="G291" s="32"/>
      <c r="H291" s="32"/>
      <c r="I291" s="32"/>
      <c r="J291" s="33"/>
      <c r="K291" s="38"/>
      <c r="L291" s="35"/>
      <c r="M291" s="36"/>
      <c r="N291" s="37"/>
      <c r="O291" s="35"/>
      <c r="P291" s="35"/>
      <c r="Q291" s="97"/>
      <c r="R291" s="35"/>
      <c r="S291" s="38"/>
      <c r="T291" s="78"/>
      <c r="U291" s="78"/>
      <c r="V291" s="78"/>
      <c r="W291" s="78"/>
      <c r="X291" s="78"/>
      <c r="Y291" s="78"/>
      <c r="Z291" s="78"/>
      <c r="AA291" s="78" t="s">
        <v>225</v>
      </c>
      <c r="AB291" s="78"/>
    </row>
    <row r="292" spans="1:28" x14ac:dyDescent="0.25">
      <c r="A292" t="str">
        <f>IF(EXACT('BOM A320 FFS'!B396,obsoleta!D292),"OK","ERROR")</f>
        <v>ERROR</v>
      </c>
      <c r="C292" s="31"/>
      <c r="D292" s="71">
        <v>1204890370020</v>
      </c>
      <c r="E292" s="71"/>
      <c r="F292" s="32" t="s">
        <v>1984</v>
      </c>
      <c r="G292" s="32" t="s">
        <v>1985</v>
      </c>
      <c r="H292" s="32" t="s">
        <v>1730</v>
      </c>
      <c r="I292" s="32" t="s">
        <v>1071</v>
      </c>
      <c r="J292" s="33">
        <v>60</v>
      </c>
      <c r="K292" s="38">
        <v>0.44</v>
      </c>
      <c r="L292" s="35">
        <v>26.4</v>
      </c>
      <c r="M292" s="36" t="s">
        <v>32</v>
      </c>
      <c r="N292" s="37">
        <v>1</v>
      </c>
      <c r="O292" s="35">
        <v>26.4</v>
      </c>
      <c r="P292" s="35" t="s">
        <v>33</v>
      </c>
      <c r="Q292" s="97">
        <v>45453</v>
      </c>
      <c r="R292" s="35" t="s">
        <v>62</v>
      </c>
      <c r="S292" s="38"/>
      <c r="T292" s="78">
        <v>2</v>
      </c>
      <c r="U292" s="78"/>
      <c r="V292" s="78"/>
      <c r="W292" s="78" t="s">
        <v>303</v>
      </c>
      <c r="X292" s="78" t="s">
        <v>839</v>
      </c>
      <c r="Y292" s="78">
        <v>1</v>
      </c>
      <c r="Z292" s="78" t="s">
        <v>48</v>
      </c>
      <c r="AA292" s="78" t="s">
        <v>225</v>
      </c>
      <c r="AB292" s="78">
        <v>60</v>
      </c>
    </row>
    <row r="293" spans="1:28" x14ac:dyDescent="0.25">
      <c r="A293" t="str">
        <f>IF(EXACT('BOM A320 FFS'!B397,obsoleta!D293),"OK","ERROR")</f>
        <v>ERROR</v>
      </c>
      <c r="C293" s="31" t="s">
        <v>314</v>
      </c>
      <c r="D293" s="71">
        <v>1204290020020</v>
      </c>
      <c r="E293" s="71"/>
      <c r="F293" s="32" t="s">
        <v>2104</v>
      </c>
      <c r="G293" s="32" t="s">
        <v>2105</v>
      </c>
      <c r="H293" s="32" t="s">
        <v>785</v>
      </c>
      <c r="I293" s="32" t="s">
        <v>586</v>
      </c>
      <c r="J293" s="33">
        <v>2000</v>
      </c>
      <c r="K293" s="34">
        <v>0.2</v>
      </c>
      <c r="L293" s="35">
        <v>400</v>
      </c>
      <c r="M293" s="36" t="s">
        <v>32</v>
      </c>
      <c r="N293" s="37">
        <v>1</v>
      </c>
      <c r="O293" s="35">
        <v>400</v>
      </c>
      <c r="P293" s="35" t="s">
        <v>33</v>
      </c>
      <c r="Q293" s="97">
        <v>45453</v>
      </c>
      <c r="R293" s="35" t="s">
        <v>62</v>
      </c>
      <c r="S293" s="38"/>
      <c r="T293" s="78">
        <v>2</v>
      </c>
      <c r="U293" s="78"/>
      <c r="V293" s="78"/>
      <c r="W293" s="78" t="s">
        <v>303</v>
      </c>
      <c r="X293" s="78" t="s">
        <v>839</v>
      </c>
      <c r="Y293" s="78">
        <v>1</v>
      </c>
      <c r="Z293" s="78" t="s">
        <v>48</v>
      </c>
      <c r="AA293" s="78" t="s">
        <v>225</v>
      </c>
      <c r="AB293" s="78">
        <v>2000</v>
      </c>
    </row>
    <row r="294" spans="1:28" x14ac:dyDescent="0.25">
      <c r="A294" t="str">
        <f>IF(EXACT('BOM A320 FFS'!B399,obsoleta!D294),"OK","ERROR")</f>
        <v>ERROR</v>
      </c>
      <c r="C294" s="31" t="s">
        <v>314</v>
      </c>
      <c r="D294" s="71" t="s">
        <v>2278</v>
      </c>
      <c r="E294" s="71"/>
      <c r="F294" s="32" t="s">
        <v>2279</v>
      </c>
      <c r="G294" s="32" t="s">
        <v>1194</v>
      </c>
      <c r="H294" s="32" t="s">
        <v>1730</v>
      </c>
      <c r="I294" s="32" t="s">
        <v>586</v>
      </c>
      <c r="J294" s="33">
        <v>400</v>
      </c>
      <c r="K294" s="34">
        <v>0.02</v>
      </c>
      <c r="L294" s="35">
        <v>8</v>
      </c>
      <c r="M294" s="36" t="s">
        <v>32</v>
      </c>
      <c r="N294" s="37">
        <v>1</v>
      </c>
      <c r="O294" s="35">
        <v>8</v>
      </c>
      <c r="P294" s="35" t="s">
        <v>33</v>
      </c>
      <c r="Q294" s="97">
        <v>45453</v>
      </c>
      <c r="R294" s="35" t="s">
        <v>62</v>
      </c>
      <c r="S294" s="38"/>
      <c r="T294" s="78">
        <v>2</v>
      </c>
      <c r="U294" s="78"/>
      <c r="V294" s="78"/>
      <c r="W294" s="78" t="s">
        <v>303</v>
      </c>
      <c r="X294" s="78" t="s">
        <v>839</v>
      </c>
      <c r="Y294" s="78">
        <v>1</v>
      </c>
      <c r="Z294" s="78" t="s">
        <v>48</v>
      </c>
      <c r="AA294" s="78" t="s">
        <v>225</v>
      </c>
      <c r="AB294" s="78">
        <v>400</v>
      </c>
    </row>
    <row r="295" spans="1:28" x14ac:dyDescent="0.25">
      <c r="A295" t="str">
        <f>IF(EXACT('BOM A320 FFS'!B400,obsoleta!D295),"OK","ERROR")</f>
        <v>ERROR</v>
      </c>
      <c r="C295" s="31" t="s">
        <v>314</v>
      </c>
      <c r="D295" s="71" t="s">
        <v>2274</v>
      </c>
      <c r="E295" s="71"/>
      <c r="F295" s="32" t="s">
        <v>2276</v>
      </c>
      <c r="G295" s="32" t="s">
        <v>2277</v>
      </c>
      <c r="H295" s="32" t="s">
        <v>1730</v>
      </c>
      <c r="I295" s="32" t="s">
        <v>586</v>
      </c>
      <c r="J295" s="33">
        <v>400</v>
      </c>
      <c r="K295" s="34">
        <v>0.02</v>
      </c>
      <c r="L295" s="35">
        <v>8</v>
      </c>
      <c r="M295" s="36" t="s">
        <v>32</v>
      </c>
      <c r="N295" s="37">
        <v>1</v>
      </c>
      <c r="O295" s="35">
        <v>8</v>
      </c>
      <c r="P295" s="35" t="s">
        <v>33</v>
      </c>
      <c r="Q295" s="97">
        <v>45453</v>
      </c>
      <c r="R295" s="35" t="s">
        <v>62</v>
      </c>
      <c r="S295" s="38"/>
      <c r="T295" s="78">
        <v>2</v>
      </c>
      <c r="U295" s="78"/>
      <c r="V295" s="78"/>
      <c r="W295" s="78" t="s">
        <v>303</v>
      </c>
      <c r="X295" s="78" t="s">
        <v>839</v>
      </c>
      <c r="Y295" s="78">
        <v>1</v>
      </c>
      <c r="Z295" s="78" t="s">
        <v>48</v>
      </c>
      <c r="AA295" s="78" t="s">
        <v>225</v>
      </c>
      <c r="AB295" s="78">
        <v>400</v>
      </c>
    </row>
    <row r="296" spans="1:28" x14ac:dyDescent="0.25">
      <c r="A296" t="str">
        <f>IF(EXACT('BOM A320 FFS'!B401,obsoleta!D296),"OK","ERROR")</f>
        <v>ERROR</v>
      </c>
      <c r="C296" s="31" t="s">
        <v>314</v>
      </c>
      <c r="D296" s="71">
        <v>1212090200020</v>
      </c>
      <c r="E296" s="71"/>
      <c r="F296" s="32" t="s">
        <v>1532</v>
      </c>
      <c r="G296" s="32" t="s">
        <v>1533</v>
      </c>
      <c r="H296" s="32" t="s">
        <v>785</v>
      </c>
      <c r="I296" s="32" t="s">
        <v>1071</v>
      </c>
      <c r="J296" s="33">
        <v>10</v>
      </c>
      <c r="K296" s="34">
        <v>3.38</v>
      </c>
      <c r="L296" s="35">
        <v>33.81</v>
      </c>
      <c r="M296" s="36" t="s">
        <v>32</v>
      </c>
      <c r="N296" s="37">
        <v>1</v>
      </c>
      <c r="O296" s="35">
        <v>33.81</v>
      </c>
      <c r="P296" s="35" t="s">
        <v>33</v>
      </c>
      <c r="Q296" s="97">
        <v>45453</v>
      </c>
      <c r="R296" s="35" t="s">
        <v>62</v>
      </c>
      <c r="S296" s="38"/>
      <c r="T296" s="78">
        <v>2</v>
      </c>
      <c r="U296" s="78"/>
      <c r="V296" s="78"/>
      <c r="W296" s="78" t="s">
        <v>303</v>
      </c>
      <c r="X296" s="78" t="s">
        <v>839</v>
      </c>
      <c r="Y296" s="78">
        <v>1</v>
      </c>
      <c r="Z296" s="78" t="s">
        <v>48</v>
      </c>
      <c r="AA296" s="78" t="s">
        <v>225</v>
      </c>
      <c r="AB296" s="78">
        <v>100</v>
      </c>
    </row>
    <row r="297" spans="1:28" x14ac:dyDescent="0.25">
      <c r="A297" t="str">
        <f>IF(EXACT('BOM A320 FFS'!B403,obsoleta!D297),"OK","ERROR")</f>
        <v>ERROR</v>
      </c>
      <c r="C297" s="122" t="s">
        <v>314</v>
      </c>
      <c r="D297" s="125">
        <v>1219990020620</v>
      </c>
      <c r="E297" s="125" t="s">
        <v>3758</v>
      </c>
      <c r="F297" s="115" t="s">
        <v>3759</v>
      </c>
      <c r="G297" s="115" t="s">
        <v>1820</v>
      </c>
      <c r="H297" s="115" t="s">
        <v>785</v>
      </c>
      <c r="I297" s="115"/>
      <c r="J297" s="128"/>
      <c r="K297" s="34"/>
      <c r="L297" s="35">
        <v>0</v>
      </c>
      <c r="M297" s="36" t="s">
        <v>32</v>
      </c>
      <c r="N297" s="37">
        <v>1</v>
      </c>
      <c r="O297" s="35">
        <v>0</v>
      </c>
      <c r="P297" s="35" t="s">
        <v>33</v>
      </c>
      <c r="Q297" s="97">
        <v>45478</v>
      </c>
      <c r="R297" s="35" t="s">
        <v>62</v>
      </c>
      <c r="S297" s="38"/>
      <c r="T297" s="78">
        <v>3</v>
      </c>
      <c r="U297" s="78"/>
      <c r="V297" s="78"/>
      <c r="W297" s="78" t="s">
        <v>303</v>
      </c>
      <c r="X297" s="78" t="s">
        <v>839</v>
      </c>
      <c r="Y297" s="78">
        <v>3</v>
      </c>
      <c r="Z297" s="78" t="s">
        <v>48</v>
      </c>
      <c r="AA297" s="78" t="s">
        <v>225</v>
      </c>
      <c r="AB297" s="78">
        <v>50</v>
      </c>
    </row>
    <row r="298" spans="1:28" x14ac:dyDescent="0.25">
      <c r="A298" t="str">
        <f>IF(EXACT('BOM A320 FFS'!B404,obsoleta!D298),"OK","ERROR")</f>
        <v>ERROR</v>
      </c>
      <c r="C298" s="31"/>
      <c r="D298" s="73" t="s">
        <v>3652</v>
      </c>
      <c r="E298" s="73"/>
      <c r="F298" s="32"/>
      <c r="G298" s="32"/>
      <c r="H298" s="32"/>
      <c r="I298" s="32"/>
      <c r="J298" s="33"/>
      <c r="K298" s="34"/>
      <c r="L298" s="35"/>
      <c r="M298" s="36"/>
      <c r="N298" s="37"/>
      <c r="O298" s="35"/>
      <c r="P298" s="35"/>
      <c r="Q298" s="97"/>
      <c r="R298" s="35"/>
      <c r="S298" s="38"/>
      <c r="T298" s="78"/>
      <c r="U298" s="78"/>
      <c r="V298" s="78"/>
      <c r="W298" s="78"/>
      <c r="X298" s="78"/>
      <c r="Y298" s="78"/>
      <c r="Z298" s="78"/>
      <c r="AA298" s="78" t="s">
        <v>225</v>
      </c>
      <c r="AB298" s="78"/>
    </row>
    <row r="299" spans="1:28" x14ac:dyDescent="0.25">
      <c r="A299" t="str">
        <f>IF(EXACT('BOM A320 FFS'!B406,obsoleta!D299),"OK","ERROR")</f>
        <v>ERROR</v>
      </c>
      <c r="C299" s="31" t="s">
        <v>314</v>
      </c>
      <c r="D299" s="71">
        <v>1853200020100</v>
      </c>
      <c r="E299" s="71"/>
      <c r="F299" s="32" t="s">
        <v>1586</v>
      </c>
      <c r="G299" s="32" t="s">
        <v>1587</v>
      </c>
      <c r="H299" s="32" t="s">
        <v>785</v>
      </c>
      <c r="I299" s="32" t="s">
        <v>1071</v>
      </c>
      <c r="J299" s="33">
        <v>10</v>
      </c>
      <c r="K299" s="34">
        <v>2.74</v>
      </c>
      <c r="L299" s="35">
        <v>27.38</v>
      </c>
      <c r="M299" s="36" t="s">
        <v>32</v>
      </c>
      <c r="N299" s="37">
        <v>1</v>
      </c>
      <c r="O299" s="35">
        <v>27.38</v>
      </c>
      <c r="P299" s="35" t="s">
        <v>33</v>
      </c>
      <c r="Q299" s="97">
        <v>45453</v>
      </c>
      <c r="R299" s="35" t="s">
        <v>62</v>
      </c>
      <c r="S299" s="38"/>
      <c r="T299" s="78">
        <v>2</v>
      </c>
      <c r="U299" s="78"/>
      <c r="V299" s="78"/>
      <c r="W299" s="78" t="s">
        <v>303</v>
      </c>
      <c r="X299" s="78" t="s">
        <v>839</v>
      </c>
      <c r="Y299" s="78">
        <v>1</v>
      </c>
      <c r="Z299" s="78" t="s">
        <v>48</v>
      </c>
      <c r="AA299" s="78" t="s">
        <v>225</v>
      </c>
      <c r="AB299" s="78">
        <v>30</v>
      </c>
    </row>
    <row r="300" spans="1:28" x14ac:dyDescent="0.25">
      <c r="A300" t="str">
        <f>IF(EXACT('BOM A320 FFS'!B407,obsoleta!D300),"OK","ERROR")</f>
        <v>ERROR</v>
      </c>
      <c r="C300" s="31" t="s">
        <v>314</v>
      </c>
      <c r="D300" s="71">
        <v>7853200161200</v>
      </c>
      <c r="E300" s="71"/>
      <c r="F300" s="32" t="s">
        <v>1810</v>
      </c>
      <c r="G300" s="32" t="s">
        <v>1811</v>
      </c>
      <c r="H300" s="32" t="s">
        <v>785</v>
      </c>
      <c r="I300" s="32" t="s">
        <v>1071</v>
      </c>
      <c r="J300" s="33">
        <v>10</v>
      </c>
      <c r="K300" s="34">
        <v>0.99</v>
      </c>
      <c r="L300" s="35">
        <v>9.92</v>
      </c>
      <c r="M300" s="36" t="s">
        <v>32</v>
      </c>
      <c r="N300" s="37">
        <v>1</v>
      </c>
      <c r="O300" s="35">
        <v>9.92</v>
      </c>
      <c r="P300" s="35" t="s">
        <v>33</v>
      </c>
      <c r="Q300" s="97">
        <v>45453</v>
      </c>
      <c r="R300" s="35" t="s">
        <v>62</v>
      </c>
      <c r="S300" s="38"/>
      <c r="T300" s="78">
        <v>2</v>
      </c>
      <c r="U300" s="78"/>
      <c r="V300" s="78"/>
      <c r="W300" s="78" t="s">
        <v>303</v>
      </c>
      <c r="X300" s="78" t="s">
        <v>839</v>
      </c>
      <c r="Y300" s="78">
        <v>1</v>
      </c>
      <c r="Z300" s="78" t="s">
        <v>48</v>
      </c>
      <c r="AA300" s="78" t="s">
        <v>225</v>
      </c>
      <c r="AB300" s="78">
        <v>30</v>
      </c>
    </row>
    <row r="301" spans="1:28" x14ac:dyDescent="0.25">
      <c r="A301" t="str">
        <f>IF(EXACT('BOM A320 FFS'!B409,obsoleta!D301),"OK","ERROR")</f>
        <v>ERROR</v>
      </c>
      <c r="C301" s="31" t="s">
        <v>314</v>
      </c>
      <c r="D301" s="71">
        <v>1853200020000</v>
      </c>
      <c r="E301" s="71">
        <v>7853201250000</v>
      </c>
      <c r="F301" s="32" t="s">
        <v>1529</v>
      </c>
      <c r="G301" s="32" t="s">
        <v>1530</v>
      </c>
      <c r="H301" s="32" t="s">
        <v>785</v>
      </c>
      <c r="I301" s="32" t="s">
        <v>1071</v>
      </c>
      <c r="J301" s="33">
        <v>10</v>
      </c>
      <c r="K301" s="34">
        <v>3.38</v>
      </c>
      <c r="L301" s="35">
        <v>33.81</v>
      </c>
      <c r="M301" s="36" t="s">
        <v>32</v>
      </c>
      <c r="N301" s="37">
        <v>1</v>
      </c>
      <c r="O301" s="35">
        <v>33.81</v>
      </c>
      <c r="P301" s="35" t="s">
        <v>33</v>
      </c>
      <c r="Q301" s="97">
        <v>45453</v>
      </c>
      <c r="R301" s="35" t="s">
        <v>62</v>
      </c>
      <c r="S301" s="38"/>
      <c r="T301" s="78">
        <v>2</v>
      </c>
      <c r="U301" s="78"/>
      <c r="V301" s="78"/>
      <c r="W301" s="78" t="s">
        <v>303</v>
      </c>
      <c r="X301" s="78" t="s">
        <v>839</v>
      </c>
      <c r="Y301" s="78">
        <v>1</v>
      </c>
      <c r="Z301" s="78" t="s">
        <v>48</v>
      </c>
      <c r="AA301" s="78" t="s">
        <v>225</v>
      </c>
      <c r="AB301" s="78">
        <v>30</v>
      </c>
    </row>
    <row r="302" spans="1:28" x14ac:dyDescent="0.25">
      <c r="A302" t="str">
        <f>IF(EXACT('BOM A320 FFS'!B410,obsoleta!D302),"OK","ERROR")</f>
        <v>ERROR</v>
      </c>
      <c r="C302" s="39"/>
      <c r="D302" s="39"/>
      <c r="E302" s="39"/>
      <c r="F302" s="28"/>
      <c r="G302" s="28"/>
      <c r="H302" s="28"/>
      <c r="I302" s="28"/>
      <c r="J302" s="40"/>
      <c r="K302" s="41"/>
      <c r="L302" s="41"/>
      <c r="M302" s="26"/>
      <c r="N302" s="26"/>
      <c r="O302" s="41"/>
      <c r="P302" s="41"/>
      <c r="Q302" s="98"/>
      <c r="R302" s="41"/>
      <c r="S302" s="30"/>
      <c r="T302" s="82"/>
      <c r="U302" s="82"/>
      <c r="V302" s="82"/>
      <c r="W302" s="82"/>
      <c r="X302" s="82"/>
      <c r="Y302" s="82"/>
      <c r="Z302" s="82"/>
      <c r="AA302" s="82" t="s">
        <v>225</v>
      </c>
      <c r="AB302" s="82"/>
    </row>
    <row r="303" spans="1:28" x14ac:dyDescent="0.25">
      <c r="A303" t="str">
        <f>IF(EXACT('BOM A320 FFS'!B411,obsoleta!D303),"OK","ERROR")</f>
        <v>ERROR</v>
      </c>
      <c r="C303" s="48"/>
      <c r="D303" s="48" t="s">
        <v>3653</v>
      </c>
      <c r="E303" s="48"/>
      <c r="F303" s="28"/>
      <c r="G303" s="28"/>
      <c r="H303" s="28"/>
      <c r="I303" s="28"/>
      <c r="J303" s="40"/>
      <c r="K303" s="41"/>
      <c r="L303" s="41"/>
      <c r="M303" s="26"/>
      <c r="N303" s="26"/>
      <c r="O303" s="41"/>
      <c r="P303" s="41"/>
      <c r="Q303" s="98"/>
      <c r="R303" s="41"/>
      <c r="S303" s="30"/>
      <c r="T303" s="82"/>
      <c r="U303" s="82"/>
      <c r="V303" s="82"/>
      <c r="W303" s="82"/>
      <c r="X303" s="82"/>
      <c r="Y303" s="82"/>
      <c r="Z303" s="82"/>
      <c r="AA303" s="82" t="s">
        <v>225</v>
      </c>
      <c r="AB303" s="82"/>
    </row>
    <row r="304" spans="1:28" x14ac:dyDescent="0.25">
      <c r="A304" t="str">
        <f>IF(EXACT('BOM A320 FFS'!B412,obsoleta!D304),"OK","ERROR")</f>
        <v>ERROR</v>
      </c>
      <c r="C304" s="31" t="s">
        <v>314</v>
      </c>
      <c r="D304" s="71">
        <v>1210790220200</v>
      </c>
      <c r="E304" s="71"/>
      <c r="F304" s="32" t="s">
        <v>583</v>
      </c>
      <c r="G304" s="32" t="s">
        <v>584</v>
      </c>
      <c r="H304" s="32" t="s">
        <v>585</v>
      </c>
      <c r="I304" s="32" t="s">
        <v>586</v>
      </c>
      <c r="J304" s="33">
        <v>1</v>
      </c>
      <c r="K304" s="34">
        <v>140</v>
      </c>
      <c r="L304" s="35">
        <v>140</v>
      </c>
      <c r="M304" s="36" t="s">
        <v>32</v>
      </c>
      <c r="N304" s="37">
        <v>1</v>
      </c>
      <c r="O304" s="35">
        <v>140</v>
      </c>
      <c r="P304" s="35" t="s">
        <v>33</v>
      </c>
      <c r="Q304" s="97">
        <v>45453</v>
      </c>
      <c r="R304" s="35" t="s">
        <v>62</v>
      </c>
      <c r="S304" s="38"/>
      <c r="T304" s="78">
        <v>2</v>
      </c>
      <c r="U304" s="78"/>
      <c r="V304" s="78"/>
      <c r="W304" s="78" t="s">
        <v>303</v>
      </c>
      <c r="X304" s="78" t="s">
        <v>839</v>
      </c>
      <c r="Y304" s="78">
        <v>1</v>
      </c>
      <c r="Z304" s="78" t="s">
        <v>48</v>
      </c>
      <c r="AA304" s="78" t="s">
        <v>225</v>
      </c>
      <c r="AB304" s="78">
        <v>1</v>
      </c>
    </row>
    <row r="305" spans="1:28" x14ac:dyDescent="0.25">
      <c r="A305" t="str">
        <f>IF(EXACT('BOM A320 FFS'!B415,obsoleta!D305),"OK","ERROR")</f>
        <v>ERROR</v>
      </c>
      <c r="C305" s="31" t="s">
        <v>314</v>
      </c>
      <c r="D305" s="71">
        <v>1214300631720</v>
      </c>
      <c r="E305" s="71"/>
      <c r="F305" s="32" t="s">
        <v>783</v>
      </c>
      <c r="G305" s="32" t="s">
        <v>927</v>
      </c>
      <c r="H305" s="32" t="s">
        <v>785</v>
      </c>
      <c r="I305" s="32" t="s">
        <v>586</v>
      </c>
      <c r="J305" s="33">
        <v>1</v>
      </c>
      <c r="K305" s="34">
        <v>45</v>
      </c>
      <c r="L305" s="35">
        <v>45</v>
      </c>
      <c r="M305" s="36" t="s">
        <v>32</v>
      </c>
      <c r="N305" s="37">
        <v>1</v>
      </c>
      <c r="O305" s="35">
        <v>45</v>
      </c>
      <c r="P305" s="35" t="s">
        <v>33</v>
      </c>
      <c r="Q305" s="97">
        <v>45453</v>
      </c>
      <c r="R305" s="35" t="s">
        <v>62</v>
      </c>
      <c r="S305" s="38"/>
      <c r="T305" s="78">
        <v>2</v>
      </c>
      <c r="U305" s="78"/>
      <c r="V305" s="78"/>
      <c r="W305" s="78" t="s">
        <v>303</v>
      </c>
      <c r="X305" s="78" t="s">
        <v>839</v>
      </c>
      <c r="Y305" s="78">
        <v>1</v>
      </c>
      <c r="Z305" s="78" t="s">
        <v>48</v>
      </c>
      <c r="AA305" s="78" t="s">
        <v>225</v>
      </c>
      <c r="AB305" s="78">
        <v>1</v>
      </c>
    </row>
    <row r="306" spans="1:28" x14ac:dyDescent="0.25">
      <c r="A306" t="str">
        <f>IF(EXACT('BOM A320 FFS'!B416,obsoleta!D306),"OK","ERROR")</f>
        <v>ERROR</v>
      </c>
      <c r="C306" s="31" t="s">
        <v>314</v>
      </c>
      <c r="D306" s="71">
        <v>1204200630320</v>
      </c>
      <c r="E306" s="71"/>
      <c r="F306" s="32" t="s">
        <v>783</v>
      </c>
      <c r="G306" s="32" t="s">
        <v>929</v>
      </c>
      <c r="H306" s="32" t="s">
        <v>785</v>
      </c>
      <c r="I306" s="32" t="s">
        <v>586</v>
      </c>
      <c r="J306" s="33">
        <v>1</v>
      </c>
      <c r="K306" s="34">
        <v>45</v>
      </c>
      <c r="L306" s="35">
        <v>45</v>
      </c>
      <c r="M306" s="36" t="s">
        <v>32</v>
      </c>
      <c r="N306" s="37">
        <v>1</v>
      </c>
      <c r="O306" s="35">
        <v>45</v>
      </c>
      <c r="P306" s="35" t="s">
        <v>33</v>
      </c>
      <c r="Q306" s="97">
        <v>45453</v>
      </c>
      <c r="R306" s="35" t="s">
        <v>62</v>
      </c>
      <c r="S306" s="38"/>
      <c r="T306" s="78">
        <v>2</v>
      </c>
      <c r="U306" s="78"/>
      <c r="V306" s="78"/>
      <c r="W306" s="78" t="s">
        <v>303</v>
      </c>
      <c r="X306" s="78" t="s">
        <v>839</v>
      </c>
      <c r="Y306" s="78">
        <v>1</v>
      </c>
      <c r="Z306" s="78" t="s">
        <v>48</v>
      </c>
      <c r="AA306" s="78" t="s">
        <v>225</v>
      </c>
      <c r="AB306" s="78">
        <v>1</v>
      </c>
    </row>
    <row r="307" spans="1:28" x14ac:dyDescent="0.25">
      <c r="A307" t="str">
        <f>IF(EXACT('BOM A320 FFS'!B417,obsoleta!D307),"OK","ERROR")</f>
        <v>ERROR</v>
      </c>
      <c r="C307" s="31" t="s">
        <v>314</v>
      </c>
      <c r="D307" s="71">
        <v>1204301331920</v>
      </c>
      <c r="E307" s="71"/>
      <c r="F307" s="32" t="s">
        <v>783</v>
      </c>
      <c r="G307" s="32" t="s">
        <v>872</v>
      </c>
      <c r="H307" s="32" t="s">
        <v>785</v>
      </c>
      <c r="I307" s="32" t="s">
        <v>586</v>
      </c>
      <c r="J307" s="33">
        <v>2</v>
      </c>
      <c r="K307" s="34">
        <v>45</v>
      </c>
      <c r="L307" s="35">
        <v>90</v>
      </c>
      <c r="M307" s="36" t="s">
        <v>32</v>
      </c>
      <c r="N307" s="37">
        <v>1</v>
      </c>
      <c r="O307" s="35">
        <v>90</v>
      </c>
      <c r="P307" s="35" t="s">
        <v>33</v>
      </c>
      <c r="Q307" s="97">
        <v>45453</v>
      </c>
      <c r="R307" s="35" t="s">
        <v>62</v>
      </c>
      <c r="S307" s="38"/>
      <c r="T307" s="78">
        <v>2</v>
      </c>
      <c r="U307" s="78"/>
      <c r="V307" s="78"/>
      <c r="W307" s="78" t="s">
        <v>303</v>
      </c>
      <c r="X307" s="78" t="s">
        <v>839</v>
      </c>
      <c r="Y307" s="78">
        <v>1</v>
      </c>
      <c r="Z307" s="78" t="s">
        <v>48</v>
      </c>
      <c r="AA307" s="78" t="s">
        <v>225</v>
      </c>
      <c r="AB307" s="78">
        <v>2</v>
      </c>
    </row>
    <row r="308" spans="1:28" x14ac:dyDescent="0.25">
      <c r="A308" t="str">
        <f>IF(EXACT('BOM A320 FFS'!B418,obsoleta!D308),"OK","ERROR")</f>
        <v>ERROR</v>
      </c>
      <c r="C308" s="31" t="s">
        <v>314</v>
      </c>
      <c r="D308" s="71">
        <v>1214201330020</v>
      </c>
      <c r="E308" s="71"/>
      <c r="F308" s="32" t="s">
        <v>783</v>
      </c>
      <c r="G308" s="32" t="s">
        <v>931</v>
      </c>
      <c r="H308" s="32" t="s">
        <v>785</v>
      </c>
      <c r="I308" s="32" t="s">
        <v>586</v>
      </c>
      <c r="J308" s="33">
        <v>1</v>
      </c>
      <c r="K308" s="34">
        <v>45</v>
      </c>
      <c r="L308" s="35">
        <v>45</v>
      </c>
      <c r="M308" s="36" t="s">
        <v>32</v>
      </c>
      <c r="N308" s="37">
        <v>1</v>
      </c>
      <c r="O308" s="35">
        <v>45</v>
      </c>
      <c r="P308" s="35" t="s">
        <v>33</v>
      </c>
      <c r="Q308" s="97">
        <v>45453</v>
      </c>
      <c r="R308" s="35" t="s">
        <v>62</v>
      </c>
      <c r="S308" s="38"/>
      <c r="T308" s="78">
        <v>2</v>
      </c>
      <c r="U308" s="78"/>
      <c r="V308" s="78"/>
      <c r="W308" s="78" t="s">
        <v>303</v>
      </c>
      <c r="X308" s="78" t="s">
        <v>839</v>
      </c>
      <c r="Y308" s="78">
        <v>1</v>
      </c>
      <c r="Z308" s="78" t="s">
        <v>48</v>
      </c>
      <c r="AA308" s="78" t="s">
        <v>225</v>
      </c>
      <c r="AB308" s="78">
        <v>2</v>
      </c>
    </row>
    <row r="309" spans="1:28" x14ac:dyDescent="0.25">
      <c r="A309" t="str">
        <f>IF(EXACT('BOM A320 FFS'!B419,obsoleta!D309),"OK","ERROR")</f>
        <v>ERROR</v>
      </c>
      <c r="C309" s="31" t="s">
        <v>314</v>
      </c>
      <c r="D309" s="71">
        <v>1214301330920</v>
      </c>
      <c r="E309" s="71"/>
      <c r="F309" s="32" t="s">
        <v>783</v>
      </c>
      <c r="G309" s="32" t="s">
        <v>874</v>
      </c>
      <c r="H309" s="32" t="s">
        <v>785</v>
      </c>
      <c r="I309" s="32" t="s">
        <v>586</v>
      </c>
      <c r="J309" s="33">
        <v>2</v>
      </c>
      <c r="K309" s="34">
        <v>45</v>
      </c>
      <c r="L309" s="35">
        <v>90</v>
      </c>
      <c r="M309" s="36" t="s">
        <v>32</v>
      </c>
      <c r="N309" s="37">
        <v>1</v>
      </c>
      <c r="O309" s="35">
        <v>90</v>
      </c>
      <c r="P309" s="35" t="s">
        <v>33</v>
      </c>
      <c r="Q309" s="97">
        <v>45453</v>
      </c>
      <c r="R309" s="35" t="s">
        <v>62</v>
      </c>
      <c r="S309" s="38"/>
      <c r="T309" s="78">
        <v>2</v>
      </c>
      <c r="U309" s="78"/>
      <c r="V309" s="78"/>
      <c r="W309" s="78" t="s">
        <v>303</v>
      </c>
      <c r="X309" s="78" t="s">
        <v>839</v>
      </c>
      <c r="Y309" s="78">
        <v>1</v>
      </c>
      <c r="Z309" s="78" t="s">
        <v>48</v>
      </c>
      <c r="AA309" s="78" t="s">
        <v>225</v>
      </c>
      <c r="AB309" s="78">
        <v>2</v>
      </c>
    </row>
    <row r="310" spans="1:28" x14ac:dyDescent="0.25">
      <c r="A310" t="str">
        <f>IF(EXACT('BOM A320 FFS'!B420,obsoleta!D310),"OK","ERROR")</f>
        <v>ERROR</v>
      </c>
      <c r="C310" s="31" t="s">
        <v>314</v>
      </c>
      <c r="D310" s="71">
        <v>1204201330722</v>
      </c>
      <c r="E310" s="71"/>
      <c r="F310" s="32" t="s">
        <v>783</v>
      </c>
      <c r="G310" s="32" t="s">
        <v>876</v>
      </c>
      <c r="H310" s="32" t="s">
        <v>785</v>
      </c>
      <c r="I310" s="32" t="s">
        <v>586</v>
      </c>
      <c r="J310" s="33">
        <v>2</v>
      </c>
      <c r="K310" s="34">
        <v>45</v>
      </c>
      <c r="L310" s="35">
        <v>90</v>
      </c>
      <c r="M310" s="36" t="s">
        <v>32</v>
      </c>
      <c r="N310" s="37">
        <v>1</v>
      </c>
      <c r="O310" s="35">
        <v>90</v>
      </c>
      <c r="P310" s="35" t="s">
        <v>33</v>
      </c>
      <c r="Q310" s="97">
        <v>45453</v>
      </c>
      <c r="R310" s="35" t="s">
        <v>62</v>
      </c>
      <c r="S310" s="38"/>
      <c r="T310" s="78">
        <v>2</v>
      </c>
      <c r="U310" s="78"/>
      <c r="V310" s="78"/>
      <c r="W310" s="78" t="s">
        <v>303</v>
      </c>
      <c r="X310" s="78" t="s">
        <v>839</v>
      </c>
      <c r="Y310" s="78">
        <v>1</v>
      </c>
      <c r="Z310" s="78" t="s">
        <v>48</v>
      </c>
      <c r="AA310" s="78" t="s">
        <v>225</v>
      </c>
      <c r="AB310" s="78">
        <v>2</v>
      </c>
    </row>
    <row r="311" spans="1:28" x14ac:dyDescent="0.25">
      <c r="A311" t="str">
        <f>IF(EXACT('BOM A320 FFS'!B421,obsoleta!D311),"OK","ERROR")</f>
        <v>ERROR</v>
      </c>
      <c r="C311" s="31" t="s">
        <v>314</v>
      </c>
      <c r="D311" s="71">
        <v>1204300630021</v>
      </c>
      <c r="E311" s="71"/>
      <c r="F311" s="32" t="s">
        <v>783</v>
      </c>
      <c r="G311" s="32" t="s">
        <v>878</v>
      </c>
      <c r="H311" s="32" t="s">
        <v>785</v>
      </c>
      <c r="I311" s="32" t="s">
        <v>586</v>
      </c>
      <c r="J311" s="33">
        <v>2</v>
      </c>
      <c r="K311" s="34">
        <v>45</v>
      </c>
      <c r="L311" s="35">
        <v>90</v>
      </c>
      <c r="M311" s="36" t="s">
        <v>32</v>
      </c>
      <c r="N311" s="37">
        <v>1</v>
      </c>
      <c r="O311" s="35">
        <v>90</v>
      </c>
      <c r="P311" s="35" t="s">
        <v>33</v>
      </c>
      <c r="Q311" s="97">
        <v>45453</v>
      </c>
      <c r="R311" s="35" t="s">
        <v>62</v>
      </c>
      <c r="S311" s="38"/>
      <c r="T311" s="78">
        <v>2</v>
      </c>
      <c r="U311" s="78"/>
      <c r="V311" s="78"/>
      <c r="W311" s="78" t="s">
        <v>303</v>
      </c>
      <c r="X311" s="78" t="s">
        <v>839</v>
      </c>
      <c r="Y311" s="78">
        <v>1</v>
      </c>
      <c r="Z311" s="78" t="s">
        <v>48</v>
      </c>
      <c r="AA311" s="78" t="s">
        <v>225</v>
      </c>
      <c r="AB311" s="78">
        <v>2</v>
      </c>
    </row>
    <row r="312" spans="1:28" x14ac:dyDescent="0.25">
      <c r="A312" t="str">
        <f>IF(EXACT('BOM A320 FFS'!B422,obsoleta!D312),"OK","ERROR")</f>
        <v>ERROR</v>
      </c>
      <c r="C312" s="31" t="s">
        <v>314</v>
      </c>
      <c r="D312" s="71">
        <v>1204300730820</v>
      </c>
      <c r="E312" s="71"/>
      <c r="F312" s="32" t="s">
        <v>783</v>
      </c>
      <c r="G312" s="32" t="s">
        <v>933</v>
      </c>
      <c r="H312" s="32" t="s">
        <v>785</v>
      </c>
      <c r="I312" s="32" t="s">
        <v>586</v>
      </c>
      <c r="J312" s="33">
        <v>1</v>
      </c>
      <c r="K312" s="34">
        <v>45</v>
      </c>
      <c r="L312" s="35">
        <v>45</v>
      </c>
      <c r="M312" s="36" t="s">
        <v>32</v>
      </c>
      <c r="N312" s="37">
        <v>1</v>
      </c>
      <c r="O312" s="35">
        <v>45</v>
      </c>
      <c r="P312" s="35" t="s">
        <v>33</v>
      </c>
      <c r="Q312" s="97">
        <v>45453</v>
      </c>
      <c r="R312" s="35" t="s">
        <v>62</v>
      </c>
      <c r="S312" s="38"/>
      <c r="T312" s="78">
        <v>2</v>
      </c>
      <c r="U312" s="78"/>
      <c r="V312" s="78"/>
      <c r="W312" s="78" t="s">
        <v>303</v>
      </c>
      <c r="X312" s="78" t="s">
        <v>839</v>
      </c>
      <c r="Y312" s="78">
        <v>1</v>
      </c>
      <c r="Z312" s="78" t="s">
        <v>48</v>
      </c>
      <c r="AA312" s="78" t="s">
        <v>225</v>
      </c>
      <c r="AB312" s="78">
        <v>1</v>
      </c>
    </row>
    <row r="313" spans="1:28" x14ac:dyDescent="0.25">
      <c r="A313" t="str">
        <f>IF(EXACT('BOM A320 FFS'!B423,obsoleta!D313),"OK","ERROR")</f>
        <v>ERROR</v>
      </c>
      <c r="C313" s="31" t="s">
        <v>314</v>
      </c>
      <c r="D313" s="71">
        <v>1214209830020</v>
      </c>
      <c r="E313" s="71"/>
      <c r="F313" s="32" t="s">
        <v>783</v>
      </c>
      <c r="G313" s="32" t="s">
        <v>880</v>
      </c>
      <c r="H313" s="32" t="s">
        <v>785</v>
      </c>
      <c r="I313" s="32" t="s">
        <v>586</v>
      </c>
      <c r="J313" s="33">
        <v>2</v>
      </c>
      <c r="K313" s="34">
        <v>45</v>
      </c>
      <c r="L313" s="35">
        <v>90</v>
      </c>
      <c r="M313" s="36" t="s">
        <v>32</v>
      </c>
      <c r="N313" s="37">
        <v>1</v>
      </c>
      <c r="O313" s="35">
        <v>90</v>
      </c>
      <c r="P313" s="35" t="s">
        <v>33</v>
      </c>
      <c r="Q313" s="97">
        <v>45453</v>
      </c>
      <c r="R313" s="35" t="s">
        <v>62</v>
      </c>
      <c r="S313" s="38"/>
      <c r="T313" s="78">
        <v>2</v>
      </c>
      <c r="U313" s="78"/>
      <c r="V313" s="78"/>
      <c r="W313" s="78" t="s">
        <v>303</v>
      </c>
      <c r="X313" s="78" t="s">
        <v>839</v>
      </c>
      <c r="Y313" s="78">
        <v>1</v>
      </c>
      <c r="Z313" s="78" t="s">
        <v>48</v>
      </c>
      <c r="AA313" s="78" t="s">
        <v>225</v>
      </c>
      <c r="AB313" s="78">
        <v>2</v>
      </c>
    </row>
    <row r="314" spans="1:28" x14ac:dyDescent="0.25">
      <c r="A314" t="str">
        <f>IF(EXACT('BOM A320 FFS'!B424,obsoleta!D314),"OK","ERROR")</f>
        <v>ERROR</v>
      </c>
      <c r="C314" s="31" t="s">
        <v>314</v>
      </c>
      <c r="D314" s="71">
        <v>1204200730720</v>
      </c>
      <c r="E314" s="71"/>
      <c r="F314" s="32" t="s">
        <v>783</v>
      </c>
      <c r="G314" s="32" t="s">
        <v>935</v>
      </c>
      <c r="H314" s="32" t="s">
        <v>785</v>
      </c>
      <c r="I314" s="32" t="s">
        <v>586</v>
      </c>
      <c r="J314" s="33">
        <v>1</v>
      </c>
      <c r="K314" s="34">
        <v>45</v>
      </c>
      <c r="L314" s="35">
        <v>45</v>
      </c>
      <c r="M314" s="36" t="s">
        <v>32</v>
      </c>
      <c r="N314" s="37">
        <v>1</v>
      </c>
      <c r="O314" s="35">
        <v>45</v>
      </c>
      <c r="P314" s="35" t="s">
        <v>33</v>
      </c>
      <c r="Q314" s="97">
        <v>45453</v>
      </c>
      <c r="R314" s="35" t="s">
        <v>62</v>
      </c>
      <c r="S314" s="38"/>
      <c r="T314" s="78">
        <v>2</v>
      </c>
      <c r="U314" s="78"/>
      <c r="V314" s="78"/>
      <c r="W314" s="78" t="s">
        <v>303</v>
      </c>
      <c r="X314" s="78" t="s">
        <v>839</v>
      </c>
      <c r="Y314" s="78">
        <v>1</v>
      </c>
      <c r="Z314" s="78" t="s">
        <v>48</v>
      </c>
      <c r="AA314" s="78" t="s">
        <v>225</v>
      </c>
      <c r="AB314" s="78">
        <v>1</v>
      </c>
    </row>
    <row r="315" spans="1:28" x14ac:dyDescent="0.25">
      <c r="A315" t="str">
        <f>IF(EXACT('BOM A320 FFS'!B425,obsoleta!D315),"OK","ERROR")</f>
        <v>ERROR</v>
      </c>
      <c r="C315" s="31" t="s">
        <v>314</v>
      </c>
      <c r="D315" s="71">
        <v>1214302231620</v>
      </c>
      <c r="E315" s="71"/>
      <c r="F315" s="32" t="s">
        <v>783</v>
      </c>
      <c r="G315" s="32" t="s">
        <v>937</v>
      </c>
      <c r="H315" s="32" t="s">
        <v>785</v>
      </c>
      <c r="I315" s="32" t="s">
        <v>586</v>
      </c>
      <c r="J315" s="33">
        <v>1</v>
      </c>
      <c r="K315" s="34">
        <v>45</v>
      </c>
      <c r="L315" s="35">
        <v>45</v>
      </c>
      <c r="M315" s="36" t="s">
        <v>32</v>
      </c>
      <c r="N315" s="37">
        <v>1</v>
      </c>
      <c r="O315" s="35">
        <v>45</v>
      </c>
      <c r="P315" s="35" t="s">
        <v>33</v>
      </c>
      <c r="Q315" s="97">
        <v>45453</v>
      </c>
      <c r="R315" s="35" t="s">
        <v>62</v>
      </c>
      <c r="S315" s="38"/>
      <c r="T315" s="78">
        <v>2</v>
      </c>
      <c r="U315" s="78"/>
      <c r="V315" s="78"/>
      <c r="W315" s="78" t="s">
        <v>303</v>
      </c>
      <c r="X315" s="78" t="s">
        <v>839</v>
      </c>
      <c r="Y315" s="78">
        <v>1</v>
      </c>
      <c r="Z315" s="78" t="s">
        <v>48</v>
      </c>
      <c r="AA315" s="78" t="s">
        <v>225</v>
      </c>
      <c r="AB315" s="78">
        <v>1</v>
      </c>
    </row>
    <row r="316" spans="1:28" x14ac:dyDescent="0.25">
      <c r="A316" t="str">
        <f>IF(EXACT('BOM A320 FFS'!B426,obsoleta!D316),"OK","ERROR")</f>
        <v>ERROR</v>
      </c>
      <c r="C316" s="31" t="s">
        <v>314</v>
      </c>
      <c r="D316" s="71">
        <v>1204202230730</v>
      </c>
      <c r="E316" s="71"/>
      <c r="F316" s="32" t="s">
        <v>783</v>
      </c>
      <c r="G316" s="32" t="s">
        <v>939</v>
      </c>
      <c r="H316" s="32" t="s">
        <v>785</v>
      </c>
      <c r="I316" s="32" t="s">
        <v>586</v>
      </c>
      <c r="J316" s="33">
        <v>1</v>
      </c>
      <c r="K316" s="34">
        <v>45</v>
      </c>
      <c r="L316" s="35">
        <v>45</v>
      </c>
      <c r="M316" s="36" t="s">
        <v>32</v>
      </c>
      <c r="N316" s="37">
        <v>1</v>
      </c>
      <c r="O316" s="35">
        <v>45</v>
      </c>
      <c r="P316" s="35" t="s">
        <v>33</v>
      </c>
      <c r="Q316" s="97">
        <v>45453</v>
      </c>
      <c r="R316" s="35" t="s">
        <v>62</v>
      </c>
      <c r="S316" s="38"/>
      <c r="T316" s="78">
        <v>2</v>
      </c>
      <c r="U316" s="78"/>
      <c r="V316" s="78"/>
      <c r="W316" s="78" t="s">
        <v>303</v>
      </c>
      <c r="X316" s="78" t="s">
        <v>839</v>
      </c>
      <c r="Y316" s="78">
        <v>1</v>
      </c>
      <c r="Z316" s="78" t="s">
        <v>48</v>
      </c>
      <c r="AA316" s="78" t="s">
        <v>225</v>
      </c>
      <c r="AB316" s="78">
        <v>1</v>
      </c>
    </row>
    <row r="317" spans="1:28" x14ac:dyDescent="0.25">
      <c r="A317" t="str">
        <f>IF(EXACT('BOM A320 FFS'!B427,obsoleta!D317),"OK","ERROR")</f>
        <v>ERROR</v>
      </c>
      <c r="C317" s="31" t="s">
        <v>314</v>
      </c>
      <c r="D317" s="71">
        <v>1204300431820</v>
      </c>
      <c r="E317" s="71"/>
      <c r="F317" s="32" t="s">
        <v>783</v>
      </c>
      <c r="G317" s="32" t="s">
        <v>841</v>
      </c>
      <c r="H317" s="32" t="s">
        <v>785</v>
      </c>
      <c r="I317" s="32" t="s">
        <v>586</v>
      </c>
      <c r="J317" s="33">
        <v>3</v>
      </c>
      <c r="K317" s="34">
        <v>45</v>
      </c>
      <c r="L317" s="35">
        <v>135</v>
      </c>
      <c r="M317" s="36" t="s">
        <v>32</v>
      </c>
      <c r="N317" s="37">
        <v>1</v>
      </c>
      <c r="O317" s="35">
        <v>135</v>
      </c>
      <c r="P317" s="35" t="s">
        <v>33</v>
      </c>
      <c r="Q317" s="97">
        <v>45453</v>
      </c>
      <c r="R317" s="35" t="s">
        <v>62</v>
      </c>
      <c r="S317" s="38"/>
      <c r="T317" s="78">
        <v>2</v>
      </c>
      <c r="U317" s="78"/>
      <c r="V317" s="78"/>
      <c r="W317" s="78" t="s">
        <v>303</v>
      </c>
      <c r="X317" s="78" t="s">
        <v>839</v>
      </c>
      <c r="Y317" s="78">
        <v>1</v>
      </c>
      <c r="Z317" s="78" t="s">
        <v>48</v>
      </c>
      <c r="AA317" s="78" t="s">
        <v>225</v>
      </c>
      <c r="AB317" s="78">
        <v>3</v>
      </c>
    </row>
    <row r="318" spans="1:28" x14ac:dyDescent="0.25">
      <c r="A318" t="str">
        <f>IF(EXACT('BOM A320 FFS'!B428,obsoleta!D318),"OK","ERROR")</f>
        <v>ERROR</v>
      </c>
      <c r="C318" s="31" t="s">
        <v>314</v>
      </c>
      <c r="D318" s="71">
        <v>1214200430722</v>
      </c>
      <c r="E318" s="71"/>
      <c r="F318" s="32" t="s">
        <v>783</v>
      </c>
      <c r="G318" s="32" t="s">
        <v>843</v>
      </c>
      <c r="H318" s="32" t="s">
        <v>785</v>
      </c>
      <c r="I318" s="32" t="s">
        <v>586</v>
      </c>
      <c r="J318" s="33">
        <v>3</v>
      </c>
      <c r="K318" s="34">
        <v>45</v>
      </c>
      <c r="L318" s="35">
        <v>135</v>
      </c>
      <c r="M318" s="36" t="s">
        <v>32</v>
      </c>
      <c r="N318" s="37">
        <v>1</v>
      </c>
      <c r="O318" s="35">
        <v>135</v>
      </c>
      <c r="P318" s="35" t="s">
        <v>33</v>
      </c>
      <c r="Q318" s="97">
        <v>45453</v>
      </c>
      <c r="R318" s="35" t="s">
        <v>62</v>
      </c>
      <c r="S318" s="38"/>
      <c r="T318" s="78">
        <v>2</v>
      </c>
      <c r="U318" s="78"/>
      <c r="V318" s="78"/>
      <c r="W318" s="78" t="s">
        <v>303</v>
      </c>
      <c r="X318" s="78" t="s">
        <v>839</v>
      </c>
      <c r="Y318" s="78">
        <v>1</v>
      </c>
      <c r="Z318" s="78" t="s">
        <v>48</v>
      </c>
      <c r="AA318" s="78" t="s">
        <v>225</v>
      </c>
      <c r="AB318" s="78">
        <v>3</v>
      </c>
    </row>
    <row r="319" spans="1:28" x14ac:dyDescent="0.25">
      <c r="A319" t="str">
        <f>IF(EXACT('BOM A320 FFS'!B429,obsoleta!D319),"OK","ERROR")</f>
        <v>ERROR</v>
      </c>
      <c r="C319" s="31" t="s">
        <v>314</v>
      </c>
      <c r="D319" s="71">
        <v>1204300430820</v>
      </c>
      <c r="E319" s="71"/>
      <c r="F319" s="32" t="s">
        <v>783</v>
      </c>
      <c r="G319" s="32" t="s">
        <v>827</v>
      </c>
      <c r="H319" s="32" t="s">
        <v>785</v>
      </c>
      <c r="I319" s="32" t="s">
        <v>586</v>
      </c>
      <c r="J319" s="33">
        <v>7</v>
      </c>
      <c r="K319" s="34">
        <v>45</v>
      </c>
      <c r="L319" s="35">
        <v>315</v>
      </c>
      <c r="M319" s="36" t="s">
        <v>32</v>
      </c>
      <c r="N319" s="37">
        <v>1</v>
      </c>
      <c r="O319" s="35">
        <v>315</v>
      </c>
      <c r="P319" s="35" t="s">
        <v>33</v>
      </c>
      <c r="Q319" s="97">
        <v>45453</v>
      </c>
      <c r="R319" s="35" t="s">
        <v>62</v>
      </c>
      <c r="S319" s="38"/>
      <c r="T319" s="78">
        <v>2</v>
      </c>
      <c r="U319" s="78"/>
      <c r="V319" s="78"/>
      <c r="W319" s="78" t="s">
        <v>303</v>
      </c>
      <c r="X319" s="78" t="s">
        <v>839</v>
      </c>
      <c r="Y319" s="78">
        <v>1</v>
      </c>
      <c r="Z319" s="78" t="s">
        <v>48</v>
      </c>
      <c r="AA319" s="78" t="s">
        <v>225</v>
      </c>
      <c r="AB319" s="78">
        <v>9</v>
      </c>
    </row>
    <row r="320" spans="1:28" x14ac:dyDescent="0.25">
      <c r="A320" t="str">
        <f>IF(EXACT('BOM A320 FFS'!B430,obsoleta!D320),"OK","ERROR")</f>
        <v>ERROR</v>
      </c>
      <c r="C320" s="31" t="s">
        <v>314</v>
      </c>
      <c r="D320" s="71">
        <v>1214200430721</v>
      </c>
      <c r="E320" s="71"/>
      <c r="F320" s="32" t="s">
        <v>783</v>
      </c>
      <c r="G320" s="32" t="s">
        <v>784</v>
      </c>
      <c r="H320" s="32" t="s">
        <v>785</v>
      </c>
      <c r="I320" s="32" t="s">
        <v>586</v>
      </c>
      <c r="J320" s="33">
        <v>9</v>
      </c>
      <c r="K320" s="34">
        <v>45</v>
      </c>
      <c r="L320" s="35">
        <v>405</v>
      </c>
      <c r="M320" s="36" t="s">
        <v>32</v>
      </c>
      <c r="N320" s="37">
        <v>1</v>
      </c>
      <c r="O320" s="35">
        <v>405</v>
      </c>
      <c r="P320" s="35" t="s">
        <v>33</v>
      </c>
      <c r="Q320" s="97">
        <v>45453</v>
      </c>
      <c r="R320" s="35" t="s">
        <v>62</v>
      </c>
      <c r="S320" s="38"/>
      <c r="T320" s="78">
        <v>2</v>
      </c>
      <c r="U320" s="78"/>
      <c r="V320" s="78"/>
      <c r="W320" s="78" t="s">
        <v>303</v>
      </c>
      <c r="X320" s="78" t="s">
        <v>839</v>
      </c>
      <c r="Y320" s="78">
        <v>1</v>
      </c>
      <c r="Z320" s="78" t="s">
        <v>48</v>
      </c>
      <c r="AA320" s="78" t="s">
        <v>225</v>
      </c>
      <c r="AB320" s="78">
        <v>9</v>
      </c>
    </row>
    <row r="321" spans="1:28" x14ac:dyDescent="0.25">
      <c r="A321" t="str">
        <f>IF(EXACT('BOM A320 FFS'!B432,obsoleta!D321),"OK","ERROR")</f>
        <v>ERROR</v>
      </c>
      <c r="C321" s="31" t="s">
        <v>314</v>
      </c>
      <c r="D321" s="71">
        <v>1214300431820</v>
      </c>
      <c r="E321" s="71"/>
      <c r="F321" s="32" t="s">
        <v>783</v>
      </c>
      <c r="G321" s="32" t="s">
        <v>882</v>
      </c>
      <c r="H321" s="32" t="s">
        <v>785</v>
      </c>
      <c r="I321" s="32" t="s">
        <v>586</v>
      </c>
      <c r="J321" s="33">
        <v>2</v>
      </c>
      <c r="K321" s="34">
        <v>45</v>
      </c>
      <c r="L321" s="35">
        <v>90</v>
      </c>
      <c r="M321" s="36" t="s">
        <v>32</v>
      </c>
      <c r="N321" s="37">
        <v>1</v>
      </c>
      <c r="O321" s="35">
        <v>90</v>
      </c>
      <c r="P321" s="35" t="s">
        <v>33</v>
      </c>
      <c r="Q321" s="97">
        <v>45453</v>
      </c>
      <c r="R321" s="35" t="s">
        <v>62</v>
      </c>
      <c r="S321" s="38"/>
      <c r="T321" s="78">
        <v>2</v>
      </c>
      <c r="U321" s="78"/>
      <c r="V321" s="78"/>
      <c r="W321" s="78" t="s">
        <v>303</v>
      </c>
      <c r="X321" s="78" t="s">
        <v>839</v>
      </c>
      <c r="Y321" s="78">
        <v>1</v>
      </c>
      <c r="Z321" s="78" t="s">
        <v>48</v>
      </c>
      <c r="AA321" s="78" t="s">
        <v>225</v>
      </c>
      <c r="AB321" s="78">
        <v>2</v>
      </c>
    </row>
    <row r="322" spans="1:28" x14ac:dyDescent="0.25">
      <c r="A322" t="str">
        <f>IF(EXACT('BOM A320 FFS'!B433,obsoleta!D322),"OK","ERROR")</f>
        <v>ERROR</v>
      </c>
      <c r="C322" s="31" t="s">
        <v>314</v>
      </c>
      <c r="D322" s="71">
        <v>1204200430722</v>
      </c>
      <c r="E322" s="71"/>
      <c r="F322" s="32" t="s">
        <v>783</v>
      </c>
      <c r="G322" s="32" t="s">
        <v>884</v>
      </c>
      <c r="H322" s="32" t="s">
        <v>785</v>
      </c>
      <c r="I322" s="32" t="s">
        <v>586</v>
      </c>
      <c r="J322" s="33">
        <v>2</v>
      </c>
      <c r="K322" s="34">
        <v>45</v>
      </c>
      <c r="L322" s="35">
        <v>90</v>
      </c>
      <c r="M322" s="36" t="s">
        <v>32</v>
      </c>
      <c r="N322" s="37">
        <v>1</v>
      </c>
      <c r="O322" s="35">
        <v>90</v>
      </c>
      <c r="P322" s="35" t="s">
        <v>33</v>
      </c>
      <c r="Q322" s="97">
        <v>45453</v>
      </c>
      <c r="R322" s="35" t="s">
        <v>62</v>
      </c>
      <c r="S322" s="38"/>
      <c r="T322" s="78">
        <v>2</v>
      </c>
      <c r="U322" s="78"/>
      <c r="V322" s="78"/>
      <c r="W322" s="78" t="s">
        <v>303</v>
      </c>
      <c r="X322" s="78" t="s">
        <v>839</v>
      </c>
      <c r="Y322" s="78">
        <v>1</v>
      </c>
      <c r="Z322" s="78" t="s">
        <v>48</v>
      </c>
      <c r="AA322" s="78" t="s">
        <v>225</v>
      </c>
      <c r="AB322" s="78">
        <v>2</v>
      </c>
    </row>
    <row r="323" spans="1:28" x14ac:dyDescent="0.25">
      <c r="A323" t="str">
        <f>IF(EXACT('BOM A320 FFS'!B434,obsoleta!D323),"OK","ERROR")</f>
        <v>ERROR</v>
      </c>
      <c r="C323" s="31" t="s">
        <v>314</v>
      </c>
      <c r="D323" s="71">
        <v>1204301030820</v>
      </c>
      <c r="E323" s="71"/>
      <c r="F323" s="32" t="s">
        <v>783</v>
      </c>
      <c r="G323" s="32" t="s">
        <v>886</v>
      </c>
      <c r="H323" s="32" t="s">
        <v>785</v>
      </c>
      <c r="I323" s="32" t="s">
        <v>586</v>
      </c>
      <c r="J323" s="33">
        <v>2</v>
      </c>
      <c r="K323" s="34">
        <v>45</v>
      </c>
      <c r="L323" s="35">
        <v>90</v>
      </c>
      <c r="M323" s="36" t="s">
        <v>32</v>
      </c>
      <c r="N323" s="37">
        <v>1</v>
      </c>
      <c r="O323" s="35">
        <v>90</v>
      </c>
      <c r="P323" s="35" t="s">
        <v>33</v>
      </c>
      <c r="Q323" s="97">
        <v>45453</v>
      </c>
      <c r="R323" s="35" t="s">
        <v>62</v>
      </c>
      <c r="S323" s="38"/>
      <c r="T323" s="78">
        <v>2</v>
      </c>
      <c r="U323" s="78"/>
      <c r="V323" s="78"/>
      <c r="W323" s="78" t="s">
        <v>303</v>
      </c>
      <c r="X323" s="78" t="s">
        <v>839</v>
      </c>
      <c r="Y323" s="78">
        <v>1</v>
      </c>
      <c r="Z323" s="78" t="s">
        <v>48</v>
      </c>
      <c r="AA323" s="78" t="s">
        <v>225</v>
      </c>
      <c r="AB323" s="78">
        <v>2</v>
      </c>
    </row>
    <row r="324" spans="1:28" x14ac:dyDescent="0.25">
      <c r="A324" t="str">
        <f>IF(EXACT('BOM A320 FFS'!B435,obsoleta!D324),"OK","ERROR")</f>
        <v>ERROR</v>
      </c>
      <c r="C324" s="31" t="s">
        <v>314</v>
      </c>
      <c r="D324" s="71">
        <v>1214209830120</v>
      </c>
      <c r="E324" s="71"/>
      <c r="F324" s="32" t="s">
        <v>783</v>
      </c>
      <c r="G324" s="32" t="s">
        <v>888</v>
      </c>
      <c r="H324" s="32" t="s">
        <v>785</v>
      </c>
      <c r="I324" s="32" t="s">
        <v>586</v>
      </c>
      <c r="J324" s="33">
        <v>2</v>
      </c>
      <c r="K324" s="34">
        <v>45</v>
      </c>
      <c r="L324" s="35">
        <v>90</v>
      </c>
      <c r="M324" s="36" t="s">
        <v>32</v>
      </c>
      <c r="N324" s="37">
        <v>1</v>
      </c>
      <c r="O324" s="35">
        <v>90</v>
      </c>
      <c r="P324" s="35" t="s">
        <v>33</v>
      </c>
      <c r="Q324" s="97">
        <v>45453</v>
      </c>
      <c r="R324" s="35" t="s">
        <v>62</v>
      </c>
      <c r="S324" s="38"/>
      <c r="T324" s="78">
        <v>2</v>
      </c>
      <c r="U324" s="78"/>
      <c r="V324" s="78"/>
      <c r="W324" s="78" t="s">
        <v>303</v>
      </c>
      <c r="X324" s="78" t="s">
        <v>839</v>
      </c>
      <c r="Y324" s="78">
        <v>1</v>
      </c>
      <c r="Z324" s="78" t="s">
        <v>48</v>
      </c>
      <c r="AA324" s="78" t="s">
        <v>225</v>
      </c>
      <c r="AB324" s="78">
        <v>2</v>
      </c>
    </row>
    <row r="325" spans="1:28" x14ac:dyDescent="0.25">
      <c r="A325" t="str">
        <f>IF(EXACT('BOM A320 FFS'!B438,obsoleta!D325),"OK","ERROR")</f>
        <v>ERROR</v>
      </c>
      <c r="C325" s="31" t="s">
        <v>314</v>
      </c>
      <c r="D325" s="71">
        <v>1204301931820</v>
      </c>
      <c r="E325" s="71"/>
      <c r="F325" s="32" t="s">
        <v>783</v>
      </c>
      <c r="G325" s="32" t="s">
        <v>941</v>
      </c>
      <c r="H325" s="32" t="s">
        <v>785</v>
      </c>
      <c r="I325" s="32" t="s">
        <v>586</v>
      </c>
      <c r="J325" s="33">
        <v>1</v>
      </c>
      <c r="K325" s="34">
        <v>45</v>
      </c>
      <c r="L325" s="35">
        <v>45</v>
      </c>
      <c r="M325" s="36" t="s">
        <v>32</v>
      </c>
      <c r="N325" s="37">
        <v>1</v>
      </c>
      <c r="O325" s="35">
        <v>45</v>
      </c>
      <c r="P325" s="35" t="s">
        <v>33</v>
      </c>
      <c r="Q325" s="97">
        <v>45453</v>
      </c>
      <c r="R325" s="35" t="s">
        <v>62</v>
      </c>
      <c r="S325" s="38"/>
      <c r="T325" s="78">
        <v>2</v>
      </c>
      <c r="U325" s="78"/>
      <c r="V325" s="78"/>
      <c r="W325" s="78" t="s">
        <v>303</v>
      </c>
      <c r="X325" s="78" t="s">
        <v>839</v>
      </c>
      <c r="Y325" s="78">
        <v>1</v>
      </c>
      <c r="Z325" s="78" t="s">
        <v>48</v>
      </c>
      <c r="AA325" s="78" t="s">
        <v>225</v>
      </c>
      <c r="AB325" s="78">
        <v>1</v>
      </c>
    </row>
    <row r="326" spans="1:28" x14ac:dyDescent="0.25">
      <c r="A326" t="str">
        <f>IF(EXACT('BOM A320 FFS'!B441,obsoleta!D326),"OK","ERROR")</f>
        <v>ERROR</v>
      </c>
      <c r="C326" s="31" t="s">
        <v>314</v>
      </c>
      <c r="D326" s="71">
        <v>1214201931820</v>
      </c>
      <c r="E326" s="71"/>
      <c r="F326" s="32" t="s">
        <v>783</v>
      </c>
      <c r="G326" s="32" t="s">
        <v>943</v>
      </c>
      <c r="H326" s="32" t="s">
        <v>785</v>
      </c>
      <c r="I326" s="32" t="s">
        <v>586</v>
      </c>
      <c r="J326" s="33">
        <v>1</v>
      </c>
      <c r="K326" s="34">
        <v>45</v>
      </c>
      <c r="L326" s="35">
        <v>45</v>
      </c>
      <c r="M326" s="36" t="s">
        <v>32</v>
      </c>
      <c r="N326" s="37">
        <v>1</v>
      </c>
      <c r="O326" s="35">
        <v>45</v>
      </c>
      <c r="P326" s="35" t="s">
        <v>33</v>
      </c>
      <c r="Q326" s="97">
        <v>45453</v>
      </c>
      <c r="R326" s="35" t="s">
        <v>62</v>
      </c>
      <c r="S326" s="38"/>
      <c r="T326" s="78">
        <v>2</v>
      </c>
      <c r="U326" s="78"/>
      <c r="V326" s="78"/>
      <c r="W326" s="78" t="s">
        <v>303</v>
      </c>
      <c r="X326" s="78" t="s">
        <v>839</v>
      </c>
      <c r="Y326" s="78">
        <v>1</v>
      </c>
      <c r="Z326" s="78" t="s">
        <v>48</v>
      </c>
      <c r="AA326" s="78" t="s">
        <v>225</v>
      </c>
      <c r="AB326" s="78">
        <v>1</v>
      </c>
    </row>
    <row r="327" spans="1:28" x14ac:dyDescent="0.25">
      <c r="A327" t="str">
        <f>IF(EXACT('BOM A320 FFS'!B442,obsoleta!D327),"OK","ERROR")</f>
        <v>ERROR</v>
      </c>
      <c r="C327" s="31" t="s">
        <v>314</v>
      </c>
      <c r="D327" s="71">
        <v>1204301930821</v>
      </c>
      <c r="E327" s="71"/>
      <c r="F327" s="32" t="s">
        <v>783</v>
      </c>
      <c r="G327" s="32" t="s">
        <v>945</v>
      </c>
      <c r="H327" s="32" t="s">
        <v>785</v>
      </c>
      <c r="I327" s="32" t="s">
        <v>586</v>
      </c>
      <c r="J327" s="33">
        <v>1</v>
      </c>
      <c r="K327" s="34">
        <v>45</v>
      </c>
      <c r="L327" s="35">
        <v>45</v>
      </c>
      <c r="M327" s="36" t="s">
        <v>32</v>
      </c>
      <c r="N327" s="37">
        <v>1</v>
      </c>
      <c r="O327" s="35">
        <v>45</v>
      </c>
      <c r="P327" s="35" t="s">
        <v>33</v>
      </c>
      <c r="Q327" s="97">
        <v>45453</v>
      </c>
      <c r="R327" s="35" t="s">
        <v>62</v>
      </c>
      <c r="S327" s="38"/>
      <c r="T327" s="78">
        <v>2</v>
      </c>
      <c r="U327" s="78"/>
      <c r="V327" s="78"/>
      <c r="W327" s="78" t="s">
        <v>303</v>
      </c>
      <c r="X327" s="78" t="s">
        <v>839</v>
      </c>
      <c r="Y327" s="78">
        <v>1</v>
      </c>
      <c r="Z327" s="78" t="s">
        <v>48</v>
      </c>
      <c r="AA327" s="78" t="s">
        <v>225</v>
      </c>
      <c r="AB327" s="78">
        <v>1</v>
      </c>
    </row>
    <row r="328" spans="1:28" x14ac:dyDescent="0.25">
      <c r="A328" t="str">
        <f>IF(EXACT('BOM A320 FFS'!B443,obsoleta!D328),"OK","ERROR")</f>
        <v>ERROR</v>
      </c>
      <c r="C328" s="31" t="s">
        <v>314</v>
      </c>
      <c r="D328" s="71">
        <v>1214201930820</v>
      </c>
      <c r="E328" s="71"/>
      <c r="F328" s="32" t="s">
        <v>783</v>
      </c>
      <c r="G328" s="32" t="s">
        <v>947</v>
      </c>
      <c r="H328" s="32" t="s">
        <v>785</v>
      </c>
      <c r="I328" s="32" t="s">
        <v>586</v>
      </c>
      <c r="J328" s="33">
        <v>1</v>
      </c>
      <c r="K328" s="34">
        <v>45</v>
      </c>
      <c r="L328" s="35">
        <v>45</v>
      </c>
      <c r="M328" s="36" t="s">
        <v>32</v>
      </c>
      <c r="N328" s="37">
        <v>1</v>
      </c>
      <c r="O328" s="35">
        <v>45</v>
      </c>
      <c r="P328" s="35" t="s">
        <v>33</v>
      </c>
      <c r="Q328" s="97">
        <v>45453</v>
      </c>
      <c r="R328" s="35" t="s">
        <v>62</v>
      </c>
      <c r="S328" s="38"/>
      <c r="T328" s="78">
        <v>2</v>
      </c>
      <c r="U328" s="78"/>
      <c r="V328" s="78"/>
      <c r="W328" s="78" t="s">
        <v>303</v>
      </c>
      <c r="X328" s="78" t="s">
        <v>839</v>
      </c>
      <c r="Y328" s="78">
        <v>1</v>
      </c>
      <c r="Z328" s="78" t="s">
        <v>48</v>
      </c>
      <c r="AA328" s="78" t="s">
        <v>225</v>
      </c>
      <c r="AB328" s="78">
        <v>1</v>
      </c>
    </row>
    <row r="329" spans="1:28" x14ac:dyDescent="0.25">
      <c r="A329" t="str">
        <f>IF(EXACT('BOM A320 FFS'!B444,obsoleta!D329),"OK","ERROR")</f>
        <v>ERROR</v>
      </c>
      <c r="C329" s="31" t="s">
        <v>314</v>
      </c>
      <c r="D329" s="71">
        <v>1214301930821</v>
      </c>
      <c r="E329" s="71"/>
      <c r="F329" s="32" t="s">
        <v>783</v>
      </c>
      <c r="G329" s="32" t="s">
        <v>949</v>
      </c>
      <c r="H329" s="32" t="s">
        <v>785</v>
      </c>
      <c r="I329" s="32" t="s">
        <v>586</v>
      </c>
      <c r="J329" s="33">
        <v>1</v>
      </c>
      <c r="K329" s="34">
        <v>45</v>
      </c>
      <c r="L329" s="35">
        <v>45</v>
      </c>
      <c r="M329" s="36" t="s">
        <v>32</v>
      </c>
      <c r="N329" s="37">
        <v>1</v>
      </c>
      <c r="O329" s="35">
        <v>45</v>
      </c>
      <c r="P329" s="35" t="s">
        <v>33</v>
      </c>
      <c r="Q329" s="97">
        <v>45453</v>
      </c>
      <c r="R329" s="35" t="s">
        <v>62</v>
      </c>
      <c r="S329" s="38"/>
      <c r="T329" s="78">
        <v>2</v>
      </c>
      <c r="U329" s="78"/>
      <c r="V329" s="78"/>
      <c r="W329" s="78" t="s">
        <v>303</v>
      </c>
      <c r="X329" s="78" t="s">
        <v>839</v>
      </c>
      <c r="Y329" s="78">
        <v>1</v>
      </c>
      <c r="Z329" s="78" t="s">
        <v>48</v>
      </c>
      <c r="AA329" s="78" t="s">
        <v>225</v>
      </c>
      <c r="AB329" s="78">
        <v>1</v>
      </c>
    </row>
    <row r="330" spans="1:28" x14ac:dyDescent="0.25">
      <c r="A330" t="str">
        <f>IF(EXACT('BOM A320 FFS'!B445,obsoleta!D330),"OK","ERROR")</f>
        <v>ERROR</v>
      </c>
      <c r="C330" s="31" t="s">
        <v>314</v>
      </c>
      <c r="D330" s="71">
        <v>1204201930820</v>
      </c>
      <c r="E330" s="71"/>
      <c r="F330" s="32" t="s">
        <v>783</v>
      </c>
      <c r="G330" s="32" t="s">
        <v>951</v>
      </c>
      <c r="H330" s="32" t="s">
        <v>785</v>
      </c>
      <c r="I330" s="32" t="s">
        <v>586</v>
      </c>
      <c r="J330" s="33">
        <v>1</v>
      </c>
      <c r="K330" s="34">
        <v>45</v>
      </c>
      <c r="L330" s="35">
        <v>45</v>
      </c>
      <c r="M330" s="36" t="s">
        <v>32</v>
      </c>
      <c r="N330" s="37">
        <v>1</v>
      </c>
      <c r="O330" s="35">
        <v>45</v>
      </c>
      <c r="P330" s="35" t="s">
        <v>33</v>
      </c>
      <c r="Q330" s="97">
        <v>45453</v>
      </c>
      <c r="R330" s="35" t="s">
        <v>62</v>
      </c>
      <c r="S330" s="38"/>
      <c r="T330" s="78">
        <v>2</v>
      </c>
      <c r="U330" s="78"/>
      <c r="V330" s="78"/>
      <c r="W330" s="78" t="s">
        <v>303</v>
      </c>
      <c r="X330" s="78" t="s">
        <v>839</v>
      </c>
      <c r="Y330" s="78">
        <v>1</v>
      </c>
      <c r="Z330" s="78" t="s">
        <v>48</v>
      </c>
      <c r="AA330" s="78" t="s">
        <v>225</v>
      </c>
      <c r="AB330" s="78">
        <v>1</v>
      </c>
    </row>
    <row r="331" spans="1:28" x14ac:dyDescent="0.25">
      <c r="A331" t="str">
        <f>IF(EXACT('BOM A320 FFS'!B446,obsoleta!D331),"OK","ERROR")</f>
        <v>ERROR</v>
      </c>
      <c r="C331" s="31" t="s">
        <v>314</v>
      </c>
      <c r="D331" s="71">
        <v>1204301230620</v>
      </c>
      <c r="E331" s="71"/>
      <c r="F331" s="32" t="s">
        <v>783</v>
      </c>
      <c r="G331" s="32" t="s">
        <v>845</v>
      </c>
      <c r="H331" s="32" t="s">
        <v>785</v>
      </c>
      <c r="I331" s="32" t="s">
        <v>586</v>
      </c>
      <c r="J331" s="33">
        <v>3</v>
      </c>
      <c r="K331" s="34">
        <v>45</v>
      </c>
      <c r="L331" s="35">
        <v>135</v>
      </c>
      <c r="M331" s="36" t="s">
        <v>32</v>
      </c>
      <c r="N331" s="37">
        <v>1</v>
      </c>
      <c r="O331" s="35">
        <v>135</v>
      </c>
      <c r="P331" s="35" t="s">
        <v>33</v>
      </c>
      <c r="Q331" s="97">
        <v>45453</v>
      </c>
      <c r="R331" s="35" t="s">
        <v>62</v>
      </c>
      <c r="S331" s="38"/>
      <c r="T331" s="78">
        <v>2</v>
      </c>
      <c r="U331" s="78"/>
      <c r="V331" s="78"/>
      <c r="W331" s="78" t="s">
        <v>303</v>
      </c>
      <c r="X331" s="78" t="s">
        <v>839</v>
      </c>
      <c r="Y331" s="78">
        <v>1</v>
      </c>
      <c r="Z331" s="78" t="s">
        <v>48</v>
      </c>
      <c r="AA331" s="78" t="s">
        <v>225</v>
      </c>
      <c r="AB331" s="78">
        <v>3</v>
      </c>
    </row>
    <row r="332" spans="1:28" x14ac:dyDescent="0.25">
      <c r="A332" t="str">
        <f>IF(EXACT('BOM A320 FFS'!B447,obsoleta!D332),"OK","ERROR")</f>
        <v>ERROR</v>
      </c>
      <c r="C332" s="31" t="s">
        <v>314</v>
      </c>
      <c r="D332" s="71">
        <v>1214201230020</v>
      </c>
      <c r="E332" s="71"/>
      <c r="F332" s="32" t="s">
        <v>783</v>
      </c>
      <c r="G332" s="32" t="s">
        <v>847</v>
      </c>
      <c r="H332" s="32" t="s">
        <v>785</v>
      </c>
      <c r="I332" s="32" t="s">
        <v>586</v>
      </c>
      <c r="J332" s="33">
        <v>3</v>
      </c>
      <c r="K332" s="34">
        <v>45</v>
      </c>
      <c r="L332" s="35">
        <v>135</v>
      </c>
      <c r="M332" s="36" t="s">
        <v>32</v>
      </c>
      <c r="N332" s="37">
        <v>1</v>
      </c>
      <c r="O332" s="35">
        <v>135</v>
      </c>
      <c r="P332" s="35" t="s">
        <v>33</v>
      </c>
      <c r="Q332" s="97">
        <v>45453</v>
      </c>
      <c r="R332" s="35" t="s">
        <v>62</v>
      </c>
      <c r="S332" s="38"/>
      <c r="T332" s="78">
        <v>2</v>
      </c>
      <c r="U332" s="78"/>
      <c r="V332" s="78"/>
      <c r="W332" s="78" t="s">
        <v>303</v>
      </c>
      <c r="X332" s="78" t="s">
        <v>839</v>
      </c>
      <c r="Y332" s="78">
        <v>1</v>
      </c>
      <c r="Z332" s="78" t="s">
        <v>48</v>
      </c>
      <c r="AA332" s="78" t="s">
        <v>225</v>
      </c>
      <c r="AB332" s="78">
        <v>3</v>
      </c>
    </row>
    <row r="333" spans="1:28" x14ac:dyDescent="0.25">
      <c r="A333" t="str">
        <f>IF(EXACT('BOM A320 FFS'!B448,obsoleta!D333),"OK","ERROR")</f>
        <v>ERROR</v>
      </c>
      <c r="C333" s="31" t="s">
        <v>314</v>
      </c>
      <c r="D333" s="71">
        <v>1214303734920</v>
      </c>
      <c r="E333" s="71"/>
      <c r="F333" s="32" t="s">
        <v>783</v>
      </c>
      <c r="G333" s="32" t="s">
        <v>953</v>
      </c>
      <c r="H333" s="32" t="s">
        <v>785</v>
      </c>
      <c r="I333" s="32" t="s">
        <v>586</v>
      </c>
      <c r="J333" s="33">
        <v>1</v>
      </c>
      <c r="K333" s="34">
        <v>45</v>
      </c>
      <c r="L333" s="35">
        <v>45</v>
      </c>
      <c r="M333" s="36" t="s">
        <v>32</v>
      </c>
      <c r="N333" s="37">
        <v>1</v>
      </c>
      <c r="O333" s="35">
        <v>45</v>
      </c>
      <c r="P333" s="35" t="s">
        <v>33</v>
      </c>
      <c r="Q333" s="97">
        <v>45453</v>
      </c>
      <c r="R333" s="35" t="s">
        <v>62</v>
      </c>
      <c r="S333" s="38"/>
      <c r="T333" s="78">
        <v>2</v>
      </c>
      <c r="U333" s="78"/>
      <c r="V333" s="78"/>
      <c r="W333" s="78" t="s">
        <v>303</v>
      </c>
      <c r="X333" s="78" t="s">
        <v>839</v>
      </c>
      <c r="Y333" s="78">
        <v>1</v>
      </c>
      <c r="Z333" s="78" t="s">
        <v>48</v>
      </c>
      <c r="AA333" s="78" t="s">
        <v>225</v>
      </c>
      <c r="AB333" s="78">
        <v>1</v>
      </c>
    </row>
    <row r="334" spans="1:28" x14ac:dyDescent="0.25">
      <c r="A334" t="str">
        <f>IF(EXACT('BOM A320 FFS'!B449,obsoleta!D334),"OK","ERROR")</f>
        <v>ERROR</v>
      </c>
      <c r="C334" s="31" t="s">
        <v>314</v>
      </c>
      <c r="D334" s="71">
        <v>1204203730120</v>
      </c>
      <c r="E334" s="71"/>
      <c r="F334" s="32" t="s">
        <v>783</v>
      </c>
      <c r="G334" s="32" t="s">
        <v>955</v>
      </c>
      <c r="H334" s="32" t="s">
        <v>785</v>
      </c>
      <c r="I334" s="32" t="s">
        <v>586</v>
      </c>
      <c r="J334" s="33">
        <v>1</v>
      </c>
      <c r="K334" s="34">
        <v>45</v>
      </c>
      <c r="L334" s="35">
        <v>45</v>
      </c>
      <c r="M334" s="36" t="s">
        <v>32</v>
      </c>
      <c r="N334" s="37">
        <v>1</v>
      </c>
      <c r="O334" s="35">
        <v>45</v>
      </c>
      <c r="P334" s="35" t="s">
        <v>33</v>
      </c>
      <c r="Q334" s="97">
        <v>45453</v>
      </c>
      <c r="R334" s="35" t="s">
        <v>62</v>
      </c>
      <c r="S334" s="38"/>
      <c r="T334" s="78">
        <v>2</v>
      </c>
      <c r="U334" s="78"/>
      <c r="V334" s="78"/>
      <c r="W334" s="78" t="s">
        <v>303</v>
      </c>
      <c r="X334" s="78" t="s">
        <v>839</v>
      </c>
      <c r="Y334" s="78">
        <v>1</v>
      </c>
      <c r="Z334" s="78" t="s">
        <v>48</v>
      </c>
      <c r="AA334" s="78" t="s">
        <v>225</v>
      </c>
      <c r="AB334" s="78">
        <v>1</v>
      </c>
    </row>
    <row r="335" spans="1:28" x14ac:dyDescent="0.25">
      <c r="A335" t="str">
        <f>IF(EXACT('BOM A320 FFS'!B450,obsoleta!D335),"OK","ERROR")</f>
        <v>ERROR</v>
      </c>
      <c r="C335" s="31" t="s">
        <v>314</v>
      </c>
      <c r="D335" s="71">
        <v>1204301130021</v>
      </c>
      <c r="E335" s="71"/>
      <c r="F335" s="32" t="s">
        <v>783</v>
      </c>
      <c r="G335" s="32" t="s">
        <v>957</v>
      </c>
      <c r="H335" s="32" t="s">
        <v>785</v>
      </c>
      <c r="I335" s="32" t="s">
        <v>586</v>
      </c>
      <c r="J335" s="33">
        <v>1</v>
      </c>
      <c r="K335" s="34">
        <v>45</v>
      </c>
      <c r="L335" s="35">
        <v>45</v>
      </c>
      <c r="M335" s="36" t="s">
        <v>32</v>
      </c>
      <c r="N335" s="37">
        <v>1</v>
      </c>
      <c r="O335" s="35">
        <v>45</v>
      </c>
      <c r="P335" s="35" t="s">
        <v>33</v>
      </c>
      <c r="Q335" s="97">
        <v>45453</v>
      </c>
      <c r="R335" s="35" t="s">
        <v>62</v>
      </c>
      <c r="S335" s="38"/>
      <c r="T335" s="78">
        <v>2</v>
      </c>
      <c r="U335" s="78"/>
      <c r="V335" s="78"/>
      <c r="W335" s="78" t="s">
        <v>303</v>
      </c>
      <c r="X335" s="78" t="s">
        <v>839</v>
      </c>
      <c r="Y335" s="78">
        <v>1</v>
      </c>
      <c r="Z335" s="78" t="s">
        <v>48</v>
      </c>
      <c r="AA335" s="78" t="s">
        <v>225</v>
      </c>
      <c r="AB335" s="78">
        <v>1</v>
      </c>
    </row>
    <row r="336" spans="1:28" x14ac:dyDescent="0.25">
      <c r="A336" t="str">
        <f>IF(EXACT('BOM A320 FFS'!B451,obsoleta!D336),"OK","ERROR")</f>
        <v>ERROR</v>
      </c>
      <c r="C336" s="31" t="s">
        <v>314</v>
      </c>
      <c r="D336" s="71">
        <v>1214201130020</v>
      </c>
      <c r="E336" s="71"/>
      <c r="F336" s="32" t="s">
        <v>783</v>
      </c>
      <c r="G336" s="32" t="s">
        <v>959</v>
      </c>
      <c r="H336" s="32" t="s">
        <v>785</v>
      </c>
      <c r="I336" s="32" t="s">
        <v>586</v>
      </c>
      <c r="J336" s="33">
        <v>1</v>
      </c>
      <c r="K336" s="34">
        <v>45</v>
      </c>
      <c r="L336" s="35">
        <v>45</v>
      </c>
      <c r="M336" s="36" t="s">
        <v>32</v>
      </c>
      <c r="N336" s="37">
        <v>1</v>
      </c>
      <c r="O336" s="35">
        <v>45</v>
      </c>
      <c r="P336" s="35" t="s">
        <v>33</v>
      </c>
      <c r="Q336" s="97">
        <v>45453</v>
      </c>
      <c r="R336" s="35" t="s">
        <v>62</v>
      </c>
      <c r="S336" s="38"/>
      <c r="T336" s="78">
        <v>2</v>
      </c>
      <c r="U336" s="78"/>
      <c r="V336" s="78"/>
      <c r="W336" s="78" t="s">
        <v>303</v>
      </c>
      <c r="X336" s="78" t="s">
        <v>839</v>
      </c>
      <c r="Y336" s="78">
        <v>1</v>
      </c>
      <c r="Z336" s="78" t="s">
        <v>48</v>
      </c>
      <c r="AA336" s="78" t="s">
        <v>225</v>
      </c>
      <c r="AB336" s="78">
        <v>1</v>
      </c>
    </row>
    <row r="337" spans="1:28" x14ac:dyDescent="0.25">
      <c r="A337" t="str">
        <f>IF(EXACT('BOM A320 FFS'!B452,obsoleta!D337),"OK","ERROR")</f>
        <v>ERROR</v>
      </c>
      <c r="C337" s="31" t="s">
        <v>314</v>
      </c>
      <c r="D337" s="71">
        <v>1214301130022</v>
      </c>
      <c r="E337" s="71"/>
      <c r="F337" s="32" t="s">
        <v>783</v>
      </c>
      <c r="G337" s="32" t="s">
        <v>961</v>
      </c>
      <c r="H337" s="32" t="s">
        <v>785</v>
      </c>
      <c r="I337" s="32" t="s">
        <v>586</v>
      </c>
      <c r="J337" s="33">
        <v>1</v>
      </c>
      <c r="K337" s="34">
        <v>45</v>
      </c>
      <c r="L337" s="35">
        <v>45</v>
      </c>
      <c r="M337" s="36" t="s">
        <v>32</v>
      </c>
      <c r="N337" s="37">
        <v>1</v>
      </c>
      <c r="O337" s="35">
        <v>45</v>
      </c>
      <c r="P337" s="35" t="s">
        <v>33</v>
      </c>
      <c r="Q337" s="97">
        <v>45453</v>
      </c>
      <c r="R337" s="35" t="s">
        <v>62</v>
      </c>
      <c r="S337" s="38"/>
      <c r="T337" s="78">
        <v>2</v>
      </c>
      <c r="U337" s="78"/>
      <c r="V337" s="78"/>
      <c r="W337" s="78" t="s">
        <v>303</v>
      </c>
      <c r="X337" s="78" t="s">
        <v>839</v>
      </c>
      <c r="Y337" s="78">
        <v>1</v>
      </c>
      <c r="Z337" s="78" t="s">
        <v>48</v>
      </c>
      <c r="AA337" s="78" t="s">
        <v>225</v>
      </c>
      <c r="AB337" s="78">
        <v>1</v>
      </c>
    </row>
    <row r="338" spans="1:28" x14ac:dyDescent="0.25">
      <c r="A338" t="str">
        <f>IF(EXACT('BOM A320 FFS'!B453,obsoleta!D338),"OK","ERROR")</f>
        <v>ERROR</v>
      </c>
      <c r="C338" s="31" t="s">
        <v>314</v>
      </c>
      <c r="D338" s="71">
        <v>1204201130020</v>
      </c>
      <c r="E338" s="71"/>
      <c r="F338" s="32" t="s">
        <v>783</v>
      </c>
      <c r="G338" s="28" t="s">
        <v>963</v>
      </c>
      <c r="H338" s="28" t="s">
        <v>785</v>
      </c>
      <c r="I338" s="28" t="s">
        <v>586</v>
      </c>
      <c r="J338" s="40">
        <v>1</v>
      </c>
      <c r="K338" s="34">
        <v>45</v>
      </c>
      <c r="L338" s="35">
        <v>45</v>
      </c>
      <c r="M338" s="36" t="s">
        <v>32</v>
      </c>
      <c r="N338" s="37">
        <v>1</v>
      </c>
      <c r="O338" s="35">
        <v>45</v>
      </c>
      <c r="P338" s="35" t="s">
        <v>33</v>
      </c>
      <c r="Q338" s="97">
        <v>45453</v>
      </c>
      <c r="R338" s="35" t="s">
        <v>62</v>
      </c>
      <c r="S338" s="38"/>
      <c r="T338" s="78">
        <v>2</v>
      </c>
      <c r="U338" s="78"/>
      <c r="V338" s="78"/>
      <c r="W338" s="78" t="s">
        <v>303</v>
      </c>
      <c r="X338" s="78" t="s">
        <v>839</v>
      </c>
      <c r="Y338" s="78">
        <v>1</v>
      </c>
      <c r="Z338" s="78" t="s">
        <v>48</v>
      </c>
      <c r="AA338" s="78" t="s">
        <v>225</v>
      </c>
      <c r="AB338" s="78">
        <v>1</v>
      </c>
    </row>
    <row r="339" spans="1:28" x14ac:dyDescent="0.25">
      <c r="A339" t="str">
        <f>IF(EXACT('BOM A320 FFS'!B454,obsoleta!D339),"OK","ERROR")</f>
        <v>ERROR</v>
      </c>
      <c r="C339" s="31" t="s">
        <v>314</v>
      </c>
      <c r="D339" s="71">
        <v>1214303230820</v>
      </c>
      <c r="E339" s="71"/>
      <c r="F339" s="32" t="s">
        <v>783</v>
      </c>
      <c r="G339" s="32" t="s">
        <v>894</v>
      </c>
      <c r="H339" s="32" t="s">
        <v>785</v>
      </c>
      <c r="I339" s="32" t="s">
        <v>586</v>
      </c>
      <c r="J339" s="33">
        <v>2</v>
      </c>
      <c r="K339" s="34">
        <v>45</v>
      </c>
      <c r="L339" s="35">
        <v>90</v>
      </c>
      <c r="M339" s="36" t="s">
        <v>32</v>
      </c>
      <c r="N339" s="37">
        <v>1</v>
      </c>
      <c r="O339" s="35">
        <v>90</v>
      </c>
      <c r="P339" s="35" t="s">
        <v>33</v>
      </c>
      <c r="Q339" s="97">
        <v>45453</v>
      </c>
      <c r="R339" s="35" t="s">
        <v>62</v>
      </c>
      <c r="S339" s="38"/>
      <c r="T339" s="78">
        <v>1</v>
      </c>
      <c r="U339" s="78"/>
      <c r="V339" s="78"/>
      <c r="W339" s="78" t="s">
        <v>303</v>
      </c>
      <c r="X339" s="78" t="s">
        <v>839</v>
      </c>
      <c r="Y339" s="78">
        <v>1</v>
      </c>
      <c r="Z339" s="78" t="s">
        <v>48</v>
      </c>
      <c r="AA339" s="78" t="s">
        <v>225</v>
      </c>
      <c r="AB339" s="78">
        <v>2</v>
      </c>
    </row>
    <row r="340" spans="1:28" x14ac:dyDescent="0.25">
      <c r="A340" t="str">
        <f>IF(EXACT('BOM A320 FFS'!B455,obsoleta!D340),"OK","ERROR")</f>
        <v>ERROR</v>
      </c>
      <c r="C340" s="31" t="s">
        <v>314</v>
      </c>
      <c r="D340" s="71">
        <v>1204203230820</v>
      </c>
      <c r="E340" s="71"/>
      <c r="F340" s="32" t="s">
        <v>783</v>
      </c>
      <c r="G340" s="32" t="s">
        <v>896</v>
      </c>
      <c r="H340" s="32" t="s">
        <v>785</v>
      </c>
      <c r="I340" s="32" t="s">
        <v>586</v>
      </c>
      <c r="J340" s="33">
        <v>2</v>
      </c>
      <c r="K340" s="34">
        <v>45</v>
      </c>
      <c r="L340" s="35">
        <v>90</v>
      </c>
      <c r="M340" s="36" t="s">
        <v>32</v>
      </c>
      <c r="N340" s="37">
        <v>1</v>
      </c>
      <c r="O340" s="35">
        <v>90</v>
      </c>
      <c r="P340" s="35" t="s">
        <v>33</v>
      </c>
      <c r="Q340" s="97">
        <v>45453</v>
      </c>
      <c r="R340" s="35" t="s">
        <v>62</v>
      </c>
      <c r="S340" s="38"/>
      <c r="T340" s="78">
        <v>2</v>
      </c>
      <c r="U340" s="78"/>
      <c r="V340" s="78"/>
      <c r="W340" s="78" t="s">
        <v>303</v>
      </c>
      <c r="X340" s="78" t="s">
        <v>839</v>
      </c>
      <c r="Y340" s="78">
        <v>1</v>
      </c>
      <c r="Z340" s="78" t="s">
        <v>48</v>
      </c>
      <c r="AA340" s="78" t="s">
        <v>225</v>
      </c>
      <c r="AB340" s="78">
        <v>2</v>
      </c>
    </row>
    <row r="341" spans="1:28" x14ac:dyDescent="0.25">
      <c r="A341" t="str">
        <f>IF(EXACT('BOM A320 FFS'!B456,obsoleta!D341),"OK","ERROR")</f>
        <v>ERROR</v>
      </c>
      <c r="C341" s="31" t="s">
        <v>314</v>
      </c>
      <c r="D341" s="71">
        <v>1204306631620</v>
      </c>
      <c r="E341" s="71"/>
      <c r="F341" s="32" t="s">
        <v>783</v>
      </c>
      <c r="G341" s="32" t="s">
        <v>820</v>
      </c>
      <c r="H341" s="32" t="s">
        <v>785</v>
      </c>
      <c r="I341" s="32" t="s">
        <v>586</v>
      </c>
      <c r="J341" s="33">
        <v>9</v>
      </c>
      <c r="K341" s="34">
        <v>45</v>
      </c>
      <c r="L341" s="35">
        <v>405</v>
      </c>
      <c r="M341" s="36" t="s">
        <v>32</v>
      </c>
      <c r="N341" s="37">
        <v>1</v>
      </c>
      <c r="O341" s="35">
        <v>405</v>
      </c>
      <c r="P341" s="35" t="s">
        <v>33</v>
      </c>
      <c r="Q341" s="97">
        <v>45453</v>
      </c>
      <c r="R341" s="35" t="s">
        <v>62</v>
      </c>
      <c r="S341" s="38"/>
      <c r="T341" s="78">
        <v>1</v>
      </c>
      <c r="U341" s="78"/>
      <c r="V341" s="78"/>
      <c r="W341" s="78" t="s">
        <v>303</v>
      </c>
      <c r="X341" s="78" t="s">
        <v>839</v>
      </c>
      <c r="Y341" s="78">
        <v>1</v>
      </c>
      <c r="Z341" s="78" t="s">
        <v>48</v>
      </c>
      <c r="AA341" s="78" t="s">
        <v>225</v>
      </c>
      <c r="AB341" s="78">
        <v>9</v>
      </c>
    </row>
    <row r="342" spans="1:28" x14ac:dyDescent="0.25">
      <c r="A342" t="str">
        <f>IF(EXACT('BOM A320 FFS'!B457,obsoleta!D342),"OK","ERROR")</f>
        <v>ERROR</v>
      </c>
      <c r="C342" s="31" t="s">
        <v>314</v>
      </c>
      <c r="D342" s="71">
        <v>1214206630620</v>
      </c>
      <c r="E342" s="71"/>
      <c r="F342" s="32" t="s">
        <v>783</v>
      </c>
      <c r="G342" s="32" t="s">
        <v>822</v>
      </c>
      <c r="H342" s="32" t="s">
        <v>785</v>
      </c>
      <c r="I342" s="32" t="s">
        <v>586</v>
      </c>
      <c r="J342" s="33">
        <v>9</v>
      </c>
      <c r="K342" s="34">
        <v>45</v>
      </c>
      <c r="L342" s="35">
        <v>405</v>
      </c>
      <c r="M342" s="36" t="s">
        <v>32</v>
      </c>
      <c r="N342" s="37">
        <v>1</v>
      </c>
      <c r="O342" s="35">
        <v>405</v>
      </c>
      <c r="P342" s="35" t="s">
        <v>33</v>
      </c>
      <c r="Q342" s="97">
        <v>45453</v>
      </c>
      <c r="R342" s="35" t="s">
        <v>62</v>
      </c>
      <c r="S342" s="38"/>
      <c r="T342" s="78">
        <v>2</v>
      </c>
      <c r="U342" s="78"/>
      <c r="V342" s="78"/>
      <c r="W342" s="78" t="s">
        <v>303</v>
      </c>
      <c r="X342" s="78" t="s">
        <v>839</v>
      </c>
      <c r="Y342" s="78">
        <v>1</v>
      </c>
      <c r="Z342" s="78" t="s">
        <v>48</v>
      </c>
      <c r="AA342" s="78" t="s">
        <v>225</v>
      </c>
      <c r="AB342" s="78">
        <v>9</v>
      </c>
    </row>
    <row r="343" spans="1:28" x14ac:dyDescent="0.25">
      <c r="A343" t="str">
        <f>IF(EXACT('BOM A320 FFS'!B458,obsoleta!D343),"OK","ERROR")</f>
        <v>ERROR</v>
      </c>
      <c r="C343" s="31" t="s">
        <v>314</v>
      </c>
      <c r="D343" s="71">
        <v>1204305530022</v>
      </c>
      <c r="E343" s="71"/>
      <c r="F343" s="32" t="s">
        <v>783</v>
      </c>
      <c r="G343" s="32" t="s">
        <v>898</v>
      </c>
      <c r="H343" s="32" t="s">
        <v>785</v>
      </c>
      <c r="I343" s="32" t="s">
        <v>586</v>
      </c>
      <c r="J343" s="33">
        <v>2</v>
      </c>
      <c r="K343" s="34">
        <v>45</v>
      </c>
      <c r="L343" s="35">
        <v>90</v>
      </c>
      <c r="M343" s="36" t="s">
        <v>32</v>
      </c>
      <c r="N343" s="37">
        <v>1</v>
      </c>
      <c r="O343" s="35">
        <v>90</v>
      </c>
      <c r="P343" s="35" t="s">
        <v>33</v>
      </c>
      <c r="Q343" s="97">
        <v>45453</v>
      </c>
      <c r="R343" s="35" t="s">
        <v>62</v>
      </c>
      <c r="S343" s="38"/>
      <c r="T343" s="78">
        <v>1</v>
      </c>
      <c r="U343" s="78"/>
      <c r="V343" s="78"/>
      <c r="W343" s="78" t="s">
        <v>303</v>
      </c>
      <c r="X343" s="78" t="s">
        <v>839</v>
      </c>
      <c r="Y343" s="78">
        <v>1</v>
      </c>
      <c r="Z343" s="78" t="s">
        <v>48</v>
      </c>
      <c r="AA343" s="78" t="s">
        <v>225</v>
      </c>
      <c r="AB343" s="78">
        <v>2</v>
      </c>
    </row>
    <row r="344" spans="1:28" x14ac:dyDescent="0.25">
      <c r="A344" t="str">
        <f>IF(EXACT('BOM A320 FFS'!B459,obsoleta!D344),"OK","ERROR")</f>
        <v>ERROR</v>
      </c>
      <c r="C344" s="31" t="s">
        <v>314</v>
      </c>
      <c r="D344" s="71">
        <v>1214205530022</v>
      </c>
      <c r="E344" s="71"/>
      <c r="F344" s="32" t="s">
        <v>783</v>
      </c>
      <c r="G344" s="32" t="s">
        <v>900</v>
      </c>
      <c r="H344" s="32" t="s">
        <v>785</v>
      </c>
      <c r="I344" s="32" t="s">
        <v>586</v>
      </c>
      <c r="J344" s="33">
        <v>2</v>
      </c>
      <c r="K344" s="34">
        <v>45</v>
      </c>
      <c r="L344" s="35">
        <v>90</v>
      </c>
      <c r="M344" s="36" t="s">
        <v>32</v>
      </c>
      <c r="N344" s="37">
        <v>1</v>
      </c>
      <c r="O344" s="35">
        <v>90</v>
      </c>
      <c r="P344" s="35" t="s">
        <v>33</v>
      </c>
      <c r="Q344" s="97">
        <v>45453</v>
      </c>
      <c r="R344" s="35" t="s">
        <v>62</v>
      </c>
      <c r="S344" s="38"/>
      <c r="T344" s="78">
        <v>2</v>
      </c>
      <c r="U344" s="78"/>
      <c r="V344" s="78"/>
      <c r="W344" s="78" t="s">
        <v>303</v>
      </c>
      <c r="X344" s="78" t="s">
        <v>839</v>
      </c>
      <c r="Y344" s="78">
        <v>1</v>
      </c>
      <c r="Z344" s="78" t="s">
        <v>48</v>
      </c>
      <c r="AA344" s="78" t="s">
        <v>225</v>
      </c>
      <c r="AB344" s="78">
        <v>2</v>
      </c>
    </row>
    <row r="345" spans="1:28" x14ac:dyDescent="0.25">
      <c r="A345" t="str">
        <f>IF(EXACT('BOM A320 FFS'!B460,obsoleta!D345),"OK","ERROR")</f>
        <v>ERROR</v>
      </c>
      <c r="C345" s="31" t="s">
        <v>314</v>
      </c>
      <c r="D345" s="71">
        <v>1214306632020</v>
      </c>
      <c r="E345" s="71"/>
      <c r="F345" s="32" t="s">
        <v>783</v>
      </c>
      <c r="G345" s="32" t="s">
        <v>902</v>
      </c>
      <c r="H345" s="32" t="s">
        <v>785</v>
      </c>
      <c r="I345" s="32" t="s">
        <v>586</v>
      </c>
      <c r="J345" s="33">
        <v>2</v>
      </c>
      <c r="K345" s="34">
        <v>45</v>
      </c>
      <c r="L345" s="35">
        <v>90</v>
      </c>
      <c r="M345" s="36" t="s">
        <v>32</v>
      </c>
      <c r="N345" s="37">
        <v>1</v>
      </c>
      <c r="O345" s="35">
        <v>90</v>
      </c>
      <c r="P345" s="35" t="s">
        <v>33</v>
      </c>
      <c r="Q345" s="97">
        <v>45453</v>
      </c>
      <c r="R345" s="35" t="s">
        <v>62</v>
      </c>
      <c r="S345" s="38"/>
      <c r="T345" s="78">
        <v>1</v>
      </c>
      <c r="U345" s="78"/>
      <c r="V345" s="78"/>
      <c r="W345" s="78" t="s">
        <v>303</v>
      </c>
      <c r="X345" s="78" t="s">
        <v>839</v>
      </c>
      <c r="Y345" s="78">
        <v>1</v>
      </c>
      <c r="Z345" s="78" t="s">
        <v>48</v>
      </c>
      <c r="AA345" s="78" t="s">
        <v>225</v>
      </c>
      <c r="AB345" s="78">
        <v>2</v>
      </c>
    </row>
    <row r="346" spans="1:28" x14ac:dyDescent="0.25">
      <c r="A346" t="str">
        <f>IF(EXACT('BOM A320 FFS'!B461,obsoleta!D346),"OK","ERROR")</f>
        <v>ERROR</v>
      </c>
      <c r="C346" s="31" t="s">
        <v>314</v>
      </c>
      <c r="D346" s="71">
        <v>1204206631820</v>
      </c>
      <c r="E346" s="71"/>
      <c r="F346" s="32" t="s">
        <v>783</v>
      </c>
      <c r="G346" s="32" t="s">
        <v>904</v>
      </c>
      <c r="H346" s="32" t="s">
        <v>785</v>
      </c>
      <c r="I346" s="32" t="s">
        <v>586</v>
      </c>
      <c r="J346" s="33">
        <v>2</v>
      </c>
      <c r="K346" s="34">
        <v>45</v>
      </c>
      <c r="L346" s="35">
        <v>90</v>
      </c>
      <c r="M346" s="36" t="s">
        <v>32</v>
      </c>
      <c r="N346" s="37">
        <v>1</v>
      </c>
      <c r="O346" s="35">
        <v>90</v>
      </c>
      <c r="P346" s="35" t="s">
        <v>33</v>
      </c>
      <c r="Q346" s="97">
        <v>45453</v>
      </c>
      <c r="R346" s="35" t="s">
        <v>62</v>
      </c>
      <c r="S346" s="38"/>
      <c r="T346" s="78">
        <v>2</v>
      </c>
      <c r="U346" s="78"/>
      <c r="V346" s="78"/>
      <c r="W346" s="78" t="s">
        <v>303</v>
      </c>
      <c r="X346" s="78" t="s">
        <v>839</v>
      </c>
      <c r="Y346" s="78">
        <v>1</v>
      </c>
      <c r="Z346" s="78" t="s">
        <v>48</v>
      </c>
      <c r="AA346" s="78" t="s">
        <v>225</v>
      </c>
      <c r="AB346" s="78">
        <v>2</v>
      </c>
    </row>
    <row r="347" spans="1:28" x14ac:dyDescent="0.25">
      <c r="A347" t="str">
        <f>IF(EXACT('BOM A320 FFS'!B462,obsoleta!D347),"OK","ERROR")</f>
        <v>ERROR</v>
      </c>
      <c r="C347" s="31" t="s">
        <v>314</v>
      </c>
      <c r="D347" s="71">
        <v>1214306630021</v>
      </c>
      <c r="E347" s="71"/>
      <c r="F347" s="32" t="s">
        <v>783</v>
      </c>
      <c r="G347" s="32" t="s">
        <v>965</v>
      </c>
      <c r="H347" s="32" t="s">
        <v>785</v>
      </c>
      <c r="I347" s="32" t="s">
        <v>586</v>
      </c>
      <c r="J347" s="33">
        <v>1</v>
      </c>
      <c r="K347" s="34">
        <v>45</v>
      </c>
      <c r="L347" s="35">
        <v>45</v>
      </c>
      <c r="M347" s="36" t="s">
        <v>32</v>
      </c>
      <c r="N347" s="37">
        <v>1</v>
      </c>
      <c r="O347" s="35">
        <v>45</v>
      </c>
      <c r="P347" s="35" t="s">
        <v>33</v>
      </c>
      <c r="Q347" s="97">
        <v>45453</v>
      </c>
      <c r="R347" s="35" t="s">
        <v>62</v>
      </c>
      <c r="S347" s="38"/>
      <c r="T347" s="78">
        <v>1</v>
      </c>
      <c r="U347" s="78"/>
      <c r="V347" s="78"/>
      <c r="W347" s="78" t="s">
        <v>303</v>
      </c>
      <c r="X347" s="78" t="s">
        <v>839</v>
      </c>
      <c r="Y347" s="78">
        <v>1</v>
      </c>
      <c r="Z347" s="78" t="s">
        <v>48</v>
      </c>
      <c r="AA347" s="78" t="s">
        <v>225</v>
      </c>
      <c r="AB347" s="78">
        <v>1</v>
      </c>
    </row>
    <row r="348" spans="1:28" x14ac:dyDescent="0.25">
      <c r="A348" t="str">
        <f>IF(EXACT('BOM A320 FFS'!B463,obsoleta!D348),"OK","ERROR")</f>
        <v>ERROR</v>
      </c>
      <c r="C348" s="31" t="s">
        <v>314</v>
      </c>
      <c r="D348" s="71">
        <v>1214333530020</v>
      </c>
      <c r="E348" s="71"/>
      <c r="F348" s="32" t="s">
        <v>783</v>
      </c>
      <c r="G348" s="32" t="s">
        <v>967</v>
      </c>
      <c r="H348" s="32" t="s">
        <v>785</v>
      </c>
      <c r="I348" s="32" t="s">
        <v>586</v>
      </c>
      <c r="J348" s="33">
        <v>1</v>
      </c>
      <c r="K348" s="34">
        <v>45</v>
      </c>
      <c r="L348" s="35">
        <v>45</v>
      </c>
      <c r="M348" s="36" t="s">
        <v>32</v>
      </c>
      <c r="N348" s="37">
        <v>1</v>
      </c>
      <c r="O348" s="35">
        <v>45</v>
      </c>
      <c r="P348" s="35" t="s">
        <v>33</v>
      </c>
      <c r="Q348" s="97">
        <v>45453</v>
      </c>
      <c r="R348" s="35" t="s">
        <v>62</v>
      </c>
      <c r="S348" s="38"/>
      <c r="T348" s="78">
        <v>2</v>
      </c>
      <c r="U348" s="78"/>
      <c r="V348" s="78"/>
      <c r="W348" s="78" t="s">
        <v>303</v>
      </c>
      <c r="X348" s="78" t="s">
        <v>839</v>
      </c>
      <c r="Y348" s="78">
        <v>1</v>
      </c>
      <c r="Z348" s="78" t="s">
        <v>48</v>
      </c>
      <c r="AA348" s="78" t="s">
        <v>225</v>
      </c>
      <c r="AB348" s="78">
        <v>1</v>
      </c>
    </row>
    <row r="349" spans="1:28" x14ac:dyDescent="0.25">
      <c r="A349" t="str">
        <f>IF(EXACT('BOM A320 FFS'!B464,obsoleta!D349),"OK","ERROR")</f>
        <v>ERROR</v>
      </c>
      <c r="C349" s="31" t="s">
        <v>314</v>
      </c>
      <c r="D349" s="71">
        <v>1214306631920</v>
      </c>
      <c r="E349" s="71"/>
      <c r="F349" s="32" t="s">
        <v>783</v>
      </c>
      <c r="G349" s="32" t="s">
        <v>787</v>
      </c>
      <c r="H349" s="32" t="s">
        <v>785</v>
      </c>
      <c r="I349" s="32" t="s">
        <v>586</v>
      </c>
      <c r="J349" s="33">
        <v>30</v>
      </c>
      <c r="K349" s="34">
        <v>45</v>
      </c>
      <c r="L349" s="35">
        <v>1350</v>
      </c>
      <c r="M349" s="36" t="s">
        <v>32</v>
      </c>
      <c r="N349" s="37">
        <v>1</v>
      </c>
      <c r="O349" s="35">
        <v>1350</v>
      </c>
      <c r="P349" s="35" t="s">
        <v>33</v>
      </c>
      <c r="Q349" s="97">
        <v>45453</v>
      </c>
      <c r="R349" s="35" t="s">
        <v>62</v>
      </c>
      <c r="S349" s="38"/>
      <c r="T349" s="78">
        <v>1</v>
      </c>
      <c r="U349" s="78"/>
      <c r="V349" s="78"/>
      <c r="W349" s="78" t="s">
        <v>303</v>
      </c>
      <c r="X349" s="78" t="s">
        <v>839</v>
      </c>
      <c r="Y349" s="78">
        <v>1</v>
      </c>
      <c r="Z349" s="78" t="s">
        <v>48</v>
      </c>
      <c r="AA349" s="78" t="s">
        <v>225</v>
      </c>
      <c r="AB349" s="78">
        <v>29</v>
      </c>
    </row>
    <row r="350" spans="1:28" x14ac:dyDescent="0.25">
      <c r="A350" t="str">
        <f>IF(EXACT('BOM A320 FFS'!B465,obsoleta!D350),"OK","ERROR")</f>
        <v>ERROR</v>
      </c>
      <c r="C350" s="31" t="s">
        <v>314</v>
      </c>
      <c r="D350" s="71">
        <v>1204206631120</v>
      </c>
      <c r="E350" s="71"/>
      <c r="F350" s="32" t="s">
        <v>783</v>
      </c>
      <c r="G350" s="32" t="s">
        <v>793</v>
      </c>
      <c r="H350" s="32" t="s">
        <v>785</v>
      </c>
      <c r="I350" s="32" t="s">
        <v>586</v>
      </c>
      <c r="J350" s="33">
        <v>26</v>
      </c>
      <c r="K350" s="34">
        <v>45</v>
      </c>
      <c r="L350" s="35">
        <v>1170</v>
      </c>
      <c r="M350" s="36" t="s">
        <v>32</v>
      </c>
      <c r="N350" s="37">
        <v>1</v>
      </c>
      <c r="O350" s="35">
        <v>1170</v>
      </c>
      <c r="P350" s="35" t="s">
        <v>33</v>
      </c>
      <c r="Q350" s="97">
        <v>45453</v>
      </c>
      <c r="R350" s="35" t="s">
        <v>62</v>
      </c>
      <c r="S350" s="38"/>
      <c r="T350" s="78">
        <v>2</v>
      </c>
      <c r="U350" s="78"/>
      <c r="V350" s="78"/>
      <c r="W350" s="78" t="s">
        <v>303</v>
      </c>
      <c r="X350" s="78" t="s">
        <v>839</v>
      </c>
      <c r="Y350" s="78">
        <v>1</v>
      </c>
      <c r="Z350" s="78" t="s">
        <v>48</v>
      </c>
      <c r="AA350" s="78" t="s">
        <v>225</v>
      </c>
      <c r="AB350" s="78">
        <v>29</v>
      </c>
    </row>
    <row r="351" spans="1:28" x14ac:dyDescent="0.25">
      <c r="A351" t="str">
        <f>IF(EXACT('BOM A320 FFS'!B466,obsoleta!D351),"OK","ERROR")</f>
        <v>ERROR</v>
      </c>
      <c r="C351" s="31" t="s">
        <v>314</v>
      </c>
      <c r="D351" s="71">
        <v>1204301130620</v>
      </c>
      <c r="E351" s="71"/>
      <c r="F351" s="32" t="s">
        <v>783</v>
      </c>
      <c r="G351" s="32" t="s">
        <v>3760</v>
      </c>
      <c r="H351" s="32" t="s">
        <v>785</v>
      </c>
      <c r="I351" s="32" t="s">
        <v>586</v>
      </c>
      <c r="J351" s="33">
        <v>1</v>
      </c>
      <c r="K351" s="34">
        <v>45</v>
      </c>
      <c r="L351" s="35">
        <v>45</v>
      </c>
      <c r="M351" s="36" t="s">
        <v>32</v>
      </c>
      <c r="N351" s="37">
        <v>1</v>
      </c>
      <c r="O351" s="35">
        <v>45</v>
      </c>
      <c r="P351" s="35" t="s">
        <v>33</v>
      </c>
      <c r="Q351" s="97">
        <v>45453</v>
      </c>
      <c r="R351" s="35" t="s">
        <v>62</v>
      </c>
      <c r="S351" s="38"/>
      <c r="T351" s="78">
        <v>1</v>
      </c>
      <c r="U351" s="78"/>
      <c r="V351" s="78"/>
      <c r="W351" s="78" t="s">
        <v>303</v>
      </c>
      <c r="X351" s="78" t="s">
        <v>839</v>
      </c>
      <c r="Y351" s="78">
        <v>1</v>
      </c>
      <c r="Z351" s="78" t="s">
        <v>48</v>
      </c>
      <c r="AA351" s="78" t="s">
        <v>225</v>
      </c>
      <c r="AB351" s="78">
        <v>1</v>
      </c>
    </row>
    <row r="352" spans="1:28" x14ac:dyDescent="0.25">
      <c r="A352" t="str">
        <f>IF(EXACT('BOM A320 FFS'!B467,obsoleta!D352),"OK","ERROR")</f>
        <v>ERROR</v>
      </c>
      <c r="C352" s="31" t="s">
        <v>314</v>
      </c>
      <c r="D352" s="71">
        <v>1214201138020</v>
      </c>
      <c r="E352" s="71"/>
      <c r="F352" s="32" t="s">
        <v>783</v>
      </c>
      <c r="G352" s="32" t="s">
        <v>969</v>
      </c>
      <c r="H352" s="32" t="s">
        <v>785</v>
      </c>
      <c r="I352" s="32" t="s">
        <v>586</v>
      </c>
      <c r="J352" s="33">
        <v>1</v>
      </c>
      <c r="K352" s="34">
        <v>45</v>
      </c>
      <c r="L352" s="35">
        <v>45</v>
      </c>
      <c r="M352" s="36" t="s">
        <v>32</v>
      </c>
      <c r="N352" s="37">
        <v>1</v>
      </c>
      <c r="O352" s="35">
        <v>45</v>
      </c>
      <c r="P352" s="35" t="s">
        <v>33</v>
      </c>
      <c r="Q352" s="97">
        <v>45453</v>
      </c>
      <c r="R352" s="35" t="s">
        <v>62</v>
      </c>
      <c r="S352" s="38"/>
      <c r="T352" s="78">
        <v>2</v>
      </c>
      <c r="U352" s="78"/>
      <c r="V352" s="78"/>
      <c r="W352" s="78" t="s">
        <v>303</v>
      </c>
      <c r="X352" s="78" t="s">
        <v>839</v>
      </c>
      <c r="Y352" s="78">
        <v>1</v>
      </c>
      <c r="Z352" s="78" t="s">
        <v>48</v>
      </c>
      <c r="AA352" s="78" t="s">
        <v>225</v>
      </c>
      <c r="AB352" s="78">
        <v>1</v>
      </c>
    </row>
    <row r="353" spans="1:28" x14ac:dyDescent="0.25">
      <c r="A353" t="str">
        <f>IF(EXACT('BOM A320 FFS'!B468,obsoleta!D353),"OK","ERROR")</f>
        <v>ERROR</v>
      </c>
      <c r="C353" s="31" t="s">
        <v>314</v>
      </c>
      <c r="D353" s="71">
        <v>1214301130620</v>
      </c>
      <c r="E353" s="71"/>
      <c r="F353" s="32" t="s">
        <v>783</v>
      </c>
      <c r="G353" s="32" t="s">
        <v>971</v>
      </c>
      <c r="H353" s="32" t="s">
        <v>785</v>
      </c>
      <c r="I353" s="32" t="s">
        <v>586</v>
      </c>
      <c r="J353" s="33">
        <v>1</v>
      </c>
      <c r="K353" s="34">
        <v>45</v>
      </c>
      <c r="L353" s="35">
        <v>45</v>
      </c>
      <c r="M353" s="36" t="s">
        <v>32</v>
      </c>
      <c r="N353" s="37">
        <v>1</v>
      </c>
      <c r="O353" s="35">
        <v>45</v>
      </c>
      <c r="P353" s="35" t="s">
        <v>33</v>
      </c>
      <c r="Q353" s="97">
        <v>45453</v>
      </c>
      <c r="R353" s="35" t="s">
        <v>62</v>
      </c>
      <c r="S353" s="38"/>
      <c r="T353" s="78">
        <v>1</v>
      </c>
      <c r="U353" s="78"/>
      <c r="V353" s="78"/>
      <c r="W353" s="78" t="s">
        <v>303</v>
      </c>
      <c r="X353" s="78" t="s">
        <v>839</v>
      </c>
      <c r="Y353" s="78">
        <v>1</v>
      </c>
      <c r="Z353" s="78" t="s">
        <v>48</v>
      </c>
      <c r="AA353" s="78" t="s">
        <v>225</v>
      </c>
      <c r="AB353" s="78">
        <v>1</v>
      </c>
    </row>
    <row r="354" spans="1:28" x14ac:dyDescent="0.25">
      <c r="A354" t="str">
        <f>IF(EXACT('BOM A320 FFS'!B469,obsoleta!D354),"OK","ERROR")</f>
        <v>ERROR</v>
      </c>
      <c r="C354" s="31" t="s">
        <v>314</v>
      </c>
      <c r="D354" s="71">
        <v>1204301130020</v>
      </c>
      <c r="E354" s="71"/>
      <c r="F354" s="32" t="s">
        <v>783</v>
      </c>
      <c r="G354" s="32" t="s">
        <v>973</v>
      </c>
      <c r="H354" s="32" t="s">
        <v>785</v>
      </c>
      <c r="I354" s="32" t="s">
        <v>586</v>
      </c>
      <c r="J354" s="33">
        <v>1</v>
      </c>
      <c r="K354" s="34">
        <v>45</v>
      </c>
      <c r="L354" s="35">
        <v>45</v>
      </c>
      <c r="M354" s="36" t="s">
        <v>32</v>
      </c>
      <c r="N354" s="37">
        <v>1</v>
      </c>
      <c r="O354" s="35">
        <v>45</v>
      </c>
      <c r="P354" s="35" t="s">
        <v>33</v>
      </c>
      <c r="Q354" s="97">
        <v>45453</v>
      </c>
      <c r="R354" s="35" t="s">
        <v>62</v>
      </c>
      <c r="S354" s="38"/>
      <c r="T354" s="78">
        <v>2</v>
      </c>
      <c r="U354" s="78"/>
      <c r="V354" s="78"/>
      <c r="W354" s="78" t="s">
        <v>303</v>
      </c>
      <c r="X354" s="78" t="s">
        <v>839</v>
      </c>
      <c r="Y354" s="78">
        <v>1</v>
      </c>
      <c r="Z354" s="78" t="s">
        <v>48</v>
      </c>
      <c r="AA354" s="78" t="s">
        <v>225</v>
      </c>
      <c r="AB354" s="78">
        <v>1</v>
      </c>
    </row>
    <row r="355" spans="1:28" x14ac:dyDescent="0.25">
      <c r="A355" t="str">
        <f>IF(EXACT('BOM A320 FFS'!B472,obsoleta!D355),"OK","ERROR")</f>
        <v>ERROR</v>
      </c>
      <c r="C355" s="31" t="s">
        <v>314</v>
      </c>
      <c r="D355" s="71">
        <v>1204304130820</v>
      </c>
      <c r="E355" s="71"/>
      <c r="F355" s="32" t="s">
        <v>783</v>
      </c>
      <c r="G355" s="32" t="s">
        <v>831</v>
      </c>
      <c r="H355" s="32" t="s">
        <v>785</v>
      </c>
      <c r="I355" s="32" t="s">
        <v>586</v>
      </c>
      <c r="J355" s="33">
        <v>4</v>
      </c>
      <c r="K355" s="34">
        <v>45</v>
      </c>
      <c r="L355" s="35">
        <v>180</v>
      </c>
      <c r="M355" s="36" t="s">
        <v>32</v>
      </c>
      <c r="N355" s="37">
        <v>1</v>
      </c>
      <c r="O355" s="35">
        <v>180</v>
      </c>
      <c r="P355" s="35" t="s">
        <v>33</v>
      </c>
      <c r="Q355" s="97">
        <v>45453</v>
      </c>
      <c r="R355" s="35" t="s">
        <v>62</v>
      </c>
      <c r="S355" s="38"/>
      <c r="T355" s="78">
        <v>1</v>
      </c>
      <c r="U355" s="78"/>
      <c r="V355" s="78"/>
      <c r="W355" s="78" t="s">
        <v>303</v>
      </c>
      <c r="X355" s="78" t="s">
        <v>839</v>
      </c>
      <c r="Y355" s="78">
        <v>1</v>
      </c>
      <c r="Z355" s="78" t="s">
        <v>48</v>
      </c>
      <c r="AA355" s="78" t="s">
        <v>225</v>
      </c>
      <c r="AB355" s="78">
        <v>4</v>
      </c>
    </row>
    <row r="356" spans="1:28" x14ac:dyDescent="0.25">
      <c r="A356" t="str">
        <f>IF(EXACT('BOM A320 FFS'!B474,obsoleta!D356),"OK","ERROR")</f>
        <v>ERROR</v>
      </c>
      <c r="C356" s="31" t="s">
        <v>314</v>
      </c>
      <c r="D356" s="71">
        <v>1214204130820</v>
      </c>
      <c r="E356" s="71"/>
      <c r="F356" s="32" t="s">
        <v>783</v>
      </c>
      <c r="G356" s="32" t="s">
        <v>833</v>
      </c>
      <c r="H356" s="32" t="s">
        <v>785</v>
      </c>
      <c r="I356" s="32" t="s">
        <v>586</v>
      </c>
      <c r="J356" s="33">
        <v>4</v>
      </c>
      <c r="K356" s="34">
        <v>45</v>
      </c>
      <c r="L356" s="35">
        <v>180</v>
      </c>
      <c r="M356" s="36" t="s">
        <v>32</v>
      </c>
      <c r="N356" s="37">
        <v>1</v>
      </c>
      <c r="O356" s="35">
        <v>180</v>
      </c>
      <c r="P356" s="35" t="s">
        <v>33</v>
      </c>
      <c r="Q356" s="97">
        <v>45453</v>
      </c>
      <c r="R356" s="35" t="s">
        <v>62</v>
      </c>
      <c r="S356" s="38"/>
      <c r="T356" s="78">
        <v>2</v>
      </c>
      <c r="U356" s="78"/>
      <c r="V356" s="78"/>
      <c r="W356" s="78" t="s">
        <v>303</v>
      </c>
      <c r="X356" s="78" t="s">
        <v>839</v>
      </c>
      <c r="Y356" s="78">
        <v>1</v>
      </c>
      <c r="Z356" s="78" t="s">
        <v>48</v>
      </c>
      <c r="AA356" s="78" t="s">
        <v>225</v>
      </c>
      <c r="AB356" s="78">
        <v>4</v>
      </c>
    </row>
    <row r="357" spans="1:28" x14ac:dyDescent="0.25">
      <c r="A357" t="str">
        <f>IF(EXACT('BOM A320 FFS'!B475,obsoleta!D357),"OK","ERROR")</f>
        <v>ERROR</v>
      </c>
      <c r="C357" s="31" t="s">
        <v>314</v>
      </c>
      <c r="D357" s="71">
        <v>1214304131820</v>
      </c>
      <c r="E357" s="71"/>
      <c r="F357" s="32" t="s">
        <v>783</v>
      </c>
      <c r="G357" s="32" t="s">
        <v>849</v>
      </c>
      <c r="H357" s="32" t="s">
        <v>785</v>
      </c>
      <c r="I357" s="32" t="s">
        <v>586</v>
      </c>
      <c r="J357" s="33">
        <v>3</v>
      </c>
      <c r="K357" s="34">
        <v>45</v>
      </c>
      <c r="L357" s="35">
        <v>135</v>
      </c>
      <c r="M357" s="36" t="s">
        <v>32</v>
      </c>
      <c r="N357" s="37">
        <v>1</v>
      </c>
      <c r="O357" s="35">
        <v>135</v>
      </c>
      <c r="P357" s="35" t="s">
        <v>33</v>
      </c>
      <c r="Q357" s="97">
        <v>45453</v>
      </c>
      <c r="R357" s="35" t="s">
        <v>62</v>
      </c>
      <c r="S357" s="38"/>
      <c r="T357" s="78">
        <v>1</v>
      </c>
      <c r="U357" s="78"/>
      <c r="V357" s="78"/>
      <c r="W357" s="78" t="s">
        <v>303</v>
      </c>
      <c r="X357" s="78" t="s">
        <v>839</v>
      </c>
      <c r="Y357" s="78">
        <v>1</v>
      </c>
      <c r="Z357" s="78" t="s">
        <v>48</v>
      </c>
      <c r="AA357" s="78" t="s">
        <v>225</v>
      </c>
      <c r="AB357" s="78">
        <v>3</v>
      </c>
    </row>
    <row r="358" spans="1:28" x14ac:dyDescent="0.25">
      <c r="A358" t="str">
        <f>IF(EXACT('BOM A320 FFS'!B476,obsoleta!D358),"OK","ERROR")</f>
        <v>ERROR</v>
      </c>
      <c r="C358" s="31" t="s">
        <v>314</v>
      </c>
      <c r="D358" s="71">
        <v>1204204131820</v>
      </c>
      <c r="E358" s="71"/>
      <c r="F358" s="32" t="s">
        <v>783</v>
      </c>
      <c r="G358" s="32" t="s">
        <v>851</v>
      </c>
      <c r="H358" s="32" t="s">
        <v>785</v>
      </c>
      <c r="I358" s="32" t="s">
        <v>586</v>
      </c>
      <c r="J358" s="33">
        <v>3</v>
      </c>
      <c r="K358" s="34">
        <v>45</v>
      </c>
      <c r="L358" s="35">
        <v>135</v>
      </c>
      <c r="M358" s="36" t="s">
        <v>32</v>
      </c>
      <c r="N358" s="37">
        <v>1</v>
      </c>
      <c r="O358" s="35">
        <v>135</v>
      </c>
      <c r="P358" s="35" t="s">
        <v>33</v>
      </c>
      <c r="Q358" s="97">
        <v>45453</v>
      </c>
      <c r="R358" s="35" t="s">
        <v>62</v>
      </c>
      <c r="S358" s="38"/>
      <c r="T358" s="78">
        <v>2</v>
      </c>
      <c r="U358" s="78"/>
      <c r="V358" s="78"/>
      <c r="W358" s="78" t="s">
        <v>303</v>
      </c>
      <c r="X358" s="78" t="s">
        <v>839</v>
      </c>
      <c r="Y358" s="78">
        <v>1</v>
      </c>
      <c r="Z358" s="78" t="s">
        <v>48</v>
      </c>
      <c r="AA358" s="78" t="s">
        <v>225</v>
      </c>
      <c r="AB358" s="78">
        <v>3</v>
      </c>
    </row>
    <row r="359" spans="1:28" x14ac:dyDescent="0.25">
      <c r="A359" t="str">
        <f>IF(EXACT('BOM A320 FFS'!B478,obsoleta!D359),"OK","ERROR")</f>
        <v>ERROR</v>
      </c>
      <c r="C359" s="31" t="s">
        <v>314</v>
      </c>
      <c r="D359" s="71">
        <v>1214304130920</v>
      </c>
      <c r="E359" s="71"/>
      <c r="F359" s="32" t="s">
        <v>783</v>
      </c>
      <c r="G359" s="32" t="s">
        <v>806</v>
      </c>
      <c r="H359" s="32" t="s">
        <v>785</v>
      </c>
      <c r="I359" s="32" t="s">
        <v>586</v>
      </c>
      <c r="J359" s="33">
        <v>14</v>
      </c>
      <c r="K359" s="34">
        <v>45</v>
      </c>
      <c r="L359" s="35">
        <v>630</v>
      </c>
      <c r="M359" s="36" t="s">
        <v>32</v>
      </c>
      <c r="N359" s="37">
        <v>1</v>
      </c>
      <c r="O359" s="35">
        <v>630</v>
      </c>
      <c r="P359" s="35" t="s">
        <v>33</v>
      </c>
      <c r="Q359" s="97">
        <v>45453</v>
      </c>
      <c r="R359" s="35" t="s">
        <v>62</v>
      </c>
      <c r="S359" s="38"/>
      <c r="T359" s="78">
        <v>1</v>
      </c>
      <c r="U359" s="78"/>
      <c r="V359" s="78"/>
      <c r="W359" s="78" t="s">
        <v>303</v>
      </c>
      <c r="X359" s="78" t="s">
        <v>839</v>
      </c>
      <c r="Y359" s="78">
        <v>1</v>
      </c>
      <c r="Z359" s="78" t="s">
        <v>48</v>
      </c>
      <c r="AA359" s="78" t="s">
        <v>225</v>
      </c>
      <c r="AB359" s="78">
        <v>14</v>
      </c>
    </row>
    <row r="360" spans="1:28" x14ac:dyDescent="0.25">
      <c r="A360" t="str">
        <f>IF(EXACT('BOM A320 FFS'!B479,obsoleta!D360),"OK","ERROR")</f>
        <v>ERROR</v>
      </c>
      <c r="C360" s="31" t="s">
        <v>314</v>
      </c>
      <c r="D360" s="71">
        <v>1204204130820</v>
      </c>
      <c r="E360" s="71"/>
      <c r="F360" s="32" t="s">
        <v>783</v>
      </c>
      <c r="G360" s="32" t="s">
        <v>808</v>
      </c>
      <c r="H360" s="32" t="s">
        <v>785</v>
      </c>
      <c r="I360" s="32" t="s">
        <v>586</v>
      </c>
      <c r="J360" s="33">
        <v>14</v>
      </c>
      <c r="K360" s="34">
        <v>45</v>
      </c>
      <c r="L360" s="35">
        <v>630</v>
      </c>
      <c r="M360" s="36" t="s">
        <v>32</v>
      </c>
      <c r="N360" s="37">
        <v>1</v>
      </c>
      <c r="O360" s="35">
        <v>630</v>
      </c>
      <c r="P360" s="35" t="s">
        <v>33</v>
      </c>
      <c r="Q360" s="97">
        <v>45453</v>
      </c>
      <c r="R360" s="35" t="s">
        <v>62</v>
      </c>
      <c r="S360" s="38"/>
      <c r="T360" s="78">
        <v>2</v>
      </c>
      <c r="U360" s="78"/>
      <c r="V360" s="78"/>
      <c r="W360" s="78" t="s">
        <v>303</v>
      </c>
      <c r="X360" s="78" t="s">
        <v>839</v>
      </c>
      <c r="Y360" s="78">
        <v>1</v>
      </c>
      <c r="Z360" s="78" t="s">
        <v>48</v>
      </c>
      <c r="AA360" s="78" t="s">
        <v>225</v>
      </c>
      <c r="AB360" s="78">
        <v>14</v>
      </c>
    </row>
    <row r="361" spans="1:28" x14ac:dyDescent="0.25">
      <c r="A361" t="str">
        <f>IF(EXACT('BOM A320 FFS'!B480,obsoleta!D361),"OK","ERROR")</f>
        <v>ERROR</v>
      </c>
      <c r="C361" s="31" t="s">
        <v>314</v>
      </c>
      <c r="D361" s="71">
        <v>1214305330820</v>
      </c>
      <c r="E361" s="71"/>
      <c r="F361" s="32" t="s">
        <v>783</v>
      </c>
      <c r="G361" s="32" t="s">
        <v>975</v>
      </c>
      <c r="H361" s="32" t="s">
        <v>785</v>
      </c>
      <c r="I361" s="32" t="s">
        <v>586</v>
      </c>
      <c r="J361" s="33">
        <v>1</v>
      </c>
      <c r="K361" s="34">
        <v>45</v>
      </c>
      <c r="L361" s="35">
        <v>45</v>
      </c>
      <c r="M361" s="36" t="s">
        <v>32</v>
      </c>
      <c r="N361" s="37">
        <v>1</v>
      </c>
      <c r="O361" s="35">
        <v>45</v>
      </c>
      <c r="P361" s="35" t="s">
        <v>33</v>
      </c>
      <c r="Q361" s="97">
        <v>45453</v>
      </c>
      <c r="R361" s="35" t="s">
        <v>62</v>
      </c>
      <c r="S361" s="38"/>
      <c r="T361" s="78">
        <v>1</v>
      </c>
      <c r="U361" s="78"/>
      <c r="V361" s="78"/>
      <c r="W361" s="78" t="s">
        <v>303</v>
      </c>
      <c r="X361" s="78" t="s">
        <v>839</v>
      </c>
      <c r="Y361" s="78">
        <v>1</v>
      </c>
      <c r="Z361" s="78" t="s">
        <v>48</v>
      </c>
      <c r="AA361" s="78" t="s">
        <v>225</v>
      </c>
      <c r="AB361" s="78">
        <v>1</v>
      </c>
    </row>
    <row r="362" spans="1:28" x14ac:dyDescent="0.25">
      <c r="A362" t="str">
        <f>IF(EXACT('BOM A320 FFS'!B481,obsoleta!D362),"OK","ERROR")</f>
        <v>ERROR</v>
      </c>
      <c r="C362" s="31" t="s">
        <v>314</v>
      </c>
      <c r="D362" s="71">
        <v>1204205300020</v>
      </c>
      <c r="E362" s="71"/>
      <c r="F362" s="32" t="s">
        <v>783</v>
      </c>
      <c r="G362" s="32" t="s">
        <v>977</v>
      </c>
      <c r="H362" s="32" t="s">
        <v>785</v>
      </c>
      <c r="I362" s="32" t="s">
        <v>586</v>
      </c>
      <c r="J362" s="33">
        <v>1</v>
      </c>
      <c r="K362" s="34">
        <v>45</v>
      </c>
      <c r="L362" s="35">
        <v>45</v>
      </c>
      <c r="M362" s="36" t="s">
        <v>32</v>
      </c>
      <c r="N362" s="37">
        <v>1</v>
      </c>
      <c r="O362" s="35">
        <v>45</v>
      </c>
      <c r="P362" s="35" t="s">
        <v>33</v>
      </c>
      <c r="Q362" s="97">
        <v>45453</v>
      </c>
      <c r="R362" s="35" t="s">
        <v>62</v>
      </c>
      <c r="S362" s="38"/>
      <c r="T362" s="78">
        <v>2</v>
      </c>
      <c r="U362" s="78"/>
      <c r="V362" s="78"/>
      <c r="W362" s="78" t="s">
        <v>303</v>
      </c>
      <c r="X362" s="78" t="s">
        <v>839</v>
      </c>
      <c r="Y362" s="78">
        <v>1</v>
      </c>
      <c r="Z362" s="78" t="s">
        <v>48</v>
      </c>
      <c r="AA362" s="78" t="s">
        <v>225</v>
      </c>
      <c r="AB362" s="78">
        <v>1</v>
      </c>
    </row>
    <row r="363" spans="1:28" x14ac:dyDescent="0.25">
      <c r="A363" t="str">
        <f>IF(EXACT('BOM A320 FFS'!B482,obsoleta!D363),"OK","ERROR")</f>
        <v>ERROR</v>
      </c>
      <c r="C363" s="31" t="s">
        <v>314</v>
      </c>
      <c r="D363" s="71">
        <v>1214305530020</v>
      </c>
      <c r="E363" s="71"/>
      <c r="F363" s="32" t="s">
        <v>783</v>
      </c>
      <c r="G363" s="32" t="s">
        <v>906</v>
      </c>
      <c r="H363" s="32" t="s">
        <v>785</v>
      </c>
      <c r="I363" s="32" t="s">
        <v>586</v>
      </c>
      <c r="J363" s="33">
        <v>2</v>
      </c>
      <c r="K363" s="34">
        <v>45</v>
      </c>
      <c r="L363" s="35">
        <v>90</v>
      </c>
      <c r="M363" s="36" t="s">
        <v>32</v>
      </c>
      <c r="N363" s="37">
        <v>1</v>
      </c>
      <c r="O363" s="35">
        <v>90</v>
      </c>
      <c r="P363" s="35" t="s">
        <v>33</v>
      </c>
      <c r="Q363" s="97">
        <v>45453</v>
      </c>
      <c r="R363" s="35" t="s">
        <v>62</v>
      </c>
      <c r="S363" s="38"/>
      <c r="T363" s="78">
        <v>1</v>
      </c>
      <c r="U363" s="78"/>
      <c r="V363" s="78"/>
      <c r="W363" s="78" t="s">
        <v>303</v>
      </c>
      <c r="X363" s="78" t="s">
        <v>839</v>
      </c>
      <c r="Y363" s="78">
        <v>1</v>
      </c>
      <c r="Z363" s="78" t="s">
        <v>48</v>
      </c>
      <c r="AA363" s="78" t="s">
        <v>225</v>
      </c>
      <c r="AB363" s="78">
        <v>2</v>
      </c>
    </row>
    <row r="364" spans="1:28" x14ac:dyDescent="0.25">
      <c r="A364" t="str">
        <f>IF(EXACT('BOM A320 FFS'!B483,obsoleta!D364),"OK","ERROR")</f>
        <v>ERROR</v>
      </c>
      <c r="C364" s="31" t="s">
        <v>314</v>
      </c>
      <c r="D364" s="71">
        <v>1204205530021</v>
      </c>
      <c r="E364" s="71"/>
      <c r="F364" s="32" t="s">
        <v>783</v>
      </c>
      <c r="G364" s="32" t="s">
        <v>908</v>
      </c>
      <c r="H364" s="32" t="s">
        <v>785</v>
      </c>
      <c r="I364" s="32" t="s">
        <v>586</v>
      </c>
      <c r="J364" s="33">
        <v>2</v>
      </c>
      <c r="K364" s="34">
        <v>45</v>
      </c>
      <c r="L364" s="35">
        <v>90</v>
      </c>
      <c r="M364" s="36" t="s">
        <v>32</v>
      </c>
      <c r="N364" s="37">
        <v>1</v>
      </c>
      <c r="O364" s="35">
        <v>90</v>
      </c>
      <c r="P364" s="35" t="s">
        <v>33</v>
      </c>
      <c r="Q364" s="97">
        <v>45453</v>
      </c>
      <c r="R364" s="35" t="s">
        <v>62</v>
      </c>
      <c r="S364" s="38"/>
      <c r="T364" s="78">
        <v>2</v>
      </c>
      <c r="U364" s="78"/>
      <c r="V364" s="78"/>
      <c r="W364" s="78" t="s">
        <v>303</v>
      </c>
      <c r="X364" s="78" t="s">
        <v>839</v>
      </c>
      <c r="Y364" s="78">
        <v>1</v>
      </c>
      <c r="Z364" s="78" t="s">
        <v>48</v>
      </c>
      <c r="AA364" s="78" t="s">
        <v>225</v>
      </c>
      <c r="AB364" s="78">
        <v>2</v>
      </c>
    </row>
    <row r="365" spans="1:28" x14ac:dyDescent="0.25">
      <c r="A365" t="str">
        <f>IF(EXACT('BOM A320 FFS'!B484,obsoleta!D365),"OK","ERROR")</f>
        <v>ERROR</v>
      </c>
      <c r="C365" s="31" t="s">
        <v>314</v>
      </c>
      <c r="D365" s="71">
        <v>1204305530820</v>
      </c>
      <c r="E365" s="71"/>
      <c r="F365" s="32" t="s">
        <v>783</v>
      </c>
      <c r="G365" s="32" t="s">
        <v>979</v>
      </c>
      <c r="H365" s="32" t="s">
        <v>785</v>
      </c>
      <c r="I365" s="32" t="s">
        <v>586</v>
      </c>
      <c r="J365" s="33">
        <v>1</v>
      </c>
      <c r="K365" s="34">
        <v>45</v>
      </c>
      <c r="L365" s="35">
        <v>45</v>
      </c>
      <c r="M365" s="36" t="s">
        <v>32</v>
      </c>
      <c r="N365" s="37">
        <v>1</v>
      </c>
      <c r="O365" s="35">
        <v>45</v>
      </c>
      <c r="P365" s="35" t="s">
        <v>33</v>
      </c>
      <c r="Q365" s="97">
        <v>45453</v>
      </c>
      <c r="R365" s="35" t="s">
        <v>62</v>
      </c>
      <c r="S365" s="38"/>
      <c r="T365" s="78">
        <v>1</v>
      </c>
      <c r="U365" s="78"/>
      <c r="V365" s="78"/>
      <c r="W365" s="78" t="s">
        <v>303</v>
      </c>
      <c r="X365" s="78" t="s">
        <v>839</v>
      </c>
      <c r="Y365" s="78">
        <v>1</v>
      </c>
      <c r="Z365" s="78" t="s">
        <v>48</v>
      </c>
      <c r="AA365" s="78" t="s">
        <v>225</v>
      </c>
      <c r="AB365" s="78">
        <v>1</v>
      </c>
    </row>
    <row r="366" spans="1:28" x14ac:dyDescent="0.25">
      <c r="A366" t="str">
        <f>IF(EXACT('BOM A320 FFS'!B485,obsoleta!D366),"OK","ERROR")</f>
        <v>ERROR</v>
      </c>
      <c r="C366" s="31" t="s">
        <v>314</v>
      </c>
      <c r="D366" s="71">
        <v>1214205530820</v>
      </c>
      <c r="E366" s="71"/>
      <c r="F366" s="32" t="s">
        <v>783</v>
      </c>
      <c r="G366" s="32" t="s">
        <v>981</v>
      </c>
      <c r="H366" s="32" t="s">
        <v>785</v>
      </c>
      <c r="I366" s="32" t="s">
        <v>586</v>
      </c>
      <c r="J366" s="33">
        <v>1</v>
      </c>
      <c r="K366" s="34">
        <v>45</v>
      </c>
      <c r="L366" s="35">
        <v>45</v>
      </c>
      <c r="M366" s="36" t="s">
        <v>32</v>
      </c>
      <c r="N366" s="37">
        <v>1</v>
      </c>
      <c r="O366" s="35">
        <v>45</v>
      </c>
      <c r="P366" s="35" t="s">
        <v>33</v>
      </c>
      <c r="Q366" s="97">
        <v>45453</v>
      </c>
      <c r="R366" s="35" t="s">
        <v>62</v>
      </c>
      <c r="S366" s="38"/>
      <c r="T366" s="78">
        <v>2</v>
      </c>
      <c r="U366" s="78"/>
      <c r="V366" s="78"/>
      <c r="W366" s="78" t="s">
        <v>303</v>
      </c>
      <c r="X366" s="78" t="s">
        <v>839</v>
      </c>
      <c r="Y366" s="78">
        <v>1</v>
      </c>
      <c r="Z366" s="78" t="s">
        <v>48</v>
      </c>
      <c r="AA366" s="78" t="s">
        <v>225</v>
      </c>
      <c r="AB366" s="78">
        <v>1</v>
      </c>
    </row>
    <row r="367" spans="1:28" x14ac:dyDescent="0.25">
      <c r="A367" t="str">
        <f>IF(EXACT('BOM A320 FFS'!B486,obsoleta!D367),"OK","ERROR")</f>
        <v>ERROR</v>
      </c>
      <c r="C367" s="31" t="s">
        <v>314</v>
      </c>
      <c r="D367" s="71">
        <v>1214305530821</v>
      </c>
      <c r="E367" s="71"/>
      <c r="F367" s="32" t="s">
        <v>783</v>
      </c>
      <c r="G367" s="32" t="s">
        <v>804</v>
      </c>
      <c r="H367" s="32" t="s">
        <v>785</v>
      </c>
      <c r="I367" s="32" t="s">
        <v>586</v>
      </c>
      <c r="J367" s="33">
        <v>17</v>
      </c>
      <c r="K367" s="34">
        <v>45</v>
      </c>
      <c r="L367" s="35">
        <v>765</v>
      </c>
      <c r="M367" s="36" t="s">
        <v>32</v>
      </c>
      <c r="N367" s="37">
        <v>1</v>
      </c>
      <c r="O367" s="35">
        <v>765</v>
      </c>
      <c r="P367" s="35" t="s">
        <v>33</v>
      </c>
      <c r="Q367" s="97">
        <v>45453</v>
      </c>
      <c r="R367" s="35" t="s">
        <v>62</v>
      </c>
      <c r="S367" s="38"/>
      <c r="T367" s="78">
        <v>1</v>
      </c>
      <c r="U367" s="78"/>
      <c r="V367" s="78"/>
      <c r="W367" s="78" t="s">
        <v>303</v>
      </c>
      <c r="X367" s="78" t="s">
        <v>839</v>
      </c>
      <c r="Y367" s="78">
        <v>1</v>
      </c>
      <c r="Z367" s="78" t="s">
        <v>48</v>
      </c>
      <c r="AA367" s="78" t="s">
        <v>225</v>
      </c>
      <c r="AB367" s="78">
        <v>16</v>
      </c>
    </row>
    <row r="368" spans="1:28" x14ac:dyDescent="0.25">
      <c r="A368" t="str">
        <f>IF(EXACT('BOM A320 FFS'!B487,obsoleta!D368),"OK","ERROR")</f>
        <v>ERROR</v>
      </c>
      <c r="C368" s="31" t="s">
        <v>314</v>
      </c>
      <c r="D368" s="71">
        <v>1204205530820</v>
      </c>
      <c r="E368" s="71"/>
      <c r="F368" s="32" t="s">
        <v>783</v>
      </c>
      <c r="G368" s="32" t="s">
        <v>810</v>
      </c>
      <c r="H368" s="32" t="s">
        <v>785</v>
      </c>
      <c r="I368" s="32" t="s">
        <v>586</v>
      </c>
      <c r="J368" s="33">
        <v>14</v>
      </c>
      <c r="K368" s="34">
        <v>45</v>
      </c>
      <c r="L368" s="35">
        <v>630</v>
      </c>
      <c r="M368" s="36" t="s">
        <v>32</v>
      </c>
      <c r="N368" s="37">
        <v>1</v>
      </c>
      <c r="O368" s="35">
        <v>630</v>
      </c>
      <c r="P368" s="35" t="s">
        <v>33</v>
      </c>
      <c r="Q368" s="97">
        <v>45453</v>
      </c>
      <c r="R368" s="35" t="s">
        <v>62</v>
      </c>
      <c r="S368" s="38"/>
      <c r="T368" s="78">
        <v>2</v>
      </c>
      <c r="U368" s="78"/>
      <c r="V368" s="78"/>
      <c r="W368" s="78" t="s">
        <v>303</v>
      </c>
      <c r="X368" s="78" t="s">
        <v>839</v>
      </c>
      <c r="Y368" s="78">
        <v>1</v>
      </c>
      <c r="Z368" s="78" t="s">
        <v>48</v>
      </c>
      <c r="AA368" s="78" t="s">
        <v>225</v>
      </c>
      <c r="AB368" s="78">
        <v>16</v>
      </c>
    </row>
    <row r="369" spans="1:28" x14ac:dyDescent="0.25">
      <c r="A369" t="str">
        <f>IF(EXACT('BOM A320 FFS'!B488,obsoleta!D369),"OK","ERROR")</f>
        <v>ERROR</v>
      </c>
      <c r="C369" s="71" t="s">
        <v>314</v>
      </c>
      <c r="D369" s="71">
        <v>1214002432621</v>
      </c>
      <c r="E369" s="71"/>
      <c r="F369" s="32" t="s">
        <v>1001</v>
      </c>
      <c r="G369" s="32" t="s">
        <v>1002</v>
      </c>
      <c r="H369" s="32" t="s">
        <v>785</v>
      </c>
      <c r="I369" s="32" t="s">
        <v>586</v>
      </c>
      <c r="J369" s="33">
        <v>1</v>
      </c>
      <c r="K369" s="34">
        <v>45</v>
      </c>
      <c r="L369" s="35">
        <v>45</v>
      </c>
      <c r="M369" s="36" t="s">
        <v>32</v>
      </c>
      <c r="N369" s="37">
        <v>1</v>
      </c>
      <c r="O369" s="35">
        <v>45</v>
      </c>
      <c r="P369" s="35" t="s">
        <v>33</v>
      </c>
      <c r="Q369" s="97">
        <v>45453</v>
      </c>
      <c r="R369" s="35" t="s">
        <v>62</v>
      </c>
      <c r="S369" s="38"/>
      <c r="T369" s="78">
        <v>2</v>
      </c>
      <c r="U369" s="78"/>
      <c r="V369" s="78"/>
      <c r="W369" s="78" t="s">
        <v>303</v>
      </c>
      <c r="X369" s="78" t="s">
        <v>839</v>
      </c>
      <c r="Y369" s="78">
        <v>1</v>
      </c>
      <c r="Z369" s="78" t="s">
        <v>48</v>
      </c>
      <c r="AA369" s="78" t="s">
        <v>225</v>
      </c>
      <c r="AB369" s="78">
        <v>1</v>
      </c>
    </row>
    <row r="370" spans="1:28" x14ac:dyDescent="0.25">
      <c r="A370" t="str">
        <f>IF(EXACT('BOM A320 FFS'!B489,obsoleta!D370),"OK","ERROR")</f>
        <v>ERROR</v>
      </c>
      <c r="C370" s="71" t="s">
        <v>314</v>
      </c>
      <c r="D370" s="71">
        <v>1214002432622</v>
      </c>
      <c r="E370" s="71"/>
      <c r="F370" s="32" t="s">
        <v>1001</v>
      </c>
      <c r="G370" s="32" t="s">
        <v>1004</v>
      </c>
      <c r="H370" s="32" t="s">
        <v>785</v>
      </c>
      <c r="I370" s="32" t="s">
        <v>586</v>
      </c>
      <c r="J370" s="33">
        <v>1</v>
      </c>
      <c r="K370" s="34">
        <v>45</v>
      </c>
      <c r="L370" s="35">
        <v>45</v>
      </c>
      <c r="M370" s="36" t="s">
        <v>32</v>
      </c>
      <c r="N370" s="37">
        <v>1</v>
      </c>
      <c r="O370" s="35">
        <v>45</v>
      </c>
      <c r="P370" s="35" t="s">
        <v>33</v>
      </c>
      <c r="Q370" s="97">
        <v>45453</v>
      </c>
      <c r="R370" s="35" t="s">
        <v>62</v>
      </c>
      <c r="S370" s="38"/>
      <c r="T370" s="78">
        <v>2</v>
      </c>
      <c r="U370" s="78"/>
      <c r="V370" s="78"/>
      <c r="W370" s="78" t="s">
        <v>303</v>
      </c>
      <c r="X370" s="78" t="s">
        <v>839</v>
      </c>
      <c r="Y370" s="78">
        <v>1</v>
      </c>
      <c r="Z370" s="78" t="s">
        <v>48</v>
      </c>
      <c r="AA370" s="78" t="s">
        <v>225</v>
      </c>
      <c r="AB370" s="78">
        <v>1</v>
      </c>
    </row>
    <row r="371" spans="1:28" x14ac:dyDescent="0.25">
      <c r="A371" t="str">
        <f>IF(EXACT('BOM A320 FFS'!B490,obsoleta!D371),"OK","ERROR")</f>
        <v>ERROR</v>
      </c>
      <c r="C371" s="71" t="s">
        <v>314</v>
      </c>
      <c r="D371" s="71">
        <v>1214105330530</v>
      </c>
      <c r="E371" s="71"/>
      <c r="F371" s="32" t="s">
        <v>1001</v>
      </c>
      <c r="G371" s="32" t="s">
        <v>1006</v>
      </c>
      <c r="H371" s="32" t="s">
        <v>785</v>
      </c>
      <c r="I371" s="32" t="s">
        <v>586</v>
      </c>
      <c r="J371" s="33">
        <v>1</v>
      </c>
      <c r="K371" s="34">
        <v>45</v>
      </c>
      <c r="L371" s="35">
        <v>45</v>
      </c>
      <c r="M371" s="36" t="s">
        <v>32</v>
      </c>
      <c r="N371" s="37">
        <v>1</v>
      </c>
      <c r="O371" s="35">
        <v>45</v>
      </c>
      <c r="P371" s="35" t="s">
        <v>33</v>
      </c>
      <c r="Q371" s="97">
        <v>45453</v>
      </c>
      <c r="R371" s="35" t="s">
        <v>62</v>
      </c>
      <c r="S371" s="38"/>
      <c r="T371" s="78">
        <v>2</v>
      </c>
      <c r="U371" s="78"/>
      <c r="V371" s="78"/>
      <c r="W371" s="78" t="s">
        <v>303</v>
      </c>
      <c r="X371" s="78" t="s">
        <v>839</v>
      </c>
      <c r="Y371" s="78">
        <v>1</v>
      </c>
      <c r="Z371" s="78" t="s">
        <v>48</v>
      </c>
      <c r="AA371" s="78" t="s">
        <v>225</v>
      </c>
      <c r="AB371" s="78">
        <v>1</v>
      </c>
    </row>
    <row r="372" spans="1:28" x14ac:dyDescent="0.25">
      <c r="A372" t="str">
        <f>IF(EXACT('BOM A320 FFS'!B491,obsoleta!D372),"OK","ERROR")</f>
        <v>ERROR</v>
      </c>
      <c r="C372" s="31" t="s">
        <v>314</v>
      </c>
      <c r="D372" s="71">
        <v>1214101033620</v>
      </c>
      <c r="E372" s="71"/>
      <c r="F372" s="32" t="s">
        <v>795</v>
      </c>
      <c r="G372" s="32" t="s">
        <v>910</v>
      </c>
      <c r="H372" s="32" t="s">
        <v>785</v>
      </c>
      <c r="I372" s="32" t="s">
        <v>586</v>
      </c>
      <c r="J372" s="33">
        <v>2</v>
      </c>
      <c r="K372" s="34">
        <v>45</v>
      </c>
      <c r="L372" s="35">
        <v>90</v>
      </c>
      <c r="M372" s="36" t="s">
        <v>32</v>
      </c>
      <c r="N372" s="37">
        <v>1</v>
      </c>
      <c r="O372" s="35">
        <v>90</v>
      </c>
      <c r="P372" s="35" t="s">
        <v>33</v>
      </c>
      <c r="Q372" s="97">
        <v>45453</v>
      </c>
      <c r="R372" s="35" t="s">
        <v>62</v>
      </c>
      <c r="S372" s="38"/>
      <c r="T372" s="78">
        <v>2</v>
      </c>
      <c r="U372" s="78"/>
      <c r="V372" s="78"/>
      <c r="W372" s="78" t="s">
        <v>303</v>
      </c>
      <c r="X372" s="78" t="s">
        <v>839</v>
      </c>
      <c r="Y372" s="78">
        <v>1</v>
      </c>
      <c r="Z372" s="78" t="s">
        <v>48</v>
      </c>
      <c r="AA372" s="78" t="s">
        <v>225</v>
      </c>
      <c r="AB372" s="78">
        <v>2</v>
      </c>
    </row>
    <row r="373" spans="1:28" x14ac:dyDescent="0.25">
      <c r="A373" t="str">
        <f>IF(EXACT('BOM A320 FFS'!B492,obsoleta!D373),"OK","ERROR")</f>
        <v>ERROR</v>
      </c>
      <c r="C373" s="31" t="s">
        <v>314</v>
      </c>
      <c r="D373" s="71">
        <v>1214101933621</v>
      </c>
      <c r="E373" s="71"/>
      <c r="F373" s="32" t="s">
        <v>795</v>
      </c>
      <c r="G373" s="32" t="s">
        <v>983</v>
      </c>
      <c r="H373" s="32" t="s">
        <v>785</v>
      </c>
      <c r="I373" s="32" t="s">
        <v>586</v>
      </c>
      <c r="J373" s="33">
        <v>1</v>
      </c>
      <c r="K373" s="34">
        <v>45</v>
      </c>
      <c r="L373" s="35">
        <v>45</v>
      </c>
      <c r="M373" s="36" t="s">
        <v>32</v>
      </c>
      <c r="N373" s="37">
        <v>1</v>
      </c>
      <c r="O373" s="35">
        <v>45</v>
      </c>
      <c r="P373" s="35" t="s">
        <v>33</v>
      </c>
      <c r="Q373" s="97">
        <v>45453</v>
      </c>
      <c r="R373" s="35" t="s">
        <v>62</v>
      </c>
      <c r="S373" s="38"/>
      <c r="T373" s="78">
        <v>2</v>
      </c>
      <c r="U373" s="78"/>
      <c r="V373" s="78"/>
      <c r="W373" s="78" t="s">
        <v>303</v>
      </c>
      <c r="X373" s="78" t="s">
        <v>839</v>
      </c>
      <c r="Y373" s="78">
        <v>1</v>
      </c>
      <c r="Z373" s="78" t="s">
        <v>48</v>
      </c>
      <c r="AA373" s="78" t="s">
        <v>225</v>
      </c>
      <c r="AB373" s="78">
        <v>1</v>
      </c>
    </row>
    <row r="374" spans="1:28" x14ac:dyDescent="0.25">
      <c r="A374" t="str">
        <f>IF(EXACT('BOM A320 FFS'!B494,obsoleta!D374),"OK","ERROR")</f>
        <v>ERROR</v>
      </c>
      <c r="C374" s="31" t="s">
        <v>314</v>
      </c>
      <c r="D374" s="71">
        <v>1204101933620</v>
      </c>
      <c r="E374" s="71"/>
      <c r="F374" s="32" t="s">
        <v>795</v>
      </c>
      <c r="G374" s="32" t="s">
        <v>912</v>
      </c>
      <c r="H374" s="32" t="s">
        <v>785</v>
      </c>
      <c r="I374" s="32" t="s">
        <v>586</v>
      </c>
      <c r="J374" s="33">
        <v>2</v>
      </c>
      <c r="K374" s="34">
        <v>45</v>
      </c>
      <c r="L374" s="35">
        <v>90</v>
      </c>
      <c r="M374" s="36" t="s">
        <v>32</v>
      </c>
      <c r="N374" s="37">
        <v>1</v>
      </c>
      <c r="O374" s="35">
        <v>90</v>
      </c>
      <c r="P374" s="35" t="s">
        <v>33</v>
      </c>
      <c r="Q374" s="97">
        <v>45453</v>
      </c>
      <c r="R374" s="35" t="s">
        <v>62</v>
      </c>
      <c r="S374" s="38"/>
      <c r="T374" s="78">
        <v>2</v>
      </c>
      <c r="U374" s="78"/>
      <c r="V374" s="78"/>
      <c r="W374" s="78" t="s">
        <v>303</v>
      </c>
      <c r="X374" s="78" t="s">
        <v>839</v>
      </c>
      <c r="Y374" s="78">
        <v>1</v>
      </c>
      <c r="Z374" s="78" t="s">
        <v>48</v>
      </c>
      <c r="AA374" s="78" t="s">
        <v>225</v>
      </c>
      <c r="AB374" s="78">
        <v>2</v>
      </c>
    </row>
    <row r="375" spans="1:28" x14ac:dyDescent="0.25">
      <c r="A375" t="str">
        <f>IF(EXACT('BOM A320 FFS'!B495,obsoleta!D375),"OK","ERROR")</f>
        <v>ERROR</v>
      </c>
      <c r="C375" s="31" t="s">
        <v>314</v>
      </c>
      <c r="D375" s="71">
        <v>1214100333620</v>
      </c>
      <c r="E375" s="71"/>
      <c r="F375" s="32" t="s">
        <v>795</v>
      </c>
      <c r="G375" s="32" t="s">
        <v>796</v>
      </c>
      <c r="H375" s="32" t="s">
        <v>785</v>
      </c>
      <c r="I375" s="32" t="s">
        <v>586</v>
      </c>
      <c r="J375" s="33">
        <v>20</v>
      </c>
      <c r="K375" s="34">
        <v>45</v>
      </c>
      <c r="L375" s="35">
        <v>900</v>
      </c>
      <c r="M375" s="36" t="s">
        <v>32</v>
      </c>
      <c r="N375" s="37">
        <v>1</v>
      </c>
      <c r="O375" s="35">
        <v>900</v>
      </c>
      <c r="P375" s="35" t="s">
        <v>33</v>
      </c>
      <c r="Q375" s="97">
        <v>45453</v>
      </c>
      <c r="R375" s="35" t="s">
        <v>62</v>
      </c>
      <c r="S375" s="38"/>
      <c r="T375" s="78">
        <v>2</v>
      </c>
      <c r="U375" s="78"/>
      <c r="V375" s="78"/>
      <c r="W375" s="78" t="s">
        <v>303</v>
      </c>
      <c r="X375" s="78" t="s">
        <v>839</v>
      </c>
      <c r="Y375" s="78">
        <v>1</v>
      </c>
      <c r="Z375" s="78" t="s">
        <v>48</v>
      </c>
      <c r="AA375" s="78" t="s">
        <v>225</v>
      </c>
      <c r="AB375" s="78">
        <v>20</v>
      </c>
    </row>
    <row r="376" spans="1:28" x14ac:dyDescent="0.25">
      <c r="A376" t="str">
        <f>IF(EXACT('BOM A320 FFS'!B496,obsoleta!D376),"OK","ERROR")</f>
        <v>ERROR</v>
      </c>
      <c r="C376" s="31" t="s">
        <v>314</v>
      </c>
      <c r="D376" s="71">
        <v>1204000333720</v>
      </c>
      <c r="E376" s="71"/>
      <c r="F376" s="32" t="s">
        <v>795</v>
      </c>
      <c r="G376" s="32" t="s">
        <v>798</v>
      </c>
      <c r="H376" s="32" t="s">
        <v>785</v>
      </c>
      <c r="I376" s="32" t="s">
        <v>586</v>
      </c>
      <c r="J376" s="33">
        <v>20</v>
      </c>
      <c r="K376" s="34">
        <v>45</v>
      </c>
      <c r="L376" s="35">
        <v>900</v>
      </c>
      <c r="M376" s="36" t="s">
        <v>32</v>
      </c>
      <c r="N376" s="37">
        <v>1</v>
      </c>
      <c r="O376" s="35">
        <v>900</v>
      </c>
      <c r="P376" s="35" t="s">
        <v>33</v>
      </c>
      <c r="Q376" s="97">
        <v>45453</v>
      </c>
      <c r="R376" s="35" t="s">
        <v>62</v>
      </c>
      <c r="S376" s="38"/>
      <c r="T376" s="78">
        <v>2</v>
      </c>
      <c r="U376" s="78"/>
      <c r="V376" s="78"/>
      <c r="W376" s="78" t="s">
        <v>303</v>
      </c>
      <c r="X376" s="78" t="s">
        <v>839</v>
      </c>
      <c r="Y376" s="78">
        <v>1</v>
      </c>
      <c r="Z376" s="78" t="s">
        <v>48</v>
      </c>
      <c r="AA376" s="78" t="s">
        <v>225</v>
      </c>
      <c r="AB376" s="78">
        <v>20</v>
      </c>
    </row>
    <row r="377" spans="1:28" x14ac:dyDescent="0.25">
      <c r="A377" t="str">
        <f>IF(EXACT('BOM A320 FFS'!B497,obsoleta!D377),"OK","ERROR")</f>
        <v>ERROR</v>
      </c>
      <c r="C377" s="31" t="s">
        <v>314</v>
      </c>
      <c r="D377" s="71">
        <v>1204100333620</v>
      </c>
      <c r="E377" s="71"/>
      <c r="F377" s="32" t="s">
        <v>795</v>
      </c>
      <c r="G377" s="32" t="s">
        <v>800</v>
      </c>
      <c r="H377" s="32" t="s">
        <v>785</v>
      </c>
      <c r="I377" s="32" t="s">
        <v>586</v>
      </c>
      <c r="J377" s="33">
        <v>20</v>
      </c>
      <c r="K377" s="34">
        <v>45</v>
      </c>
      <c r="L377" s="35">
        <v>900</v>
      </c>
      <c r="M377" s="36" t="s">
        <v>32</v>
      </c>
      <c r="N377" s="37">
        <v>1</v>
      </c>
      <c r="O377" s="35">
        <v>900</v>
      </c>
      <c r="P377" s="35" t="s">
        <v>33</v>
      </c>
      <c r="Q377" s="97">
        <v>45453</v>
      </c>
      <c r="R377" s="35" t="s">
        <v>62</v>
      </c>
      <c r="S377" s="38"/>
      <c r="T377" s="78">
        <v>2</v>
      </c>
      <c r="U377" s="78"/>
      <c r="V377" s="78"/>
      <c r="W377" s="78" t="s">
        <v>303</v>
      </c>
      <c r="X377" s="78" t="s">
        <v>839</v>
      </c>
      <c r="Y377" s="78">
        <v>1</v>
      </c>
      <c r="Z377" s="78" t="s">
        <v>48</v>
      </c>
      <c r="AA377" s="78" t="s">
        <v>225</v>
      </c>
      <c r="AB377" s="78">
        <v>20</v>
      </c>
    </row>
    <row r="378" spans="1:28" x14ac:dyDescent="0.25">
      <c r="A378" t="str">
        <f>IF(EXACT('BOM A320 FFS'!B498,obsoleta!D378),"OK","ERROR")</f>
        <v>ERROR</v>
      </c>
      <c r="C378" s="31" t="s">
        <v>314</v>
      </c>
      <c r="D378" s="71">
        <v>1214000333721</v>
      </c>
      <c r="E378" s="71"/>
      <c r="F378" s="32" t="s">
        <v>795</v>
      </c>
      <c r="G378" s="32" t="s">
        <v>802</v>
      </c>
      <c r="H378" s="32" t="s">
        <v>785</v>
      </c>
      <c r="I378" s="32" t="s">
        <v>586</v>
      </c>
      <c r="J378" s="33">
        <v>20</v>
      </c>
      <c r="K378" s="34">
        <v>45</v>
      </c>
      <c r="L378" s="35">
        <v>900</v>
      </c>
      <c r="M378" s="36" t="s">
        <v>32</v>
      </c>
      <c r="N378" s="37">
        <v>1</v>
      </c>
      <c r="O378" s="35">
        <v>900</v>
      </c>
      <c r="P378" s="35" t="s">
        <v>33</v>
      </c>
      <c r="Q378" s="97">
        <v>45453</v>
      </c>
      <c r="R378" s="35" t="s">
        <v>62</v>
      </c>
      <c r="S378" s="38"/>
      <c r="T378" s="78">
        <v>2</v>
      </c>
      <c r="U378" s="78"/>
      <c r="V378" s="78"/>
      <c r="W378" s="78" t="s">
        <v>303</v>
      </c>
      <c r="X378" s="78" t="s">
        <v>839</v>
      </c>
      <c r="Y378" s="78">
        <v>1</v>
      </c>
      <c r="Z378" s="78" t="s">
        <v>48</v>
      </c>
      <c r="AA378" s="78" t="s">
        <v>225</v>
      </c>
      <c r="AB378" s="78">
        <v>20</v>
      </c>
    </row>
    <row r="379" spans="1:28" x14ac:dyDescent="0.25">
      <c r="A379" t="str">
        <f>IF(EXACT('BOM A320 FFS'!B499,obsoleta!D379),"OK","ERROR")</f>
        <v>ERROR</v>
      </c>
      <c r="C379" s="31" t="s">
        <v>314</v>
      </c>
      <c r="D379" s="71">
        <v>1214000633721</v>
      </c>
      <c r="E379" s="71"/>
      <c r="F379" s="32" t="s">
        <v>795</v>
      </c>
      <c r="G379" s="32" t="s">
        <v>985</v>
      </c>
      <c r="H379" s="32" t="s">
        <v>785</v>
      </c>
      <c r="I379" s="32" t="s">
        <v>586</v>
      </c>
      <c r="J379" s="33">
        <v>1</v>
      </c>
      <c r="K379" s="34">
        <v>45</v>
      </c>
      <c r="L379" s="35">
        <v>45</v>
      </c>
      <c r="M379" s="36" t="s">
        <v>32</v>
      </c>
      <c r="N379" s="37">
        <v>1</v>
      </c>
      <c r="O379" s="35">
        <v>45</v>
      </c>
      <c r="P379" s="35" t="s">
        <v>33</v>
      </c>
      <c r="Q379" s="97">
        <v>45453</v>
      </c>
      <c r="R379" s="35" t="s">
        <v>62</v>
      </c>
      <c r="S379" s="38"/>
      <c r="T379" s="78">
        <v>2</v>
      </c>
      <c r="U379" s="78"/>
      <c r="V379" s="78"/>
      <c r="W379" s="78" t="s">
        <v>303</v>
      </c>
      <c r="X379" s="78" t="s">
        <v>839</v>
      </c>
      <c r="Y379" s="78">
        <v>1</v>
      </c>
      <c r="Z379" s="78" t="s">
        <v>48</v>
      </c>
      <c r="AA379" s="78" t="s">
        <v>225</v>
      </c>
      <c r="AB379" s="78">
        <v>1</v>
      </c>
    </row>
    <row r="380" spans="1:28" x14ac:dyDescent="0.25">
      <c r="A380" t="str">
        <f>IF(EXACT('BOM A320 FFS'!B500,obsoleta!D380),"OK","ERROR")</f>
        <v>ERROR</v>
      </c>
      <c r="C380" s="31" t="s">
        <v>314</v>
      </c>
      <c r="D380" s="71">
        <v>1214001033721</v>
      </c>
      <c r="E380" s="71"/>
      <c r="F380" s="32" t="s">
        <v>795</v>
      </c>
      <c r="G380" s="32" t="s">
        <v>815</v>
      </c>
      <c r="H380" s="32" t="s">
        <v>785</v>
      </c>
      <c r="I380" s="32" t="s">
        <v>586</v>
      </c>
      <c r="J380" s="33">
        <v>10</v>
      </c>
      <c r="K380" s="34">
        <v>45</v>
      </c>
      <c r="L380" s="35">
        <v>450</v>
      </c>
      <c r="M380" s="36" t="s">
        <v>32</v>
      </c>
      <c r="N380" s="37">
        <v>1</v>
      </c>
      <c r="O380" s="35">
        <v>450</v>
      </c>
      <c r="P380" s="35" t="s">
        <v>33</v>
      </c>
      <c r="Q380" s="97">
        <v>45453</v>
      </c>
      <c r="R380" s="35" t="s">
        <v>62</v>
      </c>
      <c r="S380" s="38"/>
      <c r="T380" s="78">
        <v>2</v>
      </c>
      <c r="U380" s="78"/>
      <c r="V380" s="78"/>
      <c r="W380" s="78" t="s">
        <v>303</v>
      </c>
      <c r="X380" s="78" t="s">
        <v>839</v>
      </c>
      <c r="Y380" s="78">
        <v>1</v>
      </c>
      <c r="Z380" s="78" t="s">
        <v>48</v>
      </c>
      <c r="AA380" s="78" t="s">
        <v>225</v>
      </c>
      <c r="AB380" s="78">
        <v>10</v>
      </c>
    </row>
    <row r="381" spans="1:28" x14ac:dyDescent="0.25">
      <c r="A381" t="str">
        <f>IF(EXACT('BOM A320 FFS'!B501,obsoleta!D381),"OK","ERROR")</f>
        <v>ERROR</v>
      </c>
      <c r="C381" s="31" t="s">
        <v>314</v>
      </c>
      <c r="D381" s="71">
        <v>1214001933721</v>
      </c>
      <c r="E381" s="71"/>
      <c r="F381" s="32" t="s">
        <v>795</v>
      </c>
      <c r="G381" s="32" t="s">
        <v>987</v>
      </c>
      <c r="H381" s="32" t="s">
        <v>785</v>
      </c>
      <c r="I381" s="32" t="s">
        <v>586</v>
      </c>
      <c r="J381" s="33">
        <v>1</v>
      </c>
      <c r="K381" s="34">
        <v>45</v>
      </c>
      <c r="L381" s="35">
        <v>45</v>
      </c>
      <c r="M381" s="36" t="s">
        <v>32</v>
      </c>
      <c r="N381" s="37">
        <v>1</v>
      </c>
      <c r="O381" s="35">
        <v>45</v>
      </c>
      <c r="P381" s="35" t="s">
        <v>33</v>
      </c>
      <c r="Q381" s="97">
        <v>45453</v>
      </c>
      <c r="R381" s="35" t="s">
        <v>62</v>
      </c>
      <c r="S381" s="38"/>
      <c r="T381" s="78">
        <v>2</v>
      </c>
      <c r="U381" s="78"/>
      <c r="V381" s="78"/>
      <c r="W381" s="78" t="s">
        <v>303</v>
      </c>
      <c r="X381" s="78" t="s">
        <v>839</v>
      </c>
      <c r="Y381" s="78">
        <v>1</v>
      </c>
      <c r="Z381" s="78" t="s">
        <v>48</v>
      </c>
      <c r="AA381" s="78" t="s">
        <v>225</v>
      </c>
      <c r="AB381" s="78">
        <v>1</v>
      </c>
    </row>
    <row r="382" spans="1:28" x14ac:dyDescent="0.25">
      <c r="A382" t="str">
        <f>IF(EXACT('BOM A320 FFS'!B503,obsoleta!D382),"OK","ERROR")</f>
        <v>ERROR</v>
      </c>
      <c r="C382" s="31" t="s">
        <v>314</v>
      </c>
      <c r="D382" s="71">
        <v>1214001933722</v>
      </c>
      <c r="E382" s="71"/>
      <c r="F382" s="32" t="s">
        <v>795</v>
      </c>
      <c r="G382" s="32" t="s">
        <v>989</v>
      </c>
      <c r="H382" s="32" t="s">
        <v>785</v>
      </c>
      <c r="I382" s="32" t="s">
        <v>586</v>
      </c>
      <c r="J382" s="33">
        <v>1</v>
      </c>
      <c r="K382" s="34">
        <v>45</v>
      </c>
      <c r="L382" s="35">
        <v>45</v>
      </c>
      <c r="M382" s="36" t="s">
        <v>32</v>
      </c>
      <c r="N382" s="37">
        <v>1</v>
      </c>
      <c r="O382" s="35">
        <v>45</v>
      </c>
      <c r="P382" s="35" t="s">
        <v>33</v>
      </c>
      <c r="Q382" s="97">
        <v>45453</v>
      </c>
      <c r="R382" s="35" t="s">
        <v>62</v>
      </c>
      <c r="S382" s="38"/>
      <c r="T382" s="78">
        <v>2</v>
      </c>
      <c r="U382" s="78"/>
      <c r="V382" s="78"/>
      <c r="W382" s="78" t="s">
        <v>303</v>
      </c>
      <c r="X382" s="78" t="s">
        <v>839</v>
      </c>
      <c r="Y382" s="78">
        <v>1</v>
      </c>
      <c r="Z382" s="78" t="s">
        <v>48</v>
      </c>
      <c r="AA382" s="78" t="s">
        <v>225</v>
      </c>
      <c r="AB382" s="78">
        <v>1</v>
      </c>
    </row>
    <row r="383" spans="1:28" x14ac:dyDescent="0.25">
      <c r="A383" t="str">
        <f>IF(EXACT('BOM A320 FFS'!B506,obsoleta!D383),"OK","ERROR")</f>
        <v>ERROR</v>
      </c>
      <c r="C383" s="31" t="s">
        <v>314</v>
      </c>
      <c r="D383" s="71">
        <v>1214001933723</v>
      </c>
      <c r="E383" s="71"/>
      <c r="F383" s="32" t="s">
        <v>795</v>
      </c>
      <c r="G383" s="32" t="s">
        <v>853</v>
      </c>
      <c r="H383" s="32" t="s">
        <v>785</v>
      </c>
      <c r="I383" s="32" t="s">
        <v>586</v>
      </c>
      <c r="J383" s="33">
        <v>3</v>
      </c>
      <c r="K383" s="34">
        <v>45</v>
      </c>
      <c r="L383" s="35">
        <v>135</v>
      </c>
      <c r="M383" s="36" t="s">
        <v>32</v>
      </c>
      <c r="N383" s="37">
        <v>1</v>
      </c>
      <c r="O383" s="35">
        <v>135</v>
      </c>
      <c r="P383" s="35" t="s">
        <v>33</v>
      </c>
      <c r="Q383" s="97">
        <v>45453</v>
      </c>
      <c r="R383" s="35" t="s">
        <v>62</v>
      </c>
      <c r="S383" s="38"/>
      <c r="T383" s="78">
        <v>2</v>
      </c>
      <c r="U383" s="78"/>
      <c r="V383" s="78"/>
      <c r="W383" s="78" t="s">
        <v>303</v>
      </c>
      <c r="X383" s="78" t="s">
        <v>839</v>
      </c>
      <c r="Y383" s="78">
        <v>1</v>
      </c>
      <c r="Z383" s="78" t="s">
        <v>48</v>
      </c>
      <c r="AA383" s="78" t="s">
        <v>225</v>
      </c>
      <c r="AB383" s="78">
        <v>3</v>
      </c>
    </row>
    <row r="384" spans="1:28" x14ac:dyDescent="0.25">
      <c r="A384" t="str">
        <f>IF(EXACT('BOM A320 FFS'!B507,obsoleta!D384),"OK","ERROR")</f>
        <v>ERROR</v>
      </c>
      <c r="C384" s="31" t="s">
        <v>314</v>
      </c>
      <c r="D384" s="71">
        <v>1214002633727</v>
      </c>
      <c r="E384" s="71"/>
      <c r="F384" s="32" t="s">
        <v>795</v>
      </c>
      <c r="G384" s="32" t="s">
        <v>829</v>
      </c>
      <c r="H384" s="32" t="s">
        <v>785</v>
      </c>
      <c r="I384" s="32" t="s">
        <v>586</v>
      </c>
      <c r="J384" s="33">
        <v>5</v>
      </c>
      <c r="K384" s="34">
        <v>45</v>
      </c>
      <c r="L384" s="35">
        <v>225</v>
      </c>
      <c r="M384" s="36" t="s">
        <v>32</v>
      </c>
      <c r="N384" s="37">
        <v>1</v>
      </c>
      <c r="O384" s="35">
        <v>225</v>
      </c>
      <c r="P384" s="35" t="s">
        <v>33</v>
      </c>
      <c r="Q384" s="97">
        <v>45453</v>
      </c>
      <c r="R384" s="35" t="s">
        <v>62</v>
      </c>
      <c r="S384" s="38"/>
      <c r="T384" s="78">
        <v>2</v>
      </c>
      <c r="U384" s="78"/>
      <c r="V384" s="78"/>
      <c r="W384" s="78" t="s">
        <v>303</v>
      </c>
      <c r="X384" s="78" t="s">
        <v>839</v>
      </c>
      <c r="Y384" s="78">
        <v>1</v>
      </c>
      <c r="Z384" s="78" t="s">
        <v>48</v>
      </c>
      <c r="AA384" s="78" t="s">
        <v>225</v>
      </c>
      <c r="AB384" s="78">
        <v>5</v>
      </c>
    </row>
    <row r="385" spans="1:28" x14ac:dyDescent="0.25">
      <c r="A385" t="str">
        <f>IF(EXACT('BOM A320 FFS'!B509,obsoleta!D385),"OK","ERROR")</f>
        <v>ERROR</v>
      </c>
      <c r="C385" s="31" t="s">
        <v>314</v>
      </c>
      <c r="D385" s="71">
        <v>1214002633762</v>
      </c>
      <c r="E385" s="71"/>
      <c r="F385" s="32" t="s">
        <v>795</v>
      </c>
      <c r="G385" s="32" t="s">
        <v>991</v>
      </c>
      <c r="H385" s="32" t="s">
        <v>785</v>
      </c>
      <c r="I385" s="32" t="s">
        <v>586</v>
      </c>
      <c r="J385" s="33">
        <v>1</v>
      </c>
      <c r="K385" s="34">
        <v>45</v>
      </c>
      <c r="L385" s="35">
        <v>45</v>
      </c>
      <c r="M385" s="36" t="s">
        <v>32</v>
      </c>
      <c r="N385" s="37">
        <v>1</v>
      </c>
      <c r="O385" s="35">
        <v>45</v>
      </c>
      <c r="P385" s="35" t="s">
        <v>33</v>
      </c>
      <c r="Q385" s="97">
        <v>45453</v>
      </c>
      <c r="R385" s="35" t="s">
        <v>62</v>
      </c>
      <c r="S385" s="38"/>
      <c r="T385" s="78">
        <v>2</v>
      </c>
      <c r="U385" s="78"/>
      <c r="V385" s="78"/>
      <c r="W385" s="78" t="s">
        <v>303</v>
      </c>
      <c r="X385" s="78" t="s">
        <v>839</v>
      </c>
      <c r="Y385" s="78">
        <v>1</v>
      </c>
      <c r="Z385" s="78" t="s">
        <v>48</v>
      </c>
      <c r="AA385" s="78" t="s">
        <v>225</v>
      </c>
      <c r="AB385" s="78">
        <v>1</v>
      </c>
    </row>
    <row r="386" spans="1:28" x14ac:dyDescent="0.25">
      <c r="A386" t="str">
        <f>IF(EXACT('BOM A320 FFS'!B510,obsoleta!D386),"OK","ERROR")</f>
        <v>ERROR</v>
      </c>
      <c r="C386" s="31" t="s">
        <v>314</v>
      </c>
      <c r="D386" s="71">
        <v>1214002633742</v>
      </c>
      <c r="E386" s="71"/>
      <c r="F386" s="32" t="s">
        <v>795</v>
      </c>
      <c r="G386" s="32" t="s">
        <v>835</v>
      </c>
      <c r="H386" s="32" t="s">
        <v>785</v>
      </c>
      <c r="I386" s="32" t="s">
        <v>586</v>
      </c>
      <c r="J386" s="33">
        <v>4</v>
      </c>
      <c r="K386" s="34">
        <v>45</v>
      </c>
      <c r="L386" s="35">
        <v>180</v>
      </c>
      <c r="M386" s="36" t="s">
        <v>32</v>
      </c>
      <c r="N386" s="37">
        <v>1</v>
      </c>
      <c r="O386" s="35">
        <v>180</v>
      </c>
      <c r="P386" s="35" t="s">
        <v>33</v>
      </c>
      <c r="Q386" s="97">
        <v>45453</v>
      </c>
      <c r="R386" s="35" t="s">
        <v>62</v>
      </c>
      <c r="S386" s="38"/>
      <c r="T386" s="78">
        <v>2</v>
      </c>
      <c r="U386" s="78"/>
      <c r="V386" s="78"/>
      <c r="W386" s="78" t="s">
        <v>303</v>
      </c>
      <c r="X386" s="78" t="s">
        <v>839</v>
      </c>
      <c r="Y386" s="78">
        <v>1</v>
      </c>
      <c r="Z386" s="78" t="s">
        <v>48</v>
      </c>
      <c r="AA386" s="78" t="s">
        <v>225</v>
      </c>
      <c r="AB386" s="78">
        <v>4</v>
      </c>
    </row>
    <row r="387" spans="1:28" x14ac:dyDescent="0.25">
      <c r="A387" t="str">
        <f>IF(EXACT('BOM A320 FFS'!B512,obsoleta!D387),"OK","ERROR")</f>
        <v>ERROR</v>
      </c>
      <c r="C387" s="31" t="s">
        <v>314</v>
      </c>
      <c r="D387" s="71">
        <v>1214003233721</v>
      </c>
      <c r="E387" s="71"/>
      <c r="F387" s="32" t="s">
        <v>795</v>
      </c>
      <c r="G387" s="32" t="s">
        <v>914</v>
      </c>
      <c r="H387" s="32" t="s">
        <v>785</v>
      </c>
      <c r="I387" s="32" t="s">
        <v>586</v>
      </c>
      <c r="J387" s="33">
        <v>2</v>
      </c>
      <c r="K387" s="34">
        <v>45</v>
      </c>
      <c r="L387" s="35">
        <v>90</v>
      </c>
      <c r="M387" s="36" t="s">
        <v>32</v>
      </c>
      <c r="N387" s="37">
        <v>1</v>
      </c>
      <c r="O387" s="35">
        <v>90</v>
      </c>
      <c r="P387" s="35" t="s">
        <v>33</v>
      </c>
      <c r="Q387" s="97">
        <v>45453</v>
      </c>
      <c r="R387" s="35" t="s">
        <v>62</v>
      </c>
      <c r="S387" s="38"/>
      <c r="T387" s="78">
        <v>2</v>
      </c>
      <c r="U387" s="78"/>
      <c r="V387" s="78"/>
      <c r="W387" s="78" t="s">
        <v>303</v>
      </c>
      <c r="X387" s="78" t="s">
        <v>839</v>
      </c>
      <c r="Y387" s="78">
        <v>1</v>
      </c>
      <c r="Z387" s="78" t="s">
        <v>48</v>
      </c>
      <c r="AA387" s="78" t="s">
        <v>225</v>
      </c>
      <c r="AB387" s="78">
        <v>2</v>
      </c>
    </row>
    <row r="388" spans="1:28" x14ac:dyDescent="0.25">
      <c r="A388" t="str">
        <f>IF(EXACT('BOM A320 FFS'!B514,obsoleta!D388),"OK","ERROR")</f>
        <v>ERROR</v>
      </c>
      <c r="C388" s="31" t="s">
        <v>314</v>
      </c>
      <c r="D388" s="71">
        <v>1214003233761</v>
      </c>
      <c r="E388" s="71"/>
      <c r="F388" s="32" t="s">
        <v>795</v>
      </c>
      <c r="G388" s="32" t="s">
        <v>916</v>
      </c>
      <c r="H388" s="32" t="s">
        <v>785</v>
      </c>
      <c r="I388" s="32" t="s">
        <v>586</v>
      </c>
      <c r="J388" s="33">
        <v>2</v>
      </c>
      <c r="K388" s="34">
        <v>45</v>
      </c>
      <c r="L388" s="35">
        <v>90</v>
      </c>
      <c r="M388" s="36" t="s">
        <v>32</v>
      </c>
      <c r="N388" s="37">
        <v>1</v>
      </c>
      <c r="O388" s="35">
        <v>90</v>
      </c>
      <c r="P388" s="35" t="s">
        <v>33</v>
      </c>
      <c r="Q388" s="97">
        <v>45453</v>
      </c>
      <c r="R388" s="35" t="s">
        <v>62</v>
      </c>
      <c r="S388" s="38"/>
      <c r="T388" s="78">
        <v>2</v>
      </c>
      <c r="U388" s="78"/>
      <c r="V388" s="78"/>
      <c r="W388" s="78" t="s">
        <v>303</v>
      </c>
      <c r="X388" s="78" t="s">
        <v>839</v>
      </c>
      <c r="Y388" s="78">
        <v>1</v>
      </c>
      <c r="Z388" s="78" t="s">
        <v>48</v>
      </c>
      <c r="AA388" s="78" t="s">
        <v>225</v>
      </c>
      <c r="AB388" s="78">
        <v>2</v>
      </c>
    </row>
    <row r="389" spans="1:28" x14ac:dyDescent="0.25">
      <c r="A389" t="str">
        <f>IF(EXACT('BOM A320 FFS'!B519,obsoleta!D389),"OK","ERROR")</f>
        <v>ERROR</v>
      </c>
      <c r="C389" s="31" t="s">
        <v>314</v>
      </c>
      <c r="D389" s="71">
        <v>1214004133721</v>
      </c>
      <c r="E389" s="71"/>
      <c r="F389" s="32" t="s">
        <v>795</v>
      </c>
      <c r="G389" s="32" t="s">
        <v>922</v>
      </c>
      <c r="H389" s="32" t="s">
        <v>785</v>
      </c>
      <c r="I389" s="32" t="s">
        <v>586</v>
      </c>
      <c r="J389" s="33">
        <v>2</v>
      </c>
      <c r="K389" s="34">
        <v>45</v>
      </c>
      <c r="L389" s="35">
        <v>90</v>
      </c>
      <c r="M389" s="36" t="s">
        <v>32</v>
      </c>
      <c r="N389" s="37">
        <v>1</v>
      </c>
      <c r="O389" s="35">
        <v>90</v>
      </c>
      <c r="P389" s="35" t="s">
        <v>33</v>
      </c>
      <c r="Q389" s="97">
        <v>45453</v>
      </c>
      <c r="R389" s="35" t="s">
        <v>62</v>
      </c>
      <c r="S389" s="38"/>
      <c r="T389" s="78">
        <v>2</v>
      </c>
      <c r="U389" s="78"/>
      <c r="V389" s="78"/>
      <c r="W389" s="78" t="s">
        <v>303</v>
      </c>
      <c r="X389" s="78" t="s">
        <v>839</v>
      </c>
      <c r="Y389" s="78">
        <v>1</v>
      </c>
      <c r="Z389" s="78" t="s">
        <v>48</v>
      </c>
      <c r="AA389" s="78" t="s">
        <v>225</v>
      </c>
      <c r="AB389" s="78">
        <v>2</v>
      </c>
    </row>
    <row r="390" spans="1:28" x14ac:dyDescent="0.25">
      <c r="A390" t="str">
        <f>IF(EXACT('BOM A320 FFS'!B521,obsoleta!D390),"OK","ERROR")</f>
        <v>ERROR</v>
      </c>
      <c r="C390" s="31" t="s">
        <v>314</v>
      </c>
      <c r="D390" s="71">
        <v>1214004130021</v>
      </c>
      <c r="E390" s="71"/>
      <c r="F390" s="32" t="s">
        <v>795</v>
      </c>
      <c r="G390" s="32" t="s">
        <v>995</v>
      </c>
      <c r="H390" s="32" t="s">
        <v>785</v>
      </c>
      <c r="I390" s="32" t="s">
        <v>586</v>
      </c>
      <c r="J390" s="33">
        <v>1</v>
      </c>
      <c r="K390" s="34">
        <v>45</v>
      </c>
      <c r="L390" s="35">
        <v>45</v>
      </c>
      <c r="M390" s="36" t="s">
        <v>32</v>
      </c>
      <c r="N390" s="37">
        <v>1</v>
      </c>
      <c r="O390" s="35">
        <v>45</v>
      </c>
      <c r="P390" s="35" t="s">
        <v>33</v>
      </c>
      <c r="Q390" s="97">
        <v>45453</v>
      </c>
      <c r="R390" s="35" t="s">
        <v>62</v>
      </c>
      <c r="S390" s="38"/>
      <c r="T390" s="78">
        <v>2</v>
      </c>
      <c r="U390" s="78"/>
      <c r="V390" s="78"/>
      <c r="W390" s="78" t="s">
        <v>303</v>
      </c>
      <c r="X390" s="78" t="s">
        <v>839</v>
      </c>
      <c r="Y390" s="78">
        <v>1</v>
      </c>
      <c r="Z390" s="78" t="s">
        <v>48</v>
      </c>
      <c r="AA390" s="78" t="s">
        <v>225</v>
      </c>
      <c r="AB390" s="78">
        <v>1</v>
      </c>
    </row>
    <row r="391" spans="1:28" x14ac:dyDescent="0.25">
      <c r="A391" t="str">
        <f>IF(EXACT('BOM A320 FFS'!B522,obsoleta!D391),"OK","ERROR")</f>
        <v>ERROR</v>
      </c>
      <c r="C391" s="31" t="s">
        <v>314</v>
      </c>
      <c r="D391" s="71">
        <v>1214005533721</v>
      </c>
      <c r="E391" s="71"/>
      <c r="F391" s="32" t="s">
        <v>795</v>
      </c>
      <c r="G391" s="32" t="s">
        <v>855</v>
      </c>
      <c r="H391" s="32" t="s">
        <v>785</v>
      </c>
      <c r="I391" s="32" t="s">
        <v>586</v>
      </c>
      <c r="J391" s="33">
        <v>3</v>
      </c>
      <c r="K391" s="34">
        <v>45</v>
      </c>
      <c r="L391" s="35">
        <v>135</v>
      </c>
      <c r="M391" s="36" t="s">
        <v>32</v>
      </c>
      <c r="N391" s="37">
        <v>1</v>
      </c>
      <c r="O391" s="35">
        <v>135</v>
      </c>
      <c r="P391" s="35" t="s">
        <v>33</v>
      </c>
      <c r="Q391" s="97">
        <v>45453</v>
      </c>
      <c r="R391" s="35" t="s">
        <v>62</v>
      </c>
      <c r="S391" s="38"/>
      <c r="T391" s="78">
        <v>2</v>
      </c>
      <c r="U391" s="78"/>
      <c r="V391" s="78"/>
      <c r="W391" s="78" t="s">
        <v>303</v>
      </c>
      <c r="X391" s="78" t="s">
        <v>839</v>
      </c>
      <c r="Y391" s="78">
        <v>1</v>
      </c>
      <c r="Z391" s="78" t="s">
        <v>48</v>
      </c>
      <c r="AA391" s="78" t="s">
        <v>225</v>
      </c>
      <c r="AB391" s="78">
        <v>3</v>
      </c>
    </row>
    <row r="392" spans="1:28" x14ac:dyDescent="0.25">
      <c r="A392" t="str">
        <f>IF(EXACT('BOM A320 FFS'!B524,obsoleta!D392),"OK","ERROR")</f>
        <v>ERROR</v>
      </c>
      <c r="C392" s="31" t="s">
        <v>314</v>
      </c>
      <c r="D392" s="71">
        <v>1214005533760</v>
      </c>
      <c r="E392" s="71"/>
      <c r="F392" s="32" t="s">
        <v>795</v>
      </c>
      <c r="G392" s="32" t="s">
        <v>997</v>
      </c>
      <c r="H392" s="32" t="s">
        <v>785</v>
      </c>
      <c r="I392" s="32" t="s">
        <v>586</v>
      </c>
      <c r="J392" s="33">
        <v>1</v>
      </c>
      <c r="K392" s="34">
        <v>45</v>
      </c>
      <c r="L392" s="35">
        <v>45</v>
      </c>
      <c r="M392" s="36" t="s">
        <v>32</v>
      </c>
      <c r="N392" s="37">
        <v>1</v>
      </c>
      <c r="O392" s="35">
        <v>45</v>
      </c>
      <c r="P392" s="35" t="s">
        <v>33</v>
      </c>
      <c r="Q392" s="97">
        <v>45453</v>
      </c>
      <c r="R392" s="35" t="s">
        <v>62</v>
      </c>
      <c r="S392" s="38"/>
      <c r="T392" s="78">
        <v>2</v>
      </c>
      <c r="U392" s="78"/>
      <c r="V392" s="78"/>
      <c r="W392" s="78" t="s">
        <v>303</v>
      </c>
      <c r="X392" s="78" t="s">
        <v>839</v>
      </c>
      <c r="Y392" s="78">
        <v>1</v>
      </c>
      <c r="Z392" s="78" t="s">
        <v>48</v>
      </c>
      <c r="AA392" s="78" t="s">
        <v>225</v>
      </c>
      <c r="AB392" s="78">
        <v>1</v>
      </c>
    </row>
    <row r="393" spans="1:28" x14ac:dyDescent="0.25">
      <c r="A393" t="str">
        <f>IF(EXACT('BOM A320 FFS'!B525,obsoleta!D393),"OK","ERROR")</f>
        <v>ERROR</v>
      </c>
      <c r="C393" s="31" t="s">
        <v>314</v>
      </c>
      <c r="D393" s="71">
        <v>1214006133721</v>
      </c>
      <c r="E393" s="71"/>
      <c r="F393" s="32" t="s">
        <v>795</v>
      </c>
      <c r="G393" s="32" t="s">
        <v>857</v>
      </c>
      <c r="H393" s="32" t="s">
        <v>785</v>
      </c>
      <c r="I393" s="32" t="s">
        <v>586</v>
      </c>
      <c r="J393" s="33">
        <v>3</v>
      </c>
      <c r="K393" s="34">
        <v>45</v>
      </c>
      <c r="L393" s="35">
        <v>135</v>
      </c>
      <c r="M393" s="36" t="s">
        <v>32</v>
      </c>
      <c r="N393" s="37">
        <v>1</v>
      </c>
      <c r="O393" s="35">
        <v>135</v>
      </c>
      <c r="P393" s="35" t="s">
        <v>33</v>
      </c>
      <c r="Q393" s="97">
        <v>45453</v>
      </c>
      <c r="R393" s="35" t="s">
        <v>62</v>
      </c>
      <c r="S393" s="38"/>
      <c r="T393" s="78">
        <v>2</v>
      </c>
      <c r="U393" s="78"/>
      <c r="V393" s="78"/>
      <c r="W393" s="78" t="s">
        <v>303</v>
      </c>
      <c r="X393" s="78" t="s">
        <v>839</v>
      </c>
      <c r="Y393" s="78">
        <v>1</v>
      </c>
      <c r="Z393" s="78" t="s">
        <v>48</v>
      </c>
      <c r="AA393" s="78" t="s">
        <v>225</v>
      </c>
      <c r="AB393" s="78">
        <v>3</v>
      </c>
    </row>
    <row r="394" spans="1:28" x14ac:dyDescent="0.25">
      <c r="A394" t="str">
        <f>IF(EXACT('BOM A320 FFS'!B526,obsoleta!D394),"OK","ERROR")</f>
        <v>ERROR</v>
      </c>
      <c r="C394" s="31" t="s">
        <v>314</v>
      </c>
      <c r="D394" s="71">
        <v>1214006133761</v>
      </c>
      <c r="E394" s="71"/>
      <c r="F394" s="32" t="s">
        <v>795</v>
      </c>
      <c r="G394" s="32" t="s">
        <v>999</v>
      </c>
      <c r="H394" s="32" t="s">
        <v>785</v>
      </c>
      <c r="I394" s="32" t="s">
        <v>586</v>
      </c>
      <c r="J394" s="33">
        <v>1</v>
      </c>
      <c r="K394" s="34">
        <v>45</v>
      </c>
      <c r="L394" s="35">
        <v>45</v>
      </c>
      <c r="M394" s="36" t="s">
        <v>32</v>
      </c>
      <c r="N394" s="37">
        <v>1</v>
      </c>
      <c r="O394" s="35">
        <v>45</v>
      </c>
      <c r="P394" s="35" t="s">
        <v>33</v>
      </c>
      <c r="Q394" s="97">
        <v>45453</v>
      </c>
      <c r="R394" s="35" t="s">
        <v>62</v>
      </c>
      <c r="S394" s="38"/>
      <c r="T394" s="78">
        <v>2</v>
      </c>
      <c r="U394" s="78"/>
      <c r="V394" s="78"/>
      <c r="W394" s="78" t="s">
        <v>303</v>
      </c>
      <c r="X394" s="78" t="s">
        <v>839</v>
      </c>
      <c r="Y394" s="78">
        <v>1</v>
      </c>
      <c r="Z394" s="78" t="s">
        <v>48</v>
      </c>
      <c r="AA394" s="78" t="s">
        <v>225</v>
      </c>
      <c r="AB394" s="78">
        <v>1</v>
      </c>
    </row>
    <row r="395" spans="1:28" x14ac:dyDescent="0.25">
      <c r="A395" t="str">
        <f>IF(EXACT('BOM A320 FFS'!B527,obsoleta!D395),"OK","ERROR")</f>
        <v>ERROR</v>
      </c>
      <c r="C395" s="71" t="s">
        <v>314</v>
      </c>
      <c r="D395" s="71">
        <v>1204800600000</v>
      </c>
      <c r="E395" s="71"/>
      <c r="F395" s="32" t="s">
        <v>1140</v>
      </c>
      <c r="G395" s="32" t="s">
        <v>1141</v>
      </c>
      <c r="H395" s="32" t="s">
        <v>1070</v>
      </c>
      <c r="I395" s="32" t="s">
        <v>1071</v>
      </c>
      <c r="J395" s="33">
        <v>2</v>
      </c>
      <c r="K395" s="34">
        <v>26.6</v>
      </c>
      <c r="L395" s="35">
        <v>53.2</v>
      </c>
      <c r="M395" s="36" t="s">
        <v>32</v>
      </c>
      <c r="N395" s="37">
        <v>1</v>
      </c>
      <c r="O395" s="35">
        <v>53.2</v>
      </c>
      <c r="P395" s="35" t="s">
        <v>33</v>
      </c>
      <c r="Q395" s="97">
        <v>45453</v>
      </c>
      <c r="R395" s="35" t="s">
        <v>62</v>
      </c>
      <c r="S395" s="38"/>
      <c r="T395" s="78">
        <v>2</v>
      </c>
      <c r="U395" s="78"/>
      <c r="V395" s="78"/>
      <c r="W395" s="78" t="s">
        <v>303</v>
      </c>
      <c r="X395" s="78" t="s">
        <v>839</v>
      </c>
      <c r="Y395" s="78">
        <v>1</v>
      </c>
      <c r="Z395" s="78" t="s">
        <v>48</v>
      </c>
      <c r="AA395" s="78" t="s">
        <v>225</v>
      </c>
      <c r="AB395" s="78">
        <v>2</v>
      </c>
    </row>
    <row r="396" spans="1:28" x14ac:dyDescent="0.25">
      <c r="A396" t="str">
        <f>IF(EXACT('BOM A320 FFS'!B528,obsoleta!D396),"OK","ERROR")</f>
        <v>ERROR</v>
      </c>
      <c r="C396" s="71" t="s">
        <v>314</v>
      </c>
      <c r="D396" s="71">
        <v>1214000600000</v>
      </c>
      <c r="E396" s="71"/>
      <c r="F396" s="32" t="s">
        <v>1068</v>
      </c>
      <c r="G396" s="32" t="s">
        <v>1069</v>
      </c>
      <c r="H396" s="32" t="s">
        <v>1070</v>
      </c>
      <c r="I396" s="32" t="s">
        <v>1071</v>
      </c>
      <c r="J396" s="33">
        <v>2</v>
      </c>
      <c r="K396" s="34">
        <v>31.25</v>
      </c>
      <c r="L396" s="35">
        <v>62.5</v>
      </c>
      <c r="M396" s="36" t="s">
        <v>32</v>
      </c>
      <c r="N396" s="37">
        <v>1</v>
      </c>
      <c r="O396" s="35">
        <v>62.5</v>
      </c>
      <c r="P396" s="35" t="s">
        <v>33</v>
      </c>
      <c r="Q396" s="97">
        <v>45453</v>
      </c>
      <c r="R396" s="35" t="s">
        <v>62</v>
      </c>
      <c r="S396" s="38"/>
      <c r="T396" s="78">
        <v>2</v>
      </c>
      <c r="U396" s="78"/>
      <c r="V396" s="78"/>
      <c r="W396" s="78" t="s">
        <v>303</v>
      </c>
      <c r="X396" s="78" t="s">
        <v>839</v>
      </c>
      <c r="Y396" s="78">
        <v>1</v>
      </c>
      <c r="Z396" s="78" t="s">
        <v>48</v>
      </c>
      <c r="AA396" s="78" t="s">
        <v>225</v>
      </c>
      <c r="AB396" s="78">
        <v>2</v>
      </c>
    </row>
    <row r="397" spans="1:28" x14ac:dyDescent="0.25">
      <c r="A397" t="str">
        <f>IF(EXACT('BOM A320 FFS'!B531,obsoleta!D397),"OK","ERROR")</f>
        <v>ERROR</v>
      </c>
      <c r="C397" s="31" t="s">
        <v>314</v>
      </c>
      <c r="D397" s="71">
        <v>1212107830000</v>
      </c>
      <c r="E397" s="71"/>
      <c r="F397" s="32" t="s">
        <v>1193</v>
      </c>
      <c r="G397" s="32" t="s">
        <v>1435</v>
      </c>
      <c r="H397" s="32" t="s">
        <v>1433</v>
      </c>
      <c r="I397" s="32" t="s">
        <v>586</v>
      </c>
      <c r="J397" s="33">
        <v>5</v>
      </c>
      <c r="K397" s="34">
        <v>5.07</v>
      </c>
      <c r="L397" s="35">
        <v>25.35</v>
      </c>
      <c r="M397" s="36" t="s">
        <v>32</v>
      </c>
      <c r="N397" s="37">
        <v>1</v>
      </c>
      <c r="O397" s="35">
        <v>25.35</v>
      </c>
      <c r="P397" s="35" t="s">
        <v>33</v>
      </c>
      <c r="Q397" s="97">
        <v>45453</v>
      </c>
      <c r="R397" s="35" t="s">
        <v>62</v>
      </c>
      <c r="S397" s="38"/>
      <c r="T397" s="78">
        <v>2</v>
      </c>
      <c r="U397" s="78"/>
      <c r="V397" s="78"/>
      <c r="W397" s="78" t="s">
        <v>303</v>
      </c>
      <c r="X397" s="78" t="s">
        <v>839</v>
      </c>
      <c r="Y397" s="78">
        <v>1</v>
      </c>
      <c r="Z397" s="78" t="s">
        <v>48</v>
      </c>
      <c r="AA397" s="78" t="s">
        <v>225</v>
      </c>
      <c r="AB397" s="78">
        <v>5</v>
      </c>
    </row>
    <row r="398" spans="1:28" x14ac:dyDescent="0.25">
      <c r="A398" t="str">
        <f>IF(EXACT('BOM A320 FFS'!B532,obsoleta!D398),"OK","ERROR")</f>
        <v>ERROR</v>
      </c>
      <c r="C398" s="31" t="s">
        <v>314</v>
      </c>
      <c r="D398" s="71">
        <v>1202107830000</v>
      </c>
      <c r="E398" s="71"/>
      <c r="F398" s="32" t="s">
        <v>1431</v>
      </c>
      <c r="G398" s="32" t="s">
        <v>1432</v>
      </c>
      <c r="H398" s="32" t="s">
        <v>1433</v>
      </c>
      <c r="I398" s="32" t="s">
        <v>586</v>
      </c>
      <c r="J398" s="33">
        <v>95</v>
      </c>
      <c r="K398" s="34">
        <v>5.07</v>
      </c>
      <c r="L398" s="35">
        <v>481.65</v>
      </c>
      <c r="M398" s="36" t="s">
        <v>32</v>
      </c>
      <c r="N398" s="37">
        <v>1</v>
      </c>
      <c r="O398" s="35">
        <v>481.65</v>
      </c>
      <c r="P398" s="35" t="s">
        <v>33</v>
      </c>
      <c r="Q398" s="97">
        <v>45453</v>
      </c>
      <c r="R398" s="35" t="s">
        <v>62</v>
      </c>
      <c r="S398" s="38"/>
      <c r="T398" s="78">
        <v>2</v>
      </c>
      <c r="U398" s="78"/>
      <c r="V398" s="78"/>
      <c r="W398" s="78" t="s">
        <v>303</v>
      </c>
      <c r="X398" s="78" t="s">
        <v>839</v>
      </c>
      <c r="Y398" s="78">
        <v>1</v>
      </c>
      <c r="Z398" s="78" t="s">
        <v>48</v>
      </c>
      <c r="AA398" s="78" t="s">
        <v>225</v>
      </c>
      <c r="AB398" s="78">
        <v>95</v>
      </c>
    </row>
    <row r="399" spans="1:28" x14ac:dyDescent="0.25">
      <c r="A399" t="str">
        <f>IF(EXACT('BOM A320 FFS'!B533,obsoleta!D399),"OK","ERROR")</f>
        <v>ERROR</v>
      </c>
      <c r="C399" s="31" t="s">
        <v>314</v>
      </c>
      <c r="D399" s="71">
        <v>1202091050300</v>
      </c>
      <c r="E399" s="71"/>
      <c r="F399" s="32" t="s">
        <v>1728</v>
      </c>
      <c r="G399" s="32" t="s">
        <v>1729</v>
      </c>
      <c r="H399" s="32" t="s">
        <v>1730</v>
      </c>
      <c r="I399" s="32" t="s">
        <v>586</v>
      </c>
      <c r="J399" s="33">
        <v>50</v>
      </c>
      <c r="K399" s="34">
        <v>1.35</v>
      </c>
      <c r="L399" s="35">
        <v>67.5</v>
      </c>
      <c r="M399" s="36" t="s">
        <v>32</v>
      </c>
      <c r="N399" s="37">
        <v>1</v>
      </c>
      <c r="O399" s="35">
        <v>67.5</v>
      </c>
      <c r="P399" s="35" t="s">
        <v>33</v>
      </c>
      <c r="Q399" s="97">
        <v>45453</v>
      </c>
      <c r="R399" s="35" t="s">
        <v>62</v>
      </c>
      <c r="S399" s="38"/>
      <c r="T399" s="78">
        <v>2</v>
      </c>
      <c r="U399" s="78"/>
      <c r="V399" s="78"/>
      <c r="W399" s="78" t="s">
        <v>303</v>
      </c>
      <c r="X399" s="78" t="s">
        <v>839</v>
      </c>
      <c r="Y399" s="78">
        <v>1</v>
      </c>
      <c r="Z399" s="78" t="s">
        <v>48</v>
      </c>
      <c r="AA399" s="78" t="s">
        <v>225</v>
      </c>
      <c r="AB399" s="78">
        <v>50</v>
      </c>
    </row>
    <row r="400" spans="1:28" x14ac:dyDescent="0.25">
      <c r="A400" t="str">
        <f>IF(EXACT('BOM A320 FFS'!B534,obsoleta!D400),"OK","ERROR")</f>
        <v>ERROR</v>
      </c>
      <c r="C400" s="31" t="s">
        <v>314</v>
      </c>
      <c r="D400" s="71">
        <v>1202091258100</v>
      </c>
      <c r="E400" s="71"/>
      <c r="F400" s="32" t="s">
        <v>1879</v>
      </c>
      <c r="G400" s="32" t="s">
        <v>1880</v>
      </c>
      <c r="H400" s="32" t="s">
        <v>519</v>
      </c>
      <c r="I400" s="32" t="s">
        <v>586</v>
      </c>
      <c r="J400" s="33">
        <v>20</v>
      </c>
      <c r="K400" s="34">
        <v>0.63</v>
      </c>
      <c r="L400" s="35">
        <v>12.6</v>
      </c>
      <c r="M400" s="36" t="s">
        <v>32</v>
      </c>
      <c r="N400" s="37">
        <v>1</v>
      </c>
      <c r="O400" s="35">
        <v>12.6</v>
      </c>
      <c r="P400" s="35" t="s">
        <v>33</v>
      </c>
      <c r="Q400" s="97">
        <v>45453</v>
      </c>
      <c r="R400" s="35" t="s">
        <v>62</v>
      </c>
      <c r="S400" s="38"/>
      <c r="T400" s="78">
        <v>2</v>
      </c>
      <c r="U400" s="78"/>
      <c r="V400" s="78"/>
      <c r="W400" s="78" t="s">
        <v>303</v>
      </c>
      <c r="X400" s="78" t="s">
        <v>839</v>
      </c>
      <c r="Y400" s="78">
        <v>1</v>
      </c>
      <c r="Z400" s="78" t="s">
        <v>48</v>
      </c>
      <c r="AA400" s="78" t="s">
        <v>225</v>
      </c>
      <c r="AB400" s="78">
        <v>20</v>
      </c>
    </row>
    <row r="401" spans="1:28" x14ac:dyDescent="0.25">
      <c r="A401" t="str">
        <f>IF(EXACT('BOM A320 FFS'!B535,obsoleta!D401),"OK","ERROR")</f>
        <v>ERROR</v>
      </c>
      <c r="C401" s="31" t="s">
        <v>314</v>
      </c>
      <c r="D401" s="71">
        <v>1202091379000</v>
      </c>
      <c r="E401" s="71"/>
      <c r="F401" s="32" t="s">
        <v>1779</v>
      </c>
      <c r="G401" s="32">
        <v>949170063</v>
      </c>
      <c r="H401" s="32" t="s">
        <v>1781</v>
      </c>
      <c r="I401" s="32" t="s">
        <v>586</v>
      </c>
      <c r="J401" s="33">
        <v>15</v>
      </c>
      <c r="K401" s="34">
        <v>1</v>
      </c>
      <c r="L401" s="35">
        <v>15</v>
      </c>
      <c r="M401" s="36" t="s">
        <v>32</v>
      </c>
      <c r="N401" s="37">
        <v>1</v>
      </c>
      <c r="O401" s="35">
        <v>15</v>
      </c>
      <c r="P401" s="35" t="s">
        <v>33</v>
      </c>
      <c r="Q401" s="97">
        <v>45453</v>
      </c>
      <c r="R401" s="35" t="s">
        <v>62</v>
      </c>
      <c r="S401" s="38"/>
      <c r="T401" s="78">
        <v>2</v>
      </c>
      <c r="U401" s="78"/>
      <c r="V401" s="78"/>
      <c r="W401" s="78" t="s">
        <v>303</v>
      </c>
      <c r="X401" s="78" t="s">
        <v>839</v>
      </c>
      <c r="Y401" s="78">
        <v>1</v>
      </c>
      <c r="Z401" s="78" t="s">
        <v>48</v>
      </c>
      <c r="AA401" s="78" t="s">
        <v>225</v>
      </c>
      <c r="AB401" s="78">
        <v>15</v>
      </c>
    </row>
    <row r="402" spans="1:28" x14ac:dyDescent="0.25">
      <c r="A402" t="str">
        <f>IF(EXACT('BOM A320 FFS'!B537,obsoleta!D402),"OK","ERROR")</f>
        <v>ERROR</v>
      </c>
      <c r="C402" s="31" t="s">
        <v>314</v>
      </c>
      <c r="D402" s="71">
        <v>1212090240000</v>
      </c>
      <c r="E402" s="71"/>
      <c r="F402" s="32" t="s">
        <v>1193</v>
      </c>
      <c r="G402" s="32" t="s">
        <v>1194</v>
      </c>
      <c r="H402" s="32" t="s">
        <v>1195</v>
      </c>
      <c r="I402" s="32" t="s">
        <v>586</v>
      </c>
      <c r="J402" s="33">
        <v>15</v>
      </c>
      <c r="K402" s="34">
        <v>20</v>
      </c>
      <c r="L402" s="35">
        <v>300</v>
      </c>
      <c r="M402" s="36" t="s">
        <v>32</v>
      </c>
      <c r="N402" s="37">
        <v>1</v>
      </c>
      <c r="O402" s="35">
        <v>300</v>
      </c>
      <c r="P402" s="35" t="s">
        <v>33</v>
      </c>
      <c r="Q402" s="97">
        <v>45453</v>
      </c>
      <c r="R402" s="35" t="s">
        <v>62</v>
      </c>
      <c r="S402" s="38"/>
      <c r="T402" s="78">
        <v>2</v>
      </c>
      <c r="U402" s="78"/>
      <c r="V402" s="78"/>
      <c r="W402" s="78" t="s">
        <v>303</v>
      </c>
      <c r="X402" s="78" t="s">
        <v>839</v>
      </c>
      <c r="Y402" s="78">
        <v>1</v>
      </c>
      <c r="Z402" s="78" t="s">
        <v>48</v>
      </c>
      <c r="AA402" s="78" t="s">
        <v>1670</v>
      </c>
      <c r="AB402" s="78">
        <v>15</v>
      </c>
    </row>
    <row r="403" spans="1:28" x14ac:dyDescent="0.25">
      <c r="A403" t="str">
        <f>IF(EXACT('BOM A320 FFS'!B540,obsoleta!D403),"OK","ERROR")</f>
        <v>ERROR</v>
      </c>
      <c r="C403" s="31" t="s">
        <v>314</v>
      </c>
      <c r="D403" s="71">
        <v>1212000931300</v>
      </c>
      <c r="E403" s="71"/>
      <c r="F403" s="32" t="s">
        <v>2032</v>
      </c>
      <c r="G403" s="32" t="s">
        <v>2033</v>
      </c>
      <c r="H403" s="130" t="s">
        <v>519</v>
      </c>
      <c r="I403" s="130" t="s">
        <v>586</v>
      </c>
      <c r="J403" s="33">
        <v>35</v>
      </c>
      <c r="K403" s="34">
        <v>0.35</v>
      </c>
      <c r="L403" s="35">
        <v>12.25</v>
      </c>
      <c r="M403" s="36" t="s">
        <v>32</v>
      </c>
      <c r="N403" s="37">
        <v>1</v>
      </c>
      <c r="O403" s="35">
        <v>12.25</v>
      </c>
      <c r="P403" s="35" t="s">
        <v>33</v>
      </c>
      <c r="Q403" s="97">
        <v>45453</v>
      </c>
      <c r="R403" s="35" t="s">
        <v>62</v>
      </c>
      <c r="S403" s="38"/>
      <c r="T403" s="129">
        <v>2</v>
      </c>
      <c r="U403" s="129"/>
      <c r="V403" s="129"/>
      <c r="W403" s="129" t="s">
        <v>303</v>
      </c>
      <c r="X403" s="129" t="s">
        <v>839</v>
      </c>
      <c r="Y403" s="129">
        <v>1</v>
      </c>
      <c r="Z403" s="129" t="s">
        <v>48</v>
      </c>
      <c r="AA403" s="129" t="s">
        <v>225</v>
      </c>
      <c r="AB403" s="129">
        <v>35</v>
      </c>
    </row>
    <row r="404" spans="1:28" x14ac:dyDescent="0.25">
      <c r="A404" t="str">
        <f>IF(EXACT('BOM A320 FFS'!B541,obsoleta!D404),"OK","ERROR")</f>
        <v>ERROR</v>
      </c>
      <c r="C404" s="31" t="s">
        <v>314</v>
      </c>
      <c r="D404" s="71">
        <v>1215500702900</v>
      </c>
      <c r="E404" s="71"/>
      <c r="F404" s="32" t="s">
        <v>1226</v>
      </c>
      <c r="G404" s="32" t="s">
        <v>1227</v>
      </c>
      <c r="H404" s="32" t="s">
        <v>1228</v>
      </c>
      <c r="I404" s="32" t="s">
        <v>586</v>
      </c>
      <c r="J404" s="33">
        <v>3</v>
      </c>
      <c r="K404" s="34">
        <v>17.399999999999999</v>
      </c>
      <c r="L404" s="35">
        <v>52.2</v>
      </c>
      <c r="M404" s="36" t="s">
        <v>32</v>
      </c>
      <c r="N404" s="37">
        <v>1</v>
      </c>
      <c r="O404" s="35">
        <v>52.2</v>
      </c>
      <c r="P404" s="35" t="s">
        <v>33</v>
      </c>
      <c r="Q404" s="97">
        <v>45453</v>
      </c>
      <c r="R404" s="35" t="s">
        <v>62</v>
      </c>
      <c r="S404" s="38"/>
      <c r="T404" s="78">
        <v>2</v>
      </c>
      <c r="U404" s="78"/>
      <c r="V404" s="78"/>
      <c r="W404" s="78" t="s">
        <v>303</v>
      </c>
      <c r="X404" s="78" t="s">
        <v>839</v>
      </c>
      <c r="Y404" s="78">
        <v>1</v>
      </c>
      <c r="Z404" s="78" t="s">
        <v>48</v>
      </c>
      <c r="AA404" s="78" t="s">
        <v>225</v>
      </c>
      <c r="AB404" s="78">
        <v>3</v>
      </c>
    </row>
    <row r="405" spans="1:28" x14ac:dyDescent="0.25">
      <c r="A405" t="str">
        <f>IF(EXACT('BOM A320 FFS'!B542,obsoleta!D405),"OK","ERROR")</f>
        <v>ERROR</v>
      </c>
      <c r="C405" s="31" t="s">
        <v>314</v>
      </c>
      <c r="D405" s="71" t="s">
        <v>2034</v>
      </c>
      <c r="E405" s="71"/>
      <c r="F405" s="32" t="s">
        <v>2036</v>
      </c>
      <c r="G405" s="32" t="s">
        <v>2037</v>
      </c>
      <c r="H405" s="32" t="s">
        <v>1730</v>
      </c>
      <c r="I405" s="32" t="s">
        <v>586</v>
      </c>
      <c r="J405" s="33">
        <v>35</v>
      </c>
      <c r="K405" s="34">
        <v>0.35</v>
      </c>
      <c r="L405" s="35">
        <v>12.25</v>
      </c>
      <c r="M405" s="36" t="s">
        <v>32</v>
      </c>
      <c r="N405" s="37">
        <v>1</v>
      </c>
      <c r="O405" s="35">
        <v>12.25</v>
      </c>
      <c r="P405" s="35" t="s">
        <v>33</v>
      </c>
      <c r="Q405" s="97">
        <v>45453</v>
      </c>
      <c r="R405" s="35" t="s">
        <v>62</v>
      </c>
      <c r="S405" s="38"/>
      <c r="T405" s="78">
        <v>2</v>
      </c>
      <c r="U405" s="78"/>
      <c r="V405" s="78"/>
      <c r="W405" s="78" t="s">
        <v>303</v>
      </c>
      <c r="X405" s="78" t="s">
        <v>839</v>
      </c>
      <c r="Y405" s="78">
        <v>1</v>
      </c>
      <c r="Z405" s="78" t="s">
        <v>48</v>
      </c>
      <c r="AA405" s="78" t="s">
        <v>225</v>
      </c>
      <c r="AB405" s="78">
        <v>35</v>
      </c>
    </row>
    <row r="406" spans="1:28" x14ac:dyDescent="0.25">
      <c r="A406" t="str">
        <f>IF(EXACT('BOM A320 FFS'!B544,obsoleta!D406),"OK","ERROR")</f>
        <v>ERROR</v>
      </c>
      <c r="C406" s="31" t="s">
        <v>314</v>
      </c>
      <c r="D406" s="31" t="s">
        <v>2007</v>
      </c>
      <c r="E406" s="31"/>
      <c r="F406" s="32" t="s">
        <v>2009</v>
      </c>
      <c r="G406" s="32" t="s">
        <v>2010</v>
      </c>
      <c r="H406" s="32" t="s">
        <v>1730</v>
      </c>
      <c r="I406" s="32" t="s">
        <v>586</v>
      </c>
      <c r="J406" s="33">
        <v>35</v>
      </c>
      <c r="K406" s="34">
        <v>0.4</v>
      </c>
      <c r="L406" s="35">
        <v>14</v>
      </c>
      <c r="M406" s="36" t="s">
        <v>32</v>
      </c>
      <c r="N406" s="37">
        <v>1</v>
      </c>
      <c r="O406" s="35">
        <v>14</v>
      </c>
      <c r="P406" s="35" t="s">
        <v>33</v>
      </c>
      <c r="Q406" s="97">
        <v>45453</v>
      </c>
      <c r="R406" s="35" t="s">
        <v>62</v>
      </c>
      <c r="S406" s="38"/>
      <c r="T406" s="78">
        <v>2</v>
      </c>
      <c r="U406" s="78"/>
      <c r="V406" s="78"/>
      <c r="W406" s="78" t="s">
        <v>303</v>
      </c>
      <c r="X406" s="78" t="s">
        <v>839</v>
      </c>
      <c r="Y406" s="78">
        <v>1</v>
      </c>
      <c r="Z406" s="78" t="s">
        <v>48</v>
      </c>
      <c r="AA406" s="78" t="s">
        <v>225</v>
      </c>
      <c r="AB406" s="78">
        <v>35</v>
      </c>
    </row>
    <row r="407" spans="1:28" x14ac:dyDescent="0.25">
      <c r="A407" t="str">
        <f>IF(EXACT('BOM A320 FFS'!B545,obsoleta!D407),"OK","ERROR")</f>
        <v>ERROR</v>
      </c>
      <c r="C407" s="31" t="s">
        <v>314</v>
      </c>
      <c r="D407" s="31" t="s">
        <v>1971</v>
      </c>
      <c r="E407" s="31"/>
      <c r="F407" s="32" t="s">
        <v>1972</v>
      </c>
      <c r="G407" s="32" t="s">
        <v>1973</v>
      </c>
      <c r="H407" s="32" t="s">
        <v>1730</v>
      </c>
      <c r="I407" s="32" t="s">
        <v>586</v>
      </c>
      <c r="J407" s="33">
        <v>20</v>
      </c>
      <c r="K407" s="34">
        <v>0.45</v>
      </c>
      <c r="L407" s="35">
        <v>9</v>
      </c>
      <c r="M407" s="36" t="s">
        <v>32</v>
      </c>
      <c r="N407" s="37">
        <v>1</v>
      </c>
      <c r="O407" s="35">
        <v>9</v>
      </c>
      <c r="P407" s="35" t="s">
        <v>33</v>
      </c>
      <c r="Q407" s="97">
        <v>45453</v>
      </c>
      <c r="R407" s="35" t="s">
        <v>62</v>
      </c>
      <c r="S407" s="38"/>
      <c r="T407" s="78">
        <v>2</v>
      </c>
      <c r="U407" s="78"/>
      <c r="V407" s="78"/>
      <c r="W407" s="78" t="s">
        <v>303</v>
      </c>
      <c r="X407" s="78" t="s">
        <v>839</v>
      </c>
      <c r="Y407" s="78">
        <v>1</v>
      </c>
      <c r="Z407" s="78" t="s">
        <v>48</v>
      </c>
      <c r="AA407" s="78" t="s">
        <v>225</v>
      </c>
      <c r="AB407" s="78">
        <v>20</v>
      </c>
    </row>
    <row r="408" spans="1:28" x14ac:dyDescent="0.25">
      <c r="A408" t="str">
        <f>IF(EXACT('BOM A320 FFS'!B549,obsoleta!D408),"OK","ERROR")</f>
        <v>ERROR</v>
      </c>
      <c r="C408" s="122"/>
      <c r="D408" s="125">
        <v>1204100633620</v>
      </c>
      <c r="E408" s="122" t="s">
        <v>3758</v>
      </c>
      <c r="F408" s="122" t="s">
        <v>3761</v>
      </c>
      <c r="G408" s="122" t="s">
        <v>3762</v>
      </c>
      <c r="H408" s="122" t="s">
        <v>791</v>
      </c>
      <c r="I408" s="122"/>
      <c r="J408" s="40"/>
      <c r="K408" s="41"/>
      <c r="L408" s="41"/>
      <c r="M408" s="26"/>
      <c r="N408" s="26"/>
      <c r="O408" s="41"/>
      <c r="P408" s="41"/>
      <c r="Q408" s="98"/>
      <c r="R408" s="41"/>
      <c r="S408" s="30"/>
      <c r="T408" s="82"/>
      <c r="U408" s="82"/>
      <c r="V408" s="82"/>
      <c r="W408" s="82"/>
      <c r="X408" s="82"/>
      <c r="Y408" s="82"/>
      <c r="Z408" s="82"/>
      <c r="AA408" s="82"/>
      <c r="AB408" s="82"/>
    </row>
    <row r="409" spans="1:28" x14ac:dyDescent="0.25">
      <c r="A409" t="str">
        <f>IF(EXACT('BOM A320 FFS'!B565,obsoleta!D409),"OK","ERROR")</f>
        <v>ERROR</v>
      </c>
      <c r="C409" s="39"/>
      <c r="D409" s="39"/>
      <c r="E409" s="39"/>
      <c r="F409" s="28"/>
      <c r="G409" s="28"/>
      <c r="H409" s="28"/>
      <c r="I409" s="28"/>
      <c r="J409" s="40"/>
      <c r="K409" s="30"/>
      <c r="L409" s="30"/>
      <c r="M409" s="26"/>
      <c r="N409" s="26"/>
      <c r="O409" s="41"/>
      <c r="P409" s="41"/>
      <c r="Q409" s="98"/>
      <c r="R409" s="41"/>
      <c r="S409" s="30"/>
      <c r="T409" s="82"/>
      <c r="U409" s="82"/>
      <c r="V409" s="82"/>
      <c r="W409" s="82"/>
      <c r="X409" s="82"/>
      <c r="Y409" s="82"/>
      <c r="Z409" s="82"/>
      <c r="AA409" s="82" t="s">
        <v>225</v>
      </c>
      <c r="AB409" s="82"/>
    </row>
    <row r="410" spans="1:28" x14ac:dyDescent="0.25">
      <c r="A410" t="str">
        <f>IF(EXACT('BOM A320 FFS'!B566,obsoleta!D410),"OK","ERROR")</f>
        <v>ERROR</v>
      </c>
      <c r="C410" s="48"/>
      <c r="D410" s="48" t="s">
        <v>3654</v>
      </c>
      <c r="E410" s="48"/>
      <c r="F410" s="28"/>
      <c r="G410" s="28"/>
      <c r="H410" s="32"/>
      <c r="I410" s="32"/>
      <c r="J410" s="33"/>
      <c r="K410" s="34"/>
      <c r="L410" s="35"/>
      <c r="M410" s="36"/>
      <c r="N410" s="37"/>
      <c r="O410" s="35"/>
      <c r="P410" s="35"/>
      <c r="Q410" s="97"/>
      <c r="R410" s="35"/>
      <c r="S410" s="38"/>
      <c r="T410" s="78"/>
      <c r="U410" s="78"/>
      <c r="V410" s="78"/>
      <c r="W410" s="78"/>
      <c r="X410" s="78"/>
      <c r="Y410" s="78"/>
      <c r="Z410" s="78"/>
      <c r="AA410" s="78" t="s">
        <v>225</v>
      </c>
      <c r="AB410" s="78"/>
    </row>
    <row r="411" spans="1:28" x14ac:dyDescent="0.25">
      <c r="A411" t="str">
        <f>IF(EXACT('BOM A320 FFS'!B567,obsoleta!D411),"OK","ERROR")</f>
        <v>ERROR</v>
      </c>
      <c r="C411" s="31" t="s">
        <v>314</v>
      </c>
      <c r="D411" s="71">
        <v>1219000390300</v>
      </c>
      <c r="E411" s="71"/>
      <c r="F411" s="32" t="s">
        <v>1490</v>
      </c>
      <c r="G411" s="32" t="s">
        <v>1491</v>
      </c>
      <c r="H411" s="32"/>
      <c r="I411" s="32"/>
      <c r="J411" s="33">
        <v>30</v>
      </c>
      <c r="K411" s="34">
        <v>4</v>
      </c>
      <c r="L411" s="35">
        <v>120</v>
      </c>
      <c r="M411" s="36" t="s">
        <v>32</v>
      </c>
      <c r="N411" s="37">
        <v>1</v>
      </c>
      <c r="O411" s="35">
        <v>120</v>
      </c>
      <c r="P411" s="35" t="s">
        <v>33</v>
      </c>
      <c r="Q411" s="97">
        <v>45453</v>
      </c>
      <c r="R411" s="35" t="s">
        <v>62</v>
      </c>
      <c r="S411" s="38"/>
      <c r="T411" s="78">
        <v>2</v>
      </c>
      <c r="U411" s="78"/>
      <c r="V411" s="78"/>
      <c r="W411" s="78" t="s">
        <v>303</v>
      </c>
      <c r="X411" s="78" t="s">
        <v>839</v>
      </c>
      <c r="Y411" s="78">
        <v>1</v>
      </c>
      <c r="Z411" s="78" t="s">
        <v>48</v>
      </c>
      <c r="AA411" s="78" t="s">
        <v>225</v>
      </c>
      <c r="AB411" s="78">
        <v>30</v>
      </c>
    </row>
    <row r="412" spans="1:28" x14ac:dyDescent="0.25">
      <c r="A412" t="str">
        <f>IF(EXACT('BOM A320 FFS'!B568,obsoleta!D412),"OK","ERROR")</f>
        <v>ERROR</v>
      </c>
      <c r="C412" s="31" t="s">
        <v>314</v>
      </c>
      <c r="D412" s="71">
        <v>1219090070102</v>
      </c>
      <c r="E412" s="71"/>
      <c r="F412" s="32" t="s">
        <v>2167</v>
      </c>
      <c r="G412" s="32" t="s">
        <v>2168</v>
      </c>
      <c r="H412" s="32"/>
      <c r="I412" s="32"/>
      <c r="J412" s="33">
        <v>80</v>
      </c>
      <c r="K412" s="34">
        <v>0.15</v>
      </c>
      <c r="L412" s="35">
        <v>12</v>
      </c>
      <c r="M412" s="36" t="s">
        <v>32</v>
      </c>
      <c r="N412" s="37">
        <v>1</v>
      </c>
      <c r="O412" s="35">
        <v>12</v>
      </c>
      <c r="P412" s="35" t="s">
        <v>33</v>
      </c>
      <c r="Q412" s="97">
        <v>45453</v>
      </c>
      <c r="R412" s="35" t="s">
        <v>62</v>
      </c>
      <c r="S412" s="38"/>
      <c r="T412" s="78">
        <v>2</v>
      </c>
      <c r="U412" s="78"/>
      <c r="V412" s="78"/>
      <c r="W412" s="78" t="s">
        <v>303</v>
      </c>
      <c r="X412" s="78" t="s">
        <v>839</v>
      </c>
      <c r="Y412" s="78">
        <v>1</v>
      </c>
      <c r="Z412" s="78" t="s">
        <v>48</v>
      </c>
      <c r="AA412" s="78" t="s">
        <v>225</v>
      </c>
      <c r="AB412" s="78">
        <v>80</v>
      </c>
    </row>
    <row r="413" spans="1:28" x14ac:dyDescent="0.25">
      <c r="A413" t="str">
        <f>IF(EXACT('BOM A320 FFS'!B569,obsoleta!D413),"OK","ERROR")</f>
        <v>ERROR</v>
      </c>
      <c r="C413" s="31" t="s">
        <v>314</v>
      </c>
      <c r="D413" s="71">
        <v>1209000390300</v>
      </c>
      <c r="E413" s="71"/>
      <c r="F413" s="32" t="s">
        <v>1493</v>
      </c>
      <c r="G413" s="32" t="s">
        <v>1494</v>
      </c>
      <c r="H413" s="32"/>
      <c r="I413" s="32"/>
      <c r="J413" s="33">
        <v>30</v>
      </c>
      <c r="K413" s="34">
        <v>4</v>
      </c>
      <c r="L413" s="35">
        <v>120</v>
      </c>
      <c r="M413" s="36" t="s">
        <v>32</v>
      </c>
      <c r="N413" s="37">
        <v>1</v>
      </c>
      <c r="O413" s="35">
        <v>120</v>
      </c>
      <c r="P413" s="35" t="s">
        <v>33</v>
      </c>
      <c r="Q413" s="97">
        <v>45453</v>
      </c>
      <c r="R413" s="35" t="s">
        <v>62</v>
      </c>
      <c r="S413" s="38"/>
      <c r="T413" s="78">
        <v>2</v>
      </c>
      <c r="U413" s="78"/>
      <c r="V413" s="78"/>
      <c r="W413" s="78" t="s">
        <v>303</v>
      </c>
      <c r="X413" s="78" t="s">
        <v>839</v>
      </c>
      <c r="Y413" s="78">
        <v>1</v>
      </c>
      <c r="Z413" s="78" t="s">
        <v>48</v>
      </c>
      <c r="AA413" s="78" t="s">
        <v>225</v>
      </c>
      <c r="AB413" s="78">
        <v>30</v>
      </c>
    </row>
    <row r="414" spans="1:28" x14ac:dyDescent="0.25">
      <c r="A414" t="str">
        <f>IF(EXACT('BOM A320 FFS'!B570,obsoleta!D414),"OK","ERROR")</f>
        <v>ERROR</v>
      </c>
      <c r="C414" s="31" t="s">
        <v>314</v>
      </c>
      <c r="D414" s="71">
        <v>1209090130100</v>
      </c>
      <c r="E414" s="71"/>
      <c r="F414" s="32" t="s">
        <v>2170</v>
      </c>
      <c r="G414" s="32" t="s">
        <v>2171</v>
      </c>
      <c r="H414" s="32"/>
      <c r="I414" s="32"/>
      <c r="J414" s="33">
        <v>80</v>
      </c>
      <c r="K414" s="34">
        <v>0.15</v>
      </c>
      <c r="L414" s="35">
        <v>12</v>
      </c>
      <c r="M414" s="36" t="s">
        <v>32</v>
      </c>
      <c r="N414" s="37">
        <v>1</v>
      </c>
      <c r="O414" s="35">
        <v>12</v>
      </c>
      <c r="P414" s="35" t="s">
        <v>33</v>
      </c>
      <c r="Q414" s="97">
        <v>45453</v>
      </c>
      <c r="R414" s="35" t="s">
        <v>62</v>
      </c>
      <c r="S414" s="38"/>
      <c r="T414" s="78">
        <v>2</v>
      </c>
      <c r="U414" s="78"/>
      <c r="V414" s="78"/>
      <c r="W414" s="78" t="s">
        <v>303</v>
      </c>
      <c r="X414" s="78" t="s">
        <v>839</v>
      </c>
      <c r="Y414" s="78">
        <v>1</v>
      </c>
      <c r="Z414" s="78" t="s">
        <v>48</v>
      </c>
      <c r="AA414" s="78" t="s">
        <v>225</v>
      </c>
      <c r="AB414" s="78">
        <v>80</v>
      </c>
    </row>
    <row r="415" spans="1:28" x14ac:dyDescent="0.25">
      <c r="A415" t="str">
        <f>IF(EXACT('BOM A320 FFS'!B571,obsoleta!D415),"OK","ERROR")</f>
        <v>ERROR</v>
      </c>
      <c r="C415" s="31" t="s">
        <v>314</v>
      </c>
      <c r="D415" s="31" t="s">
        <v>2041</v>
      </c>
      <c r="E415" s="31"/>
      <c r="F415" s="32" t="s">
        <v>2042</v>
      </c>
      <c r="G415" s="32" t="s">
        <v>2043</v>
      </c>
      <c r="H415" s="32"/>
      <c r="I415" s="32"/>
      <c r="J415" s="33">
        <v>6</v>
      </c>
      <c r="K415" s="34">
        <v>0.35</v>
      </c>
      <c r="L415" s="35">
        <v>2.1</v>
      </c>
      <c r="M415" s="36" t="s">
        <v>32</v>
      </c>
      <c r="N415" s="37">
        <v>1</v>
      </c>
      <c r="O415" s="35">
        <v>2.1</v>
      </c>
      <c r="P415" s="35" t="s">
        <v>33</v>
      </c>
      <c r="Q415" s="97">
        <v>45453</v>
      </c>
      <c r="R415" s="35" t="s">
        <v>62</v>
      </c>
      <c r="S415" s="38"/>
      <c r="T415" s="78">
        <v>2</v>
      </c>
      <c r="U415" s="78"/>
      <c r="V415" s="78"/>
      <c r="W415" s="78" t="s">
        <v>303</v>
      </c>
      <c r="X415" s="78" t="s">
        <v>839</v>
      </c>
      <c r="Y415" s="78">
        <v>1</v>
      </c>
      <c r="Z415" s="78" t="s">
        <v>48</v>
      </c>
      <c r="AA415" s="78" t="s">
        <v>1670</v>
      </c>
      <c r="AB415" s="78">
        <v>6</v>
      </c>
    </row>
    <row r="416" spans="1:28" x14ac:dyDescent="0.25">
      <c r="A416" t="str">
        <f>IF(EXACT('BOM A320 FFS'!B572,obsoleta!D416),"OK","ERROR")</f>
        <v>ERROR</v>
      </c>
      <c r="C416" s="31" t="s">
        <v>314</v>
      </c>
      <c r="D416" s="31" t="s">
        <v>2038</v>
      </c>
      <c r="E416" s="31"/>
      <c r="F416" s="32" t="s">
        <v>2039</v>
      </c>
      <c r="G416" s="32" t="s">
        <v>2040</v>
      </c>
      <c r="H416" s="32"/>
      <c r="I416" s="32"/>
      <c r="J416" s="33">
        <v>25</v>
      </c>
      <c r="K416" s="34">
        <v>0.35</v>
      </c>
      <c r="L416" s="35">
        <v>8.75</v>
      </c>
      <c r="M416" s="36" t="s">
        <v>32</v>
      </c>
      <c r="N416" s="37">
        <v>1</v>
      </c>
      <c r="O416" s="35">
        <v>8.75</v>
      </c>
      <c r="P416" s="35" t="s">
        <v>33</v>
      </c>
      <c r="Q416" s="97">
        <v>45453</v>
      </c>
      <c r="R416" s="35" t="s">
        <v>62</v>
      </c>
      <c r="S416" s="38"/>
      <c r="T416" s="78">
        <v>2</v>
      </c>
      <c r="U416" s="78"/>
      <c r="V416" s="78"/>
      <c r="W416" s="78" t="s">
        <v>303</v>
      </c>
      <c r="X416" s="78" t="s">
        <v>839</v>
      </c>
      <c r="Y416" s="78">
        <v>1</v>
      </c>
      <c r="Z416" s="78" t="s">
        <v>48</v>
      </c>
      <c r="AA416" s="78" t="s">
        <v>225</v>
      </c>
      <c r="AB416" s="78">
        <v>25</v>
      </c>
    </row>
    <row r="417" spans="1:28" x14ac:dyDescent="0.25">
      <c r="A417" t="str">
        <f>IF(EXACT('BOM A320 FFS'!B574,obsoleta!D417),"OK","ERROR")</f>
        <v>ERROR</v>
      </c>
      <c r="C417" s="31" t="s">
        <v>314</v>
      </c>
      <c r="D417" s="71">
        <v>1219000691400</v>
      </c>
      <c r="E417" s="71"/>
      <c r="F417" s="32" t="s">
        <v>1511</v>
      </c>
      <c r="G417" s="32"/>
      <c r="H417" s="32"/>
      <c r="I417" s="32"/>
      <c r="J417" s="33">
        <v>8</v>
      </c>
      <c r="K417" s="34">
        <v>4</v>
      </c>
      <c r="L417" s="35">
        <v>32</v>
      </c>
      <c r="M417" s="36" t="s">
        <v>32</v>
      </c>
      <c r="N417" s="37">
        <v>1</v>
      </c>
      <c r="O417" s="35">
        <v>32</v>
      </c>
      <c r="P417" s="35" t="s">
        <v>33</v>
      </c>
      <c r="Q417" s="97">
        <v>45453</v>
      </c>
      <c r="R417" s="35" t="s">
        <v>62</v>
      </c>
      <c r="S417" s="38"/>
      <c r="T417" s="78">
        <v>2</v>
      </c>
      <c r="U417" s="78"/>
      <c r="V417" s="78"/>
      <c r="W417" s="78" t="s">
        <v>303</v>
      </c>
      <c r="X417" s="78" t="s">
        <v>839</v>
      </c>
      <c r="Y417" s="78">
        <v>1</v>
      </c>
      <c r="Z417" s="78" t="s">
        <v>48</v>
      </c>
      <c r="AA417" s="78" t="s">
        <v>225</v>
      </c>
      <c r="AB417" s="78">
        <v>8</v>
      </c>
    </row>
    <row r="418" spans="1:28" x14ac:dyDescent="0.25">
      <c r="A418" t="str">
        <f>IF(EXACT('BOM A320 FFS'!B575,obsoleta!D418),"OK","ERROR")</f>
        <v>ERROR</v>
      </c>
      <c r="C418" s="31" t="s">
        <v>314</v>
      </c>
      <c r="D418" s="71">
        <v>1219090080000</v>
      </c>
      <c r="E418" s="71"/>
      <c r="F418" s="32" t="s">
        <v>2165</v>
      </c>
      <c r="G418" s="32"/>
      <c r="H418" s="32"/>
      <c r="I418" s="32"/>
      <c r="J418" s="33">
        <v>80</v>
      </c>
      <c r="K418" s="34">
        <v>0.15</v>
      </c>
      <c r="L418" s="35">
        <v>12</v>
      </c>
      <c r="M418" s="36" t="s">
        <v>32</v>
      </c>
      <c r="N418" s="37">
        <v>1</v>
      </c>
      <c r="O418" s="35">
        <v>12</v>
      </c>
      <c r="P418" s="35" t="s">
        <v>33</v>
      </c>
      <c r="Q418" s="97">
        <v>45453</v>
      </c>
      <c r="R418" s="35" t="s">
        <v>62</v>
      </c>
      <c r="S418" s="38"/>
      <c r="T418" s="78">
        <v>2</v>
      </c>
      <c r="U418" s="78"/>
      <c r="V418" s="78"/>
      <c r="W418" s="78" t="s">
        <v>303</v>
      </c>
      <c r="X418" s="78" t="s">
        <v>839</v>
      </c>
      <c r="Y418" s="78">
        <v>1</v>
      </c>
      <c r="Z418" s="78" t="s">
        <v>48</v>
      </c>
      <c r="AA418" s="78" t="s">
        <v>225</v>
      </c>
      <c r="AB418" s="78">
        <v>80</v>
      </c>
    </row>
    <row r="419" spans="1:28" x14ac:dyDescent="0.25">
      <c r="A419" t="str">
        <f>IF(EXACT('BOM A320 FFS'!B576,obsoleta!D419),"OK","ERROR")</f>
        <v>ERROR</v>
      </c>
      <c r="C419" s="31" t="s">
        <v>314</v>
      </c>
      <c r="D419" s="71">
        <v>1219000292300</v>
      </c>
      <c r="E419" s="71"/>
      <c r="F419" s="32" t="s">
        <v>1515</v>
      </c>
      <c r="G419" s="32"/>
      <c r="H419" s="32"/>
      <c r="I419" s="32"/>
      <c r="J419" s="33">
        <v>8</v>
      </c>
      <c r="K419" s="34">
        <v>4</v>
      </c>
      <c r="L419" s="35">
        <v>32</v>
      </c>
      <c r="M419" s="36" t="s">
        <v>32</v>
      </c>
      <c r="N419" s="37">
        <v>1</v>
      </c>
      <c r="O419" s="35">
        <v>32</v>
      </c>
      <c r="P419" s="35" t="s">
        <v>33</v>
      </c>
      <c r="Q419" s="97">
        <v>45453</v>
      </c>
      <c r="R419" s="35" t="s">
        <v>62</v>
      </c>
      <c r="S419" s="38"/>
      <c r="T419" s="78">
        <v>2</v>
      </c>
      <c r="U419" s="78"/>
      <c r="V419" s="78"/>
      <c r="W419" s="78" t="s">
        <v>303</v>
      </c>
      <c r="X419" s="78" t="s">
        <v>839</v>
      </c>
      <c r="Y419" s="78">
        <v>1</v>
      </c>
      <c r="Z419" s="78" t="s">
        <v>48</v>
      </c>
      <c r="AA419" s="78" t="s">
        <v>225</v>
      </c>
      <c r="AB419" s="78">
        <v>8</v>
      </c>
    </row>
    <row r="420" spans="1:28" ht="26.25" x14ac:dyDescent="0.25">
      <c r="A420" t="str">
        <f>IF(EXACT('BOM A320 FFS'!B577,obsoleta!D420),"OK","ERROR")</f>
        <v>ERROR</v>
      </c>
      <c r="C420" s="31" t="s">
        <v>314</v>
      </c>
      <c r="D420" s="31" t="s">
        <v>70</v>
      </c>
      <c r="E420" s="31"/>
      <c r="F420" s="32" t="s">
        <v>1506</v>
      </c>
      <c r="G420" s="103" t="s">
        <v>1507</v>
      </c>
      <c r="H420" s="32"/>
      <c r="I420" s="32"/>
      <c r="J420" s="33">
        <v>10</v>
      </c>
      <c r="K420" s="34">
        <v>4</v>
      </c>
      <c r="L420" s="35">
        <v>40</v>
      </c>
      <c r="M420" s="36" t="s">
        <v>32</v>
      </c>
      <c r="N420" s="37">
        <v>1</v>
      </c>
      <c r="O420" s="35">
        <v>40</v>
      </c>
      <c r="P420" s="35" t="s">
        <v>33</v>
      </c>
      <c r="Q420" s="97">
        <v>45453</v>
      </c>
      <c r="R420" s="35" t="s">
        <v>62</v>
      </c>
      <c r="S420" s="38"/>
      <c r="T420" s="78">
        <v>2</v>
      </c>
      <c r="U420" s="78"/>
      <c r="V420" s="78"/>
      <c r="W420" s="78" t="s">
        <v>303</v>
      </c>
      <c r="X420" s="78" t="s">
        <v>839</v>
      </c>
      <c r="Y420" s="78">
        <v>1</v>
      </c>
      <c r="Z420" s="78" t="s">
        <v>48</v>
      </c>
      <c r="AA420" s="78" t="s">
        <v>225</v>
      </c>
      <c r="AB420" s="78">
        <v>10</v>
      </c>
    </row>
    <row r="421" spans="1:28" ht="26.25" x14ac:dyDescent="0.25">
      <c r="A421" t="str">
        <f>IF(EXACT('BOM A320 FFS'!B578,obsoleta!D421),"OK","ERROR")</f>
        <v>ERROR</v>
      </c>
      <c r="C421" s="31" t="s">
        <v>314</v>
      </c>
      <c r="D421" s="71">
        <v>1219000431000</v>
      </c>
      <c r="E421" s="71"/>
      <c r="F421" s="32" t="s">
        <v>1506</v>
      </c>
      <c r="G421" s="103" t="s">
        <v>1509</v>
      </c>
      <c r="H421" s="32"/>
      <c r="I421" s="32"/>
      <c r="J421" s="33">
        <v>10</v>
      </c>
      <c r="K421" s="34">
        <v>4</v>
      </c>
      <c r="L421" s="35">
        <v>40</v>
      </c>
      <c r="M421" s="36" t="s">
        <v>32</v>
      </c>
      <c r="N421" s="37">
        <v>1</v>
      </c>
      <c r="O421" s="35">
        <v>40</v>
      </c>
      <c r="P421" s="35" t="s">
        <v>33</v>
      </c>
      <c r="Q421" s="97">
        <v>45453</v>
      </c>
      <c r="R421" s="35" t="s">
        <v>62</v>
      </c>
      <c r="S421" s="38"/>
      <c r="T421" s="78">
        <v>2</v>
      </c>
      <c r="U421" s="78"/>
      <c r="V421" s="78"/>
      <c r="W421" s="78" t="s">
        <v>303</v>
      </c>
      <c r="X421" s="78" t="s">
        <v>839</v>
      </c>
      <c r="Y421" s="78">
        <v>1</v>
      </c>
      <c r="Z421" s="78" t="s">
        <v>48</v>
      </c>
      <c r="AA421" s="78" t="s">
        <v>225</v>
      </c>
      <c r="AB421" s="78">
        <v>10</v>
      </c>
    </row>
    <row r="422" spans="1:28" ht="26.25" x14ac:dyDescent="0.25">
      <c r="A422" t="str">
        <f>IF(EXACT('BOM A320 FFS'!B579,obsoleta!D422),"OK","ERROR")</f>
        <v>ERROR</v>
      </c>
      <c r="C422" s="31" t="s">
        <v>314</v>
      </c>
      <c r="D422" s="71">
        <v>1238000249000</v>
      </c>
      <c r="E422" s="71"/>
      <c r="F422" s="32" t="s">
        <v>2153</v>
      </c>
      <c r="G422" s="103" t="s">
        <v>2154</v>
      </c>
      <c r="H422" s="32"/>
      <c r="I422" s="32"/>
      <c r="J422" s="33">
        <v>100</v>
      </c>
      <c r="K422" s="34">
        <v>0.15</v>
      </c>
      <c r="L422" s="35">
        <v>15</v>
      </c>
      <c r="M422" s="36" t="s">
        <v>32</v>
      </c>
      <c r="N422" s="37">
        <v>1</v>
      </c>
      <c r="O422" s="35">
        <v>15</v>
      </c>
      <c r="P422" s="35" t="s">
        <v>33</v>
      </c>
      <c r="Q422" s="97">
        <v>45453</v>
      </c>
      <c r="R422" s="35" t="s">
        <v>62</v>
      </c>
      <c r="S422" s="38"/>
      <c r="T422" s="78">
        <v>2</v>
      </c>
      <c r="U422" s="78"/>
      <c r="V422" s="78"/>
      <c r="W422" s="78" t="s">
        <v>303</v>
      </c>
      <c r="X422" s="78" t="s">
        <v>839</v>
      </c>
      <c r="Y422" s="78">
        <v>1</v>
      </c>
      <c r="Z422" s="78" t="s">
        <v>48</v>
      </c>
      <c r="AA422" s="78" t="s">
        <v>225</v>
      </c>
      <c r="AB422" s="78">
        <v>200</v>
      </c>
    </row>
    <row r="423" spans="1:28" x14ac:dyDescent="0.25">
      <c r="A423" t="str">
        <f>IF(EXACT('BOM A320 FFS'!B580,obsoleta!D423),"OK","ERROR")</f>
        <v>ERROR</v>
      </c>
      <c r="C423" s="31" t="s">
        <v>314</v>
      </c>
      <c r="D423" s="71">
        <v>1219590030000</v>
      </c>
      <c r="E423" s="71"/>
      <c r="F423" s="32" t="s">
        <v>2029</v>
      </c>
      <c r="G423" s="32" t="s">
        <v>2030</v>
      </c>
      <c r="H423" s="32"/>
      <c r="I423" s="32"/>
      <c r="J423" s="33">
        <v>60</v>
      </c>
      <c r="K423" s="34">
        <v>0.35</v>
      </c>
      <c r="L423" s="35">
        <v>21</v>
      </c>
      <c r="M423" s="36" t="s">
        <v>32</v>
      </c>
      <c r="N423" s="37">
        <v>1</v>
      </c>
      <c r="O423" s="35">
        <v>21</v>
      </c>
      <c r="P423" s="35" t="s">
        <v>33</v>
      </c>
      <c r="Q423" s="97">
        <v>45453</v>
      </c>
      <c r="R423" s="35" t="s">
        <v>62</v>
      </c>
      <c r="S423" s="38"/>
      <c r="T423" s="78">
        <v>2</v>
      </c>
      <c r="U423" s="78"/>
      <c r="V423" s="78"/>
      <c r="W423" s="78" t="s">
        <v>303</v>
      </c>
      <c r="X423" s="78" t="s">
        <v>839</v>
      </c>
      <c r="Y423" s="78">
        <v>1</v>
      </c>
      <c r="Z423" s="78" t="s">
        <v>48</v>
      </c>
      <c r="AA423" s="78" t="s">
        <v>225</v>
      </c>
      <c r="AB423" s="78">
        <v>60</v>
      </c>
    </row>
    <row r="424" spans="1:28" ht="26.25" x14ac:dyDescent="0.25">
      <c r="A424" t="str">
        <f>IF(EXACT('BOM A320 FFS'!B581,obsoleta!D424),"OK","ERROR")</f>
        <v>ERROR</v>
      </c>
      <c r="C424" s="31" t="s">
        <v>314</v>
      </c>
      <c r="D424" s="71">
        <v>1218000640300</v>
      </c>
      <c r="E424" s="71"/>
      <c r="F424" s="32" t="s">
        <v>1501</v>
      </c>
      <c r="G424" s="103" t="s">
        <v>1502</v>
      </c>
      <c r="H424" s="32"/>
      <c r="I424" s="32"/>
      <c r="J424" s="33">
        <v>10</v>
      </c>
      <c r="K424" s="34">
        <v>4</v>
      </c>
      <c r="L424" s="35">
        <v>40</v>
      </c>
      <c r="M424" s="36" t="s">
        <v>32</v>
      </c>
      <c r="N424" s="37">
        <v>1</v>
      </c>
      <c r="O424" s="35">
        <v>40</v>
      </c>
      <c r="P424" s="35" t="s">
        <v>33</v>
      </c>
      <c r="Q424" s="97">
        <v>45453</v>
      </c>
      <c r="R424" s="35" t="s">
        <v>62</v>
      </c>
      <c r="S424" s="38"/>
      <c r="T424" s="78">
        <v>2</v>
      </c>
      <c r="U424" s="78"/>
      <c r="V424" s="78"/>
      <c r="W424" s="78" t="s">
        <v>303</v>
      </c>
      <c r="X424" s="78" t="s">
        <v>839</v>
      </c>
      <c r="Y424" s="78">
        <v>1</v>
      </c>
      <c r="Z424" s="78" t="s">
        <v>48</v>
      </c>
      <c r="AA424" s="78" t="s">
        <v>225</v>
      </c>
      <c r="AB424" s="78">
        <v>10</v>
      </c>
    </row>
    <row r="425" spans="1:28" ht="26.25" x14ac:dyDescent="0.25">
      <c r="A425" t="str">
        <f>IF(EXACT('BOM A320 FFS'!B582,obsoleta!D425),"OK","ERROR")</f>
        <v>ERROR</v>
      </c>
      <c r="C425" s="31" t="s">
        <v>314</v>
      </c>
      <c r="D425" s="71">
        <v>1208000640100</v>
      </c>
      <c r="E425" s="71"/>
      <c r="F425" s="32" t="s">
        <v>1504</v>
      </c>
      <c r="G425" s="103" t="s">
        <v>1505</v>
      </c>
      <c r="H425" s="32"/>
      <c r="I425" s="32"/>
      <c r="J425" s="33">
        <v>10</v>
      </c>
      <c r="K425" s="34">
        <v>4</v>
      </c>
      <c r="L425" s="35">
        <v>40</v>
      </c>
      <c r="M425" s="36" t="s">
        <v>32</v>
      </c>
      <c r="N425" s="37">
        <v>1</v>
      </c>
      <c r="O425" s="35">
        <v>40</v>
      </c>
      <c r="P425" s="35" t="s">
        <v>33</v>
      </c>
      <c r="Q425" s="97">
        <v>45453</v>
      </c>
      <c r="R425" s="35" t="s">
        <v>62</v>
      </c>
      <c r="S425" s="38"/>
      <c r="T425" s="78">
        <v>2</v>
      </c>
      <c r="U425" s="78"/>
      <c r="V425" s="78"/>
      <c r="W425" s="78" t="s">
        <v>303</v>
      </c>
      <c r="X425" s="78" t="s">
        <v>839</v>
      </c>
      <c r="Y425" s="78">
        <v>1</v>
      </c>
      <c r="Z425" s="78" t="s">
        <v>48</v>
      </c>
      <c r="AA425" s="78" t="s">
        <v>225</v>
      </c>
      <c r="AB425" s="78">
        <v>10</v>
      </c>
    </row>
    <row r="426" spans="1:28" ht="26.25" x14ac:dyDescent="0.25">
      <c r="A426" t="str">
        <f>IF(EXACT('BOM A320 FFS'!B583,obsoleta!D426),"OK","ERROR")</f>
        <v>ERROR</v>
      </c>
      <c r="C426" s="31" t="s">
        <v>314</v>
      </c>
      <c r="D426" s="71">
        <v>1219090000700</v>
      </c>
      <c r="E426" s="71"/>
      <c r="F426" s="32" t="s">
        <v>2156</v>
      </c>
      <c r="G426" s="103" t="s">
        <v>2157</v>
      </c>
      <c r="H426" s="32"/>
      <c r="I426" s="32"/>
      <c r="J426" s="33">
        <v>100</v>
      </c>
      <c r="K426" s="34">
        <v>0.15</v>
      </c>
      <c r="L426" s="35">
        <v>15</v>
      </c>
      <c r="M426" s="36" t="s">
        <v>32</v>
      </c>
      <c r="N426" s="37">
        <v>1</v>
      </c>
      <c r="O426" s="35">
        <v>15</v>
      </c>
      <c r="P426" s="35" t="s">
        <v>33</v>
      </c>
      <c r="Q426" s="97">
        <v>45453</v>
      </c>
      <c r="R426" s="35" t="s">
        <v>62</v>
      </c>
      <c r="S426" s="38"/>
      <c r="T426" s="78">
        <v>2</v>
      </c>
      <c r="U426" s="78"/>
      <c r="V426" s="78"/>
      <c r="W426" s="78" t="s">
        <v>303</v>
      </c>
      <c r="X426" s="78" t="s">
        <v>839</v>
      </c>
      <c r="Y426" s="78">
        <v>1</v>
      </c>
      <c r="Z426" s="78" t="s">
        <v>48</v>
      </c>
      <c r="AA426" s="78" t="s">
        <v>225</v>
      </c>
      <c r="AB426" s="78">
        <v>100</v>
      </c>
    </row>
    <row r="427" spans="1:28" ht="26.25" x14ac:dyDescent="0.25">
      <c r="A427" t="str">
        <f>IF(EXACT('BOM A320 FFS'!B584,obsoleta!D427),"OK","ERROR")</f>
        <v>ERROR</v>
      </c>
      <c r="C427" s="31" t="s">
        <v>314</v>
      </c>
      <c r="D427" s="71">
        <v>1209090040000</v>
      </c>
      <c r="E427" s="71"/>
      <c r="F427" s="32" t="s">
        <v>2150</v>
      </c>
      <c r="G427" s="103" t="s">
        <v>2151</v>
      </c>
      <c r="H427" s="32"/>
      <c r="I427" s="32"/>
      <c r="J427" s="33">
        <v>100</v>
      </c>
      <c r="K427" s="34">
        <v>0.15</v>
      </c>
      <c r="L427" s="35">
        <v>15</v>
      </c>
      <c r="M427" s="36" t="s">
        <v>32</v>
      </c>
      <c r="N427" s="37">
        <v>1</v>
      </c>
      <c r="O427" s="35">
        <v>15</v>
      </c>
      <c r="P427" s="35" t="s">
        <v>33</v>
      </c>
      <c r="Q427" s="97">
        <v>45453</v>
      </c>
      <c r="R427" s="35" t="s">
        <v>62</v>
      </c>
      <c r="S427" s="38"/>
      <c r="T427" s="78">
        <v>2</v>
      </c>
      <c r="U427" s="78"/>
      <c r="V427" s="78"/>
      <c r="W427" s="78" t="s">
        <v>303</v>
      </c>
      <c r="X427" s="78" t="s">
        <v>839</v>
      </c>
      <c r="Y427" s="78">
        <v>1</v>
      </c>
      <c r="Z427" s="78" t="s">
        <v>48</v>
      </c>
      <c r="AA427" s="78" t="s">
        <v>225</v>
      </c>
      <c r="AB427" s="78">
        <v>100</v>
      </c>
    </row>
    <row r="428" spans="1:28" x14ac:dyDescent="0.25">
      <c r="A428" t="str">
        <f>IF(EXACT('BOM A320 FFS'!B585,obsoleta!D428),"OK","ERROR")</f>
        <v>ERROR</v>
      </c>
      <c r="C428" s="31" t="s">
        <v>314</v>
      </c>
      <c r="D428" s="71">
        <v>1219990340200</v>
      </c>
      <c r="E428" s="71"/>
      <c r="F428" s="32" t="s">
        <v>2147</v>
      </c>
      <c r="G428" s="103" t="s">
        <v>2148</v>
      </c>
      <c r="H428" s="32"/>
      <c r="I428" s="32"/>
      <c r="J428" s="33">
        <v>100</v>
      </c>
      <c r="K428" s="34">
        <v>0.15</v>
      </c>
      <c r="L428" s="35">
        <v>15</v>
      </c>
      <c r="M428" s="36" t="s">
        <v>32</v>
      </c>
      <c r="N428" s="37">
        <v>1</v>
      </c>
      <c r="O428" s="35">
        <v>15</v>
      </c>
      <c r="P428" s="35" t="s">
        <v>33</v>
      </c>
      <c r="Q428" s="97">
        <v>45453</v>
      </c>
      <c r="R428" s="35" t="s">
        <v>62</v>
      </c>
      <c r="S428" s="38"/>
      <c r="T428" s="78">
        <v>2</v>
      </c>
      <c r="U428" s="78"/>
      <c r="V428" s="78"/>
      <c r="W428" s="78" t="s">
        <v>303</v>
      </c>
      <c r="X428" s="78" t="s">
        <v>839</v>
      </c>
      <c r="Y428" s="78">
        <v>1</v>
      </c>
      <c r="Z428" s="78" t="s">
        <v>48</v>
      </c>
      <c r="AA428" s="78" t="s">
        <v>225</v>
      </c>
      <c r="AB428" s="78">
        <v>100</v>
      </c>
    </row>
    <row r="429" spans="1:28" x14ac:dyDescent="0.25">
      <c r="A429" t="str">
        <f>IF(EXACT('BOM A320 FFS'!B587,obsoleta!D429),"OK","ERROR")</f>
        <v>ERROR</v>
      </c>
      <c r="C429" s="31" t="s">
        <v>314</v>
      </c>
      <c r="D429" s="71">
        <v>1219090030200</v>
      </c>
      <c r="E429" s="71"/>
      <c r="F429" s="32" t="s">
        <v>2144</v>
      </c>
      <c r="G429" s="103">
        <v>50394</v>
      </c>
      <c r="H429" s="32"/>
      <c r="I429" s="32"/>
      <c r="J429" s="33">
        <v>100</v>
      </c>
      <c r="K429" s="34">
        <v>0.15</v>
      </c>
      <c r="L429" s="35">
        <v>15</v>
      </c>
      <c r="M429" s="36" t="s">
        <v>32</v>
      </c>
      <c r="N429" s="37">
        <v>1</v>
      </c>
      <c r="O429" s="35">
        <v>15</v>
      </c>
      <c r="P429" s="35" t="s">
        <v>33</v>
      </c>
      <c r="Q429" s="97">
        <v>45453</v>
      </c>
      <c r="R429" s="35" t="s">
        <v>62</v>
      </c>
      <c r="S429" s="38"/>
      <c r="T429" s="78">
        <v>2</v>
      </c>
      <c r="U429" s="78"/>
      <c r="V429" s="78"/>
      <c r="W429" s="78" t="s">
        <v>303</v>
      </c>
      <c r="X429" s="78" t="s">
        <v>839</v>
      </c>
      <c r="Y429" s="78">
        <v>1</v>
      </c>
      <c r="Z429" s="78" t="s">
        <v>48</v>
      </c>
      <c r="AA429" s="78" t="s">
        <v>225</v>
      </c>
      <c r="AB429" s="78">
        <v>100</v>
      </c>
    </row>
    <row r="430" spans="1:28" x14ac:dyDescent="0.25">
      <c r="A430" t="str">
        <f>IF(EXACT('BOM A320 FFS'!B588,obsoleta!D430),"OK","ERROR")</f>
        <v>ERROR</v>
      </c>
      <c r="C430" s="31" t="s">
        <v>314</v>
      </c>
      <c r="D430" s="71">
        <v>1219000990400</v>
      </c>
      <c r="E430" s="71"/>
      <c r="F430" s="32" t="s">
        <v>2162</v>
      </c>
      <c r="G430" s="103" t="s">
        <v>2163</v>
      </c>
      <c r="H430" s="32"/>
      <c r="I430" s="32"/>
      <c r="J430" s="33">
        <v>100</v>
      </c>
      <c r="K430" s="34">
        <v>0.15</v>
      </c>
      <c r="L430" s="35">
        <v>15</v>
      </c>
      <c r="M430" s="36" t="s">
        <v>32</v>
      </c>
      <c r="N430" s="37">
        <v>1</v>
      </c>
      <c r="O430" s="35">
        <v>15</v>
      </c>
      <c r="P430" s="35" t="s">
        <v>33</v>
      </c>
      <c r="Q430" s="97">
        <v>45453</v>
      </c>
      <c r="R430" s="35" t="s">
        <v>62</v>
      </c>
      <c r="S430" s="38"/>
      <c r="T430" s="78">
        <v>2</v>
      </c>
      <c r="U430" s="78"/>
      <c r="V430" s="78"/>
      <c r="W430" s="78" t="s">
        <v>303</v>
      </c>
      <c r="X430" s="78" t="s">
        <v>839</v>
      </c>
      <c r="Y430" s="78">
        <v>1</v>
      </c>
      <c r="Z430" s="78" t="s">
        <v>48</v>
      </c>
      <c r="AA430" s="78" t="s">
        <v>225</v>
      </c>
      <c r="AB430" s="78">
        <v>100</v>
      </c>
    </row>
    <row r="431" spans="1:28" x14ac:dyDescent="0.25">
      <c r="A431" t="str">
        <f>IF(EXACT('BOM A320 FFS'!B589,obsoleta!D431),"OK","ERROR")</f>
        <v>ERROR</v>
      </c>
      <c r="C431" s="31" t="s">
        <v>314</v>
      </c>
      <c r="D431" s="71">
        <v>1219000830200</v>
      </c>
      <c r="E431" s="71"/>
      <c r="F431" s="32" t="s">
        <v>2159</v>
      </c>
      <c r="G431" s="103" t="s">
        <v>2160</v>
      </c>
      <c r="H431" s="28"/>
      <c r="I431" s="28"/>
      <c r="J431" s="40">
        <v>100</v>
      </c>
      <c r="K431" s="30">
        <v>0.15</v>
      </c>
      <c r="L431" s="30">
        <v>15</v>
      </c>
      <c r="M431" s="26" t="s">
        <v>32</v>
      </c>
      <c r="N431" s="26">
        <v>1</v>
      </c>
      <c r="O431" s="41">
        <v>15</v>
      </c>
      <c r="P431" s="41" t="s">
        <v>33</v>
      </c>
      <c r="Q431" s="98">
        <v>45453</v>
      </c>
      <c r="R431" s="41" t="s">
        <v>62</v>
      </c>
      <c r="S431" s="30"/>
      <c r="T431" s="82">
        <v>2</v>
      </c>
      <c r="U431" s="82"/>
      <c r="V431" s="82"/>
      <c r="W431" s="82" t="s">
        <v>303</v>
      </c>
      <c r="X431" s="82" t="s">
        <v>839</v>
      </c>
      <c r="Y431" s="82">
        <v>1</v>
      </c>
      <c r="Z431" s="82" t="s">
        <v>48</v>
      </c>
      <c r="AA431" s="82" t="s">
        <v>225</v>
      </c>
      <c r="AB431" s="82">
        <v>100</v>
      </c>
    </row>
    <row r="432" spans="1:28" x14ac:dyDescent="0.25">
      <c r="A432" t="str">
        <f>IF(EXACT('BOM A320 FFS'!B591,obsoleta!D432),"OK","ERROR")</f>
        <v>ERROR</v>
      </c>
      <c r="C432" s="39"/>
      <c r="D432" s="39"/>
      <c r="E432" s="39"/>
      <c r="F432" s="28"/>
      <c r="G432" s="28"/>
      <c r="H432" s="28"/>
      <c r="I432" s="28"/>
      <c r="J432" s="40"/>
      <c r="K432" s="30"/>
      <c r="L432" s="30"/>
      <c r="M432" s="26"/>
      <c r="N432" s="26"/>
      <c r="O432" s="41"/>
      <c r="P432" s="41"/>
      <c r="Q432" s="98"/>
      <c r="R432" s="41"/>
      <c r="S432" s="30"/>
      <c r="T432" s="82"/>
      <c r="U432" s="82"/>
      <c r="V432" s="82"/>
      <c r="W432" s="82"/>
      <c r="X432" s="82"/>
      <c r="Y432" s="82"/>
      <c r="Z432" s="82"/>
      <c r="AA432" s="82" t="s">
        <v>225</v>
      </c>
      <c r="AB432" s="82"/>
    </row>
    <row r="433" spans="1:28" x14ac:dyDescent="0.25">
      <c r="A433" t="str">
        <f>IF(EXACT('BOM A320 FFS'!B592,obsoleta!D433),"OK","ERROR")</f>
        <v>ERROR</v>
      </c>
      <c r="C433" s="48"/>
      <c r="D433" s="48" t="s">
        <v>3655</v>
      </c>
      <c r="E433" s="48"/>
      <c r="F433" s="28"/>
      <c r="G433" s="28"/>
      <c r="H433" s="32"/>
      <c r="I433" s="32"/>
      <c r="J433" s="33"/>
      <c r="K433" s="34"/>
      <c r="L433" s="35"/>
      <c r="M433" s="36"/>
      <c r="N433" s="37"/>
      <c r="O433" s="35"/>
      <c r="P433" s="35"/>
      <c r="Q433" s="97"/>
      <c r="R433" s="35"/>
      <c r="S433" s="38"/>
      <c r="T433" s="78"/>
      <c r="U433" s="78"/>
      <c r="V433" s="78"/>
      <c r="W433" s="78"/>
      <c r="X433" s="78"/>
      <c r="Y433" s="78"/>
      <c r="Z433" s="78"/>
      <c r="AA433" s="78" t="s">
        <v>225</v>
      </c>
      <c r="AB433" s="78"/>
    </row>
    <row r="434" spans="1:28" x14ac:dyDescent="0.25">
      <c r="A434" t="str">
        <f>IF(EXACT('BOM A320 FFS'!B593,obsoleta!D434),"OK","ERROR")</f>
        <v>ERROR</v>
      </c>
      <c r="C434" s="31" t="s">
        <v>108</v>
      </c>
      <c r="D434" s="71">
        <v>1218000325100</v>
      </c>
      <c r="E434" s="71"/>
      <c r="F434" s="32" t="s">
        <v>1392</v>
      </c>
      <c r="G434" s="32">
        <v>522</v>
      </c>
      <c r="H434" s="32" t="s">
        <v>1394</v>
      </c>
      <c r="I434" s="32" t="s">
        <v>1395</v>
      </c>
      <c r="J434" s="33">
        <v>10</v>
      </c>
      <c r="K434" s="34">
        <v>7.74</v>
      </c>
      <c r="L434" s="35">
        <v>77.400000000000006</v>
      </c>
      <c r="M434" s="36" t="s">
        <v>32</v>
      </c>
      <c r="N434" s="37">
        <v>1</v>
      </c>
      <c r="O434" s="35">
        <v>77.400000000000006</v>
      </c>
      <c r="P434" s="35" t="s">
        <v>33</v>
      </c>
      <c r="Q434" s="97">
        <v>45453</v>
      </c>
      <c r="R434" s="35" t="s">
        <v>62</v>
      </c>
      <c r="S434" s="38"/>
      <c r="T434" s="78">
        <v>2</v>
      </c>
      <c r="U434" s="78"/>
      <c r="V434" s="78"/>
      <c r="W434" s="78" t="s">
        <v>114</v>
      </c>
      <c r="X434" s="78" t="s">
        <v>3713</v>
      </c>
      <c r="Y434" s="78">
        <v>1</v>
      </c>
      <c r="Z434" s="78" t="s">
        <v>48</v>
      </c>
      <c r="AA434" s="78" t="s">
        <v>225</v>
      </c>
      <c r="AB434" s="78">
        <v>10</v>
      </c>
    </row>
    <row r="435" spans="1:28" x14ac:dyDescent="0.25">
      <c r="A435" t="str">
        <f>IF(EXACT('BOM A320 FFS'!B595,obsoleta!D435),"OK","ERROR")</f>
        <v>ERROR</v>
      </c>
      <c r="C435" s="31" t="s">
        <v>108</v>
      </c>
      <c r="D435" s="71">
        <v>1204800300000</v>
      </c>
      <c r="E435" s="71"/>
      <c r="F435" s="32" t="s">
        <v>1367</v>
      </c>
      <c r="G435" s="32" t="s">
        <v>1368</v>
      </c>
      <c r="H435" s="32" t="s">
        <v>1039</v>
      </c>
      <c r="I435" s="32" t="s">
        <v>1040</v>
      </c>
      <c r="J435" s="33">
        <v>10</v>
      </c>
      <c r="K435" s="34">
        <v>8.8699999999999992</v>
      </c>
      <c r="L435" s="35">
        <v>88.7</v>
      </c>
      <c r="M435" s="36" t="s">
        <v>32</v>
      </c>
      <c r="N435" s="37">
        <v>1</v>
      </c>
      <c r="O435" s="35">
        <v>88.7</v>
      </c>
      <c r="P435" s="35" t="s">
        <v>33</v>
      </c>
      <c r="Q435" s="97">
        <v>45453</v>
      </c>
      <c r="R435" s="35" t="s">
        <v>62</v>
      </c>
      <c r="S435" s="38"/>
      <c r="T435" s="78">
        <v>2</v>
      </c>
      <c r="U435" s="78"/>
      <c r="V435" s="78"/>
      <c r="W435" s="78" t="s">
        <v>114</v>
      </c>
      <c r="X435" s="78" t="s">
        <v>3713</v>
      </c>
      <c r="Y435" s="78">
        <v>1</v>
      </c>
      <c r="Z435" s="78" t="s">
        <v>48</v>
      </c>
      <c r="AA435" s="78" t="s">
        <v>225</v>
      </c>
      <c r="AB435" s="78">
        <v>10</v>
      </c>
    </row>
    <row r="436" spans="1:28" x14ac:dyDescent="0.25">
      <c r="A436" t="str">
        <f>IF(EXACT('BOM A320 FFS'!B596,obsoleta!D436),"OK","ERROR")</f>
        <v>ERROR</v>
      </c>
      <c r="C436" s="31" t="s">
        <v>108</v>
      </c>
      <c r="D436" s="71">
        <v>1208000323400</v>
      </c>
      <c r="E436" s="71"/>
      <c r="F436" s="32" t="s">
        <v>1535</v>
      </c>
      <c r="G436" s="32">
        <v>248</v>
      </c>
      <c r="H436" s="32" t="s">
        <v>1394</v>
      </c>
      <c r="I436" s="32" t="s">
        <v>1395</v>
      </c>
      <c r="J436" s="33">
        <v>10</v>
      </c>
      <c r="K436" s="34">
        <v>3.2</v>
      </c>
      <c r="L436" s="35">
        <v>32</v>
      </c>
      <c r="M436" s="36" t="s">
        <v>32</v>
      </c>
      <c r="N436" s="37">
        <v>1</v>
      </c>
      <c r="O436" s="35">
        <v>32</v>
      </c>
      <c r="P436" s="35" t="s">
        <v>33</v>
      </c>
      <c r="Q436" s="97">
        <v>45453</v>
      </c>
      <c r="R436" s="35" t="s">
        <v>62</v>
      </c>
      <c r="S436" s="38"/>
      <c r="T436" s="78">
        <v>2</v>
      </c>
      <c r="U436" s="78"/>
      <c r="V436" s="78"/>
      <c r="W436" s="78" t="s">
        <v>114</v>
      </c>
      <c r="X436" s="78" t="s">
        <v>3713</v>
      </c>
      <c r="Y436" s="78">
        <v>1</v>
      </c>
      <c r="Z436" s="78" t="s">
        <v>48</v>
      </c>
      <c r="AA436" s="78" t="s">
        <v>225</v>
      </c>
      <c r="AB436" s="78">
        <v>10</v>
      </c>
    </row>
    <row r="437" spans="1:28" x14ac:dyDescent="0.25">
      <c r="A437" t="str">
        <f>IF(EXACT('BOM A320 FFS'!B597,obsoleta!D437),"OK","ERROR")</f>
        <v>ERROR</v>
      </c>
      <c r="C437" s="31" t="s">
        <v>108</v>
      </c>
      <c r="D437" s="71">
        <v>1218000325200</v>
      </c>
      <c r="E437" s="71"/>
      <c r="F437" s="32" t="s">
        <v>1466</v>
      </c>
      <c r="G437" s="32">
        <v>510</v>
      </c>
      <c r="H437" s="32" t="s">
        <v>1394</v>
      </c>
      <c r="I437" s="32" t="s">
        <v>1395</v>
      </c>
      <c r="J437" s="33">
        <v>10</v>
      </c>
      <c r="K437" s="34">
        <v>4.93</v>
      </c>
      <c r="L437" s="35">
        <v>49.3</v>
      </c>
      <c r="M437" s="36" t="s">
        <v>32</v>
      </c>
      <c r="N437" s="37">
        <v>1</v>
      </c>
      <c r="O437" s="35">
        <v>49.3</v>
      </c>
      <c r="P437" s="35" t="s">
        <v>33</v>
      </c>
      <c r="Q437" s="97">
        <v>45453</v>
      </c>
      <c r="R437" s="35" t="s">
        <v>62</v>
      </c>
      <c r="S437" s="38"/>
      <c r="T437" s="78">
        <v>2</v>
      </c>
      <c r="U437" s="78"/>
      <c r="V437" s="78"/>
      <c r="W437" s="78" t="s">
        <v>114</v>
      </c>
      <c r="X437" s="78" t="s">
        <v>3713</v>
      </c>
      <c r="Y437" s="78">
        <v>1</v>
      </c>
      <c r="Z437" s="78" t="s">
        <v>48</v>
      </c>
      <c r="AA437" s="78" t="s">
        <v>225</v>
      </c>
      <c r="AB437" s="78">
        <v>10</v>
      </c>
    </row>
    <row r="438" spans="1:28" x14ac:dyDescent="0.25">
      <c r="A438" t="str">
        <f>IF(EXACT('BOM A320 FFS'!B598,obsoleta!D438),"OK","ERROR")</f>
        <v>ERROR</v>
      </c>
      <c r="C438" s="31" t="s">
        <v>108</v>
      </c>
      <c r="D438" s="71">
        <v>1204800305000</v>
      </c>
      <c r="E438" s="71"/>
      <c r="F438" s="32" t="s">
        <v>1397</v>
      </c>
      <c r="G438" s="32" t="s">
        <v>1398</v>
      </c>
      <c r="H438" s="32" t="s">
        <v>1399</v>
      </c>
      <c r="I438" s="32"/>
      <c r="J438" s="33">
        <v>8</v>
      </c>
      <c r="K438" s="34">
        <v>7.41</v>
      </c>
      <c r="L438" s="35">
        <v>59.28</v>
      </c>
      <c r="M438" s="36" t="s">
        <v>32</v>
      </c>
      <c r="N438" s="37">
        <v>1</v>
      </c>
      <c r="O438" s="35">
        <v>59.28</v>
      </c>
      <c r="P438" s="35" t="s">
        <v>33</v>
      </c>
      <c r="Q438" s="97">
        <v>45453</v>
      </c>
      <c r="R438" s="35" t="s">
        <v>62</v>
      </c>
      <c r="S438" s="38"/>
      <c r="T438" s="78">
        <v>2</v>
      </c>
      <c r="U438" s="78"/>
      <c r="V438" s="78"/>
      <c r="W438" s="78" t="s">
        <v>114</v>
      </c>
      <c r="X438" s="78" t="s">
        <v>3713</v>
      </c>
      <c r="Y438" s="78">
        <v>1</v>
      </c>
      <c r="Z438" s="78" t="s">
        <v>48</v>
      </c>
      <c r="AA438" s="78" t="s">
        <v>225</v>
      </c>
      <c r="AB438" s="78">
        <v>8</v>
      </c>
    </row>
    <row r="439" spans="1:28" x14ac:dyDescent="0.25">
      <c r="A439" t="str">
        <f>IF(EXACT('BOM A320 FFS'!B599,obsoleta!D439),"OK","ERROR")</f>
        <v>ERROR</v>
      </c>
      <c r="C439" s="31" t="s">
        <v>108</v>
      </c>
      <c r="D439" s="31" t="s">
        <v>1678</v>
      </c>
      <c r="E439" s="31"/>
      <c r="F439" s="32" t="s">
        <v>1679</v>
      </c>
      <c r="G439" s="32" t="s">
        <v>1680</v>
      </c>
      <c r="H439" s="32" t="s">
        <v>1681</v>
      </c>
      <c r="I439" s="32"/>
      <c r="J439" s="33">
        <v>10</v>
      </c>
      <c r="K439" s="34">
        <v>1.97</v>
      </c>
      <c r="L439" s="35">
        <v>19.7</v>
      </c>
      <c r="M439" s="36" t="s">
        <v>32</v>
      </c>
      <c r="N439" s="37">
        <v>1</v>
      </c>
      <c r="O439" s="35">
        <v>19.7</v>
      </c>
      <c r="P439" s="35" t="s">
        <v>33</v>
      </c>
      <c r="Q439" s="97">
        <v>45453</v>
      </c>
      <c r="R439" s="35" t="s">
        <v>62</v>
      </c>
      <c r="S439" s="38"/>
      <c r="T439" s="78">
        <v>2</v>
      </c>
      <c r="U439" s="78"/>
      <c r="V439" s="78"/>
      <c r="W439" s="78" t="s">
        <v>114</v>
      </c>
      <c r="X439" s="78" t="s">
        <v>3713</v>
      </c>
      <c r="Y439" s="78">
        <v>1</v>
      </c>
      <c r="Z439" s="78" t="s">
        <v>48</v>
      </c>
      <c r="AA439" s="78" t="s">
        <v>225</v>
      </c>
      <c r="AB439" s="78">
        <v>10</v>
      </c>
    </row>
    <row r="440" spans="1:28" x14ac:dyDescent="0.25">
      <c r="A440" t="str">
        <f>IF(EXACT('BOM A320 FFS'!B600,obsoleta!D440),"OK","ERROR")</f>
        <v>ERROR</v>
      </c>
      <c r="C440" s="31" t="s">
        <v>108</v>
      </c>
      <c r="D440" s="71">
        <v>1208000324100</v>
      </c>
      <c r="E440" s="71"/>
      <c r="F440" s="32" t="s">
        <v>1732</v>
      </c>
      <c r="G440" s="32">
        <v>6566</v>
      </c>
      <c r="H440" s="32" t="s">
        <v>1733</v>
      </c>
      <c r="I440" s="32"/>
      <c r="J440" s="33">
        <v>25</v>
      </c>
      <c r="K440" s="34">
        <v>1.25</v>
      </c>
      <c r="L440" s="35">
        <v>31.25</v>
      </c>
      <c r="M440" s="36" t="s">
        <v>32</v>
      </c>
      <c r="N440" s="37">
        <v>1</v>
      </c>
      <c r="O440" s="35">
        <v>31.25</v>
      </c>
      <c r="P440" s="35" t="s">
        <v>33</v>
      </c>
      <c r="Q440" s="97">
        <v>45453</v>
      </c>
      <c r="R440" s="35" t="s">
        <v>62</v>
      </c>
      <c r="S440" s="38"/>
      <c r="T440" s="78">
        <v>2</v>
      </c>
      <c r="U440" s="78"/>
      <c r="V440" s="78"/>
      <c r="W440" s="78" t="s">
        <v>114</v>
      </c>
      <c r="X440" s="78" t="s">
        <v>3713</v>
      </c>
      <c r="Y440" s="78">
        <v>1</v>
      </c>
      <c r="Z440" s="78" t="s">
        <v>48</v>
      </c>
      <c r="AA440" s="78" t="s">
        <v>225</v>
      </c>
      <c r="AB440" s="78">
        <v>25</v>
      </c>
    </row>
    <row r="441" spans="1:28" x14ac:dyDescent="0.25">
      <c r="A441" t="str">
        <f>IF(EXACT('BOM A320 FFS'!B601,obsoleta!D441),"OK","ERROR")</f>
        <v>ERROR</v>
      </c>
      <c r="C441" s="31" t="s">
        <v>108</v>
      </c>
      <c r="D441" s="71">
        <v>1218000520700</v>
      </c>
      <c r="E441" s="71"/>
      <c r="F441" s="32" t="s">
        <v>1327</v>
      </c>
      <c r="G441" s="32">
        <v>550</v>
      </c>
      <c r="H441" s="32"/>
      <c r="I441" s="32"/>
      <c r="J441" s="33">
        <v>4</v>
      </c>
      <c r="K441" s="38">
        <v>10</v>
      </c>
      <c r="L441" s="35">
        <v>40</v>
      </c>
      <c r="M441" s="36" t="s">
        <v>32</v>
      </c>
      <c r="N441" s="37">
        <v>1</v>
      </c>
      <c r="O441" s="35">
        <v>40</v>
      </c>
      <c r="P441" s="35" t="s">
        <v>33</v>
      </c>
      <c r="Q441" s="97">
        <v>45453</v>
      </c>
      <c r="R441" s="35" t="s">
        <v>62</v>
      </c>
      <c r="S441" s="38" t="s">
        <v>1328</v>
      </c>
      <c r="T441" s="78">
        <v>2</v>
      </c>
      <c r="U441" s="78"/>
      <c r="V441" s="78"/>
      <c r="W441" s="78" t="s">
        <v>114</v>
      </c>
      <c r="X441" s="78" t="s">
        <v>3713</v>
      </c>
      <c r="Y441" s="78">
        <v>1</v>
      </c>
      <c r="Z441" s="78" t="s">
        <v>48</v>
      </c>
      <c r="AA441" s="78" t="s">
        <v>225</v>
      </c>
      <c r="AB441" s="78">
        <v>4</v>
      </c>
    </row>
    <row r="442" spans="1:28" x14ac:dyDescent="0.25">
      <c r="A442" t="str">
        <f>IF(EXACT('BOM A320 FFS'!B602,obsoleta!D442),"OK","ERROR")</f>
        <v>ERROR</v>
      </c>
      <c r="C442" s="31" t="s">
        <v>108</v>
      </c>
      <c r="D442" s="71">
        <v>1218000523200</v>
      </c>
      <c r="E442" s="71"/>
      <c r="F442" s="32" t="s">
        <v>1265</v>
      </c>
      <c r="G442" s="32" t="s">
        <v>1266</v>
      </c>
      <c r="H442" s="32"/>
      <c r="I442" s="32"/>
      <c r="J442" s="33">
        <v>4</v>
      </c>
      <c r="K442" s="38">
        <v>15</v>
      </c>
      <c r="L442" s="35">
        <v>60</v>
      </c>
      <c r="M442" s="36" t="s">
        <v>32</v>
      </c>
      <c r="N442" s="37">
        <v>1</v>
      </c>
      <c r="O442" s="35">
        <v>60</v>
      </c>
      <c r="P442" s="35" t="s">
        <v>33</v>
      </c>
      <c r="Q442" s="97">
        <v>45453</v>
      </c>
      <c r="R442" s="35" t="s">
        <v>62</v>
      </c>
      <c r="S442" s="38"/>
      <c r="T442" s="78">
        <v>2</v>
      </c>
      <c r="U442" s="78"/>
      <c r="V442" s="78"/>
      <c r="W442" s="78" t="s">
        <v>114</v>
      </c>
      <c r="X442" s="78" t="s">
        <v>3713</v>
      </c>
      <c r="Y442" s="78">
        <v>1</v>
      </c>
      <c r="Z442" s="78" t="s">
        <v>48</v>
      </c>
      <c r="AA442" s="78" t="s">
        <v>225</v>
      </c>
      <c r="AB442" s="78">
        <v>4</v>
      </c>
    </row>
    <row r="443" spans="1:28" x14ac:dyDescent="0.25">
      <c r="A443" t="str">
        <f>IF(EXACT('BOM A320 FFS'!B603,obsoleta!D443),"OK","ERROR")</f>
        <v>ERROR</v>
      </c>
      <c r="C443" s="31" t="s">
        <v>108</v>
      </c>
      <c r="D443" s="71">
        <v>1218000523210</v>
      </c>
      <c r="E443" s="71"/>
      <c r="F443" s="32" t="s">
        <v>1268</v>
      </c>
      <c r="G443" s="32">
        <v>3976</v>
      </c>
      <c r="H443" s="32"/>
      <c r="I443" s="32"/>
      <c r="J443" s="33">
        <v>4</v>
      </c>
      <c r="K443" s="34">
        <v>15</v>
      </c>
      <c r="L443" s="35">
        <v>60</v>
      </c>
      <c r="M443" s="36" t="s">
        <v>32</v>
      </c>
      <c r="N443" s="37">
        <v>1</v>
      </c>
      <c r="O443" s="35">
        <v>60</v>
      </c>
      <c r="P443" s="35" t="s">
        <v>33</v>
      </c>
      <c r="Q443" s="97">
        <v>45453</v>
      </c>
      <c r="R443" s="35" t="s">
        <v>62</v>
      </c>
      <c r="S443" s="38" t="s">
        <v>1269</v>
      </c>
      <c r="T443" s="78">
        <v>2</v>
      </c>
      <c r="U443" s="78"/>
      <c r="V443" s="78"/>
      <c r="W443" s="78" t="s">
        <v>114</v>
      </c>
      <c r="X443" s="78" t="s">
        <v>3713</v>
      </c>
      <c r="Y443" s="78">
        <v>1</v>
      </c>
      <c r="Z443" s="78" t="s">
        <v>48</v>
      </c>
      <c r="AA443" s="78" t="s">
        <v>225</v>
      </c>
      <c r="AB443" s="78">
        <v>4</v>
      </c>
    </row>
    <row r="444" spans="1:28" x14ac:dyDescent="0.25">
      <c r="A444" t="str">
        <f>IF(EXACT('BOM A320 FFS'!B604,obsoleta!D444),"OK","ERROR")</f>
        <v>ERROR</v>
      </c>
      <c r="C444" s="31" t="s">
        <v>108</v>
      </c>
      <c r="D444" s="71">
        <v>1208000325700</v>
      </c>
      <c r="E444" s="71"/>
      <c r="F444" s="32" t="s">
        <v>1545</v>
      </c>
      <c r="G444" s="32" t="s">
        <v>1546</v>
      </c>
      <c r="H444" s="28"/>
      <c r="I444" s="28"/>
      <c r="J444" s="40">
        <v>60</v>
      </c>
      <c r="K444" s="30">
        <v>3</v>
      </c>
      <c r="L444" s="30">
        <v>180</v>
      </c>
      <c r="M444" s="26" t="s">
        <v>32</v>
      </c>
      <c r="N444" s="26">
        <v>1</v>
      </c>
      <c r="O444" s="41">
        <v>180</v>
      </c>
      <c r="P444" s="41" t="s">
        <v>33</v>
      </c>
      <c r="Q444" s="98">
        <v>45453</v>
      </c>
      <c r="R444" s="41" t="s">
        <v>62</v>
      </c>
      <c r="S444" s="30"/>
      <c r="T444" s="82">
        <v>2</v>
      </c>
      <c r="U444" s="82"/>
      <c r="V444" s="82"/>
      <c r="W444" s="82" t="s">
        <v>114</v>
      </c>
      <c r="X444" s="82" t="s">
        <v>3713</v>
      </c>
      <c r="Y444" s="82">
        <v>1</v>
      </c>
      <c r="Z444" s="82" t="s">
        <v>48</v>
      </c>
      <c r="AA444" s="82" t="s">
        <v>225</v>
      </c>
      <c r="AB444" s="82">
        <v>60</v>
      </c>
    </row>
    <row r="445" spans="1:28" x14ac:dyDescent="0.25">
      <c r="A445" t="str">
        <f>IF(EXACT('BOM A320 FFS'!B608,obsoleta!D445),"OK","ERROR")</f>
        <v>ERROR</v>
      </c>
      <c r="C445" s="39"/>
      <c r="D445" s="39"/>
      <c r="E445" s="39"/>
      <c r="F445" s="28"/>
      <c r="G445" s="28"/>
      <c r="H445" s="28"/>
      <c r="I445" s="28"/>
      <c r="J445" s="40"/>
      <c r="K445" s="30"/>
      <c r="L445" s="30"/>
      <c r="M445" s="26"/>
      <c r="N445" s="26"/>
      <c r="O445" s="41"/>
      <c r="P445" s="41"/>
      <c r="Q445" s="98"/>
      <c r="R445" s="41"/>
      <c r="S445" s="30"/>
      <c r="T445" s="82"/>
      <c r="U445" s="82"/>
      <c r="V445" s="82"/>
      <c r="W445" s="82"/>
      <c r="X445" s="82"/>
      <c r="Y445" s="82"/>
      <c r="Z445" s="82"/>
      <c r="AA445" s="82" t="s">
        <v>225</v>
      </c>
      <c r="AB445" s="82"/>
    </row>
    <row r="446" spans="1:28" x14ac:dyDescent="0.25">
      <c r="A446" t="str">
        <f>IF(EXACT('BOM A320 FFS'!B609,obsoleta!D446),"OK","ERROR")</f>
        <v>ERROR</v>
      </c>
      <c r="C446" s="48"/>
      <c r="D446" s="48" t="s">
        <v>3656</v>
      </c>
      <c r="E446" s="48"/>
      <c r="F446" s="28"/>
      <c r="G446" s="28"/>
      <c r="H446" s="32"/>
      <c r="I446" s="32"/>
      <c r="J446" s="33"/>
      <c r="K446" s="34"/>
      <c r="L446" s="35"/>
      <c r="M446" s="36"/>
      <c r="N446" s="37"/>
      <c r="O446" s="35"/>
      <c r="P446" s="35"/>
      <c r="Q446" s="97"/>
      <c r="R446" s="35"/>
      <c r="S446" s="38"/>
      <c r="T446" s="78"/>
      <c r="U446" s="78"/>
      <c r="V446" s="78"/>
      <c r="W446" s="78"/>
      <c r="X446" s="78"/>
      <c r="Y446" s="78"/>
      <c r="Z446" s="78"/>
      <c r="AA446" s="78" t="s">
        <v>225</v>
      </c>
      <c r="AB446" s="78"/>
    </row>
    <row r="447" spans="1:28" x14ac:dyDescent="0.25">
      <c r="A447" t="str">
        <f>IF(EXACT('BOM A320 FFS'!B610,obsoleta!D447),"OK","ERROR")</f>
        <v>ERROR</v>
      </c>
      <c r="C447" s="31" t="s">
        <v>314</v>
      </c>
      <c r="D447" s="71">
        <v>1202094770000</v>
      </c>
      <c r="E447" s="71"/>
      <c r="F447" s="32" t="s">
        <v>2051</v>
      </c>
      <c r="G447" s="32" t="s">
        <v>2052</v>
      </c>
      <c r="H447" s="32"/>
      <c r="I447" s="32"/>
      <c r="J447" s="33">
        <v>200</v>
      </c>
      <c r="K447" s="38">
        <v>0.32</v>
      </c>
      <c r="L447" s="35">
        <v>64</v>
      </c>
      <c r="M447" s="36" t="s">
        <v>32</v>
      </c>
      <c r="N447" s="37">
        <v>1</v>
      </c>
      <c r="O447" s="35">
        <v>64</v>
      </c>
      <c r="P447" s="35" t="s">
        <v>33</v>
      </c>
      <c r="Q447" s="97">
        <v>45453</v>
      </c>
      <c r="R447" s="35" t="s">
        <v>62</v>
      </c>
      <c r="S447" s="38"/>
      <c r="T447" s="78">
        <v>2</v>
      </c>
      <c r="U447" s="78"/>
      <c r="V447" s="78"/>
      <c r="W447" s="78" t="s">
        <v>303</v>
      </c>
      <c r="X447" s="78" t="s">
        <v>839</v>
      </c>
      <c r="Y447" s="78">
        <v>1</v>
      </c>
      <c r="Z447" s="78" t="s">
        <v>48</v>
      </c>
      <c r="AA447" s="78" t="s">
        <v>225</v>
      </c>
      <c r="AB447" s="78">
        <v>200</v>
      </c>
    </row>
    <row r="448" spans="1:28" x14ac:dyDescent="0.25">
      <c r="A448" t="str">
        <f>IF(EXACT('BOM A320 FFS'!B611,obsoleta!D448),"OK","ERROR")</f>
        <v>ERROR</v>
      </c>
      <c r="C448" s="31" t="s">
        <v>314</v>
      </c>
      <c r="D448" s="71">
        <v>956001033</v>
      </c>
      <c r="E448" s="71"/>
      <c r="F448" s="32" t="s">
        <v>1687</v>
      </c>
      <c r="G448" s="32">
        <v>956001033</v>
      </c>
      <c r="H448" s="32" t="s">
        <v>1688</v>
      </c>
      <c r="I448" s="32" t="s">
        <v>586</v>
      </c>
      <c r="J448" s="33">
        <v>5</v>
      </c>
      <c r="K448" s="34">
        <v>1.61</v>
      </c>
      <c r="L448" s="35">
        <v>8.06</v>
      </c>
      <c r="M448" s="36" t="s">
        <v>32</v>
      </c>
      <c r="N448" s="37">
        <v>1</v>
      </c>
      <c r="O448" s="35">
        <v>8.06</v>
      </c>
      <c r="P448" s="35" t="s">
        <v>33</v>
      </c>
      <c r="Q448" s="97">
        <v>45453</v>
      </c>
      <c r="R448" s="35" t="s">
        <v>62</v>
      </c>
      <c r="S448" s="38"/>
      <c r="T448" s="78">
        <v>2</v>
      </c>
      <c r="U448" s="78"/>
      <c r="V448" s="78"/>
      <c r="W448" s="78" t="s">
        <v>303</v>
      </c>
      <c r="X448" s="78" t="s">
        <v>839</v>
      </c>
      <c r="Y448" s="78">
        <v>1</v>
      </c>
      <c r="Z448" s="78" t="s">
        <v>48</v>
      </c>
      <c r="AA448" s="78" t="s">
        <v>225</v>
      </c>
      <c r="AB448" s="78">
        <v>5</v>
      </c>
    </row>
    <row r="449" spans="1:28" x14ac:dyDescent="0.25">
      <c r="A449" t="str">
        <f>IF(EXACT('BOM A320 FFS'!B617,obsoleta!D449),"OK","ERROR")</f>
        <v>ERROR</v>
      </c>
      <c r="C449" s="31" t="s">
        <v>314</v>
      </c>
      <c r="D449" s="71">
        <v>956002604</v>
      </c>
      <c r="E449" s="71"/>
      <c r="F449" s="32" t="s">
        <v>2200</v>
      </c>
      <c r="G449" s="32" t="s">
        <v>2201</v>
      </c>
      <c r="H449" s="32" t="s">
        <v>2202</v>
      </c>
      <c r="I449" s="32" t="s">
        <v>1040</v>
      </c>
      <c r="J449" s="33">
        <v>300</v>
      </c>
      <c r="K449" s="34">
        <v>0.09</v>
      </c>
      <c r="L449" s="35">
        <v>27</v>
      </c>
      <c r="M449" s="36" t="s">
        <v>32</v>
      </c>
      <c r="N449" s="37">
        <v>1</v>
      </c>
      <c r="O449" s="35">
        <v>27</v>
      </c>
      <c r="P449" s="35" t="s">
        <v>33</v>
      </c>
      <c r="Q449" s="97">
        <v>45453</v>
      </c>
      <c r="R449" s="35" t="s">
        <v>62</v>
      </c>
      <c r="S449" s="38"/>
      <c r="T449" s="78">
        <v>2</v>
      </c>
      <c r="U449" s="78"/>
      <c r="V449" s="78"/>
      <c r="W449" s="78" t="s">
        <v>303</v>
      </c>
      <c r="X449" s="78" t="s">
        <v>839</v>
      </c>
      <c r="Y449" s="78">
        <v>1</v>
      </c>
      <c r="Z449" s="78" t="s">
        <v>48</v>
      </c>
      <c r="AA449" s="78" t="s">
        <v>225</v>
      </c>
      <c r="AB449" s="78">
        <v>300</v>
      </c>
    </row>
    <row r="450" spans="1:28" x14ac:dyDescent="0.25">
      <c r="A450" t="str">
        <f>IF(EXACT('BOM A320 FFS'!B618,obsoleta!D450),"OK","ERROR")</f>
        <v>ERROR</v>
      </c>
      <c r="C450" s="31" t="s">
        <v>314</v>
      </c>
      <c r="D450" s="71">
        <v>1202094170000</v>
      </c>
      <c r="E450" s="71"/>
      <c r="F450" s="32" t="s">
        <v>1954</v>
      </c>
      <c r="G450" s="32" t="s">
        <v>1955</v>
      </c>
      <c r="H450" s="32"/>
      <c r="I450" s="32"/>
      <c r="J450" s="33">
        <v>400</v>
      </c>
      <c r="K450" s="38">
        <v>0.5</v>
      </c>
      <c r="L450" s="35">
        <v>200</v>
      </c>
      <c r="M450" s="36" t="s">
        <v>32</v>
      </c>
      <c r="N450" s="37">
        <v>1</v>
      </c>
      <c r="O450" s="35">
        <v>200</v>
      </c>
      <c r="P450" s="35" t="s">
        <v>33</v>
      </c>
      <c r="Q450" s="97">
        <v>45453</v>
      </c>
      <c r="R450" s="35" t="s">
        <v>62</v>
      </c>
      <c r="S450" s="38"/>
      <c r="T450" s="78">
        <v>2</v>
      </c>
      <c r="U450" s="78"/>
      <c r="V450" s="78"/>
      <c r="W450" s="78" t="s">
        <v>303</v>
      </c>
      <c r="X450" s="78" t="s">
        <v>839</v>
      </c>
      <c r="Y450" s="78">
        <v>1</v>
      </c>
      <c r="Z450" s="78" t="s">
        <v>48</v>
      </c>
      <c r="AA450" s="78" t="s">
        <v>225</v>
      </c>
      <c r="AB450" s="78">
        <v>400</v>
      </c>
    </row>
    <row r="451" spans="1:28" x14ac:dyDescent="0.25">
      <c r="A451" t="str">
        <f>IF(EXACT('BOM A320 FFS'!B619,obsoleta!D451),"OK","ERROR")</f>
        <v>ERROR</v>
      </c>
      <c r="C451" s="31" t="s">
        <v>314</v>
      </c>
      <c r="D451" s="71">
        <v>1230525190000</v>
      </c>
      <c r="E451" s="71"/>
      <c r="F451" s="32" t="s">
        <v>1898</v>
      </c>
      <c r="G451" s="32" t="s">
        <v>1899</v>
      </c>
      <c r="H451" s="32" t="s">
        <v>1741</v>
      </c>
      <c r="I451" s="32" t="s">
        <v>586</v>
      </c>
      <c r="J451" s="33">
        <v>1000</v>
      </c>
      <c r="K451" s="38">
        <v>0.56999999999999995</v>
      </c>
      <c r="L451" s="35">
        <v>567</v>
      </c>
      <c r="M451" s="36" t="s">
        <v>32</v>
      </c>
      <c r="N451" s="37">
        <v>1</v>
      </c>
      <c r="O451" s="35">
        <v>567</v>
      </c>
      <c r="P451" s="35" t="s">
        <v>33</v>
      </c>
      <c r="Q451" s="97">
        <v>45453</v>
      </c>
      <c r="R451" s="35" t="s">
        <v>62</v>
      </c>
      <c r="S451" s="38"/>
      <c r="T451" s="78">
        <v>2</v>
      </c>
      <c r="U451" s="78"/>
      <c r="V451" s="78"/>
      <c r="W451" s="78" t="s">
        <v>303</v>
      </c>
      <c r="X451" s="78" t="s">
        <v>839</v>
      </c>
      <c r="Y451" s="78">
        <v>1</v>
      </c>
      <c r="Z451" s="78" t="s">
        <v>48</v>
      </c>
      <c r="AA451" s="78" t="s">
        <v>225</v>
      </c>
      <c r="AB451" s="78">
        <v>1000</v>
      </c>
    </row>
    <row r="452" spans="1:28" x14ac:dyDescent="0.25">
      <c r="A452" t="str">
        <f>IF(EXACT('BOM A320 FFS'!B621,obsoleta!D452),"OK","ERROR")</f>
        <v>ERROR</v>
      </c>
      <c r="C452" s="31" t="s">
        <v>314</v>
      </c>
      <c r="D452" s="71">
        <v>1231024160020</v>
      </c>
      <c r="E452" s="71"/>
      <c r="F452" s="32" t="s">
        <v>1759</v>
      </c>
      <c r="G452" s="32" t="s">
        <v>1760</v>
      </c>
      <c r="H452" s="32" t="s">
        <v>1741</v>
      </c>
      <c r="I452" s="32" t="s">
        <v>586</v>
      </c>
      <c r="J452" s="33">
        <v>30</v>
      </c>
      <c r="K452" s="34">
        <v>1</v>
      </c>
      <c r="L452" s="35">
        <v>30.07</v>
      </c>
      <c r="M452" s="36" t="s">
        <v>32</v>
      </c>
      <c r="N452" s="37">
        <v>1</v>
      </c>
      <c r="O452" s="35">
        <v>30.07</v>
      </c>
      <c r="P452" s="35" t="s">
        <v>33</v>
      </c>
      <c r="Q452" s="97">
        <v>45453</v>
      </c>
      <c r="R452" s="35" t="s">
        <v>62</v>
      </c>
      <c r="S452" s="38"/>
      <c r="T452" s="78">
        <v>2</v>
      </c>
      <c r="U452" s="78"/>
      <c r="V452" s="78"/>
      <c r="W452" s="78" t="s">
        <v>303</v>
      </c>
      <c r="X452" s="78" t="s">
        <v>839</v>
      </c>
      <c r="Y452" s="78">
        <v>1</v>
      </c>
      <c r="Z452" s="78" t="s">
        <v>48</v>
      </c>
      <c r="AA452" s="78" t="s">
        <v>225</v>
      </c>
      <c r="AB452" s="78">
        <v>30</v>
      </c>
    </row>
    <row r="453" spans="1:28" x14ac:dyDescent="0.25">
      <c r="A453" t="str">
        <f>IF(EXACT('BOM A320 FFS'!B622,obsoleta!D453),"OK","ERROR")</f>
        <v>ERROR</v>
      </c>
      <c r="C453" s="31" t="s">
        <v>314</v>
      </c>
      <c r="D453" s="71">
        <v>1231024320000</v>
      </c>
      <c r="E453" s="71"/>
      <c r="F453" s="32" t="s">
        <v>2110</v>
      </c>
      <c r="G453" s="32" t="s">
        <v>2111</v>
      </c>
      <c r="H453" s="32" t="s">
        <v>2112</v>
      </c>
      <c r="I453" s="32" t="s">
        <v>2113</v>
      </c>
      <c r="J453" s="33">
        <v>200</v>
      </c>
      <c r="K453" s="34">
        <v>0.2</v>
      </c>
      <c r="L453" s="35">
        <v>40</v>
      </c>
      <c r="M453" s="36" t="s">
        <v>32</v>
      </c>
      <c r="N453" s="37">
        <v>1</v>
      </c>
      <c r="O453" s="35">
        <v>40</v>
      </c>
      <c r="P453" s="35" t="s">
        <v>33</v>
      </c>
      <c r="Q453" s="97">
        <v>45453</v>
      </c>
      <c r="R453" s="35" t="s">
        <v>62</v>
      </c>
      <c r="S453" s="38"/>
      <c r="T453" s="78">
        <v>2</v>
      </c>
      <c r="U453" s="78"/>
      <c r="V453" s="78"/>
      <c r="W453" s="78" t="s">
        <v>303</v>
      </c>
      <c r="X453" s="78" t="s">
        <v>839</v>
      </c>
      <c r="Y453" s="78">
        <v>1</v>
      </c>
      <c r="Z453" s="78" t="s">
        <v>48</v>
      </c>
      <c r="AA453" s="78" t="s">
        <v>225</v>
      </c>
      <c r="AB453" s="78">
        <v>200</v>
      </c>
    </row>
    <row r="454" spans="1:28" x14ac:dyDescent="0.25">
      <c r="A454" t="str">
        <f>IF(EXACT('BOM A320 FFS'!B623,obsoleta!D454),"OK","ERROR")</f>
        <v>ERROR</v>
      </c>
      <c r="C454" s="31" t="s">
        <v>314</v>
      </c>
      <c r="D454" s="71">
        <v>1231024740900</v>
      </c>
      <c r="E454" s="71"/>
      <c r="F454" s="32" t="s">
        <v>1281</v>
      </c>
      <c r="G454" s="32">
        <v>134764</v>
      </c>
      <c r="H454" s="32"/>
      <c r="I454" s="32"/>
      <c r="J454" s="33">
        <v>200</v>
      </c>
      <c r="K454" s="38">
        <v>13.12</v>
      </c>
      <c r="L454" s="35">
        <v>2624</v>
      </c>
      <c r="M454" s="36" t="s">
        <v>32</v>
      </c>
      <c r="N454" s="37">
        <v>1</v>
      </c>
      <c r="O454" s="35">
        <v>2624</v>
      </c>
      <c r="P454" s="35" t="s">
        <v>33</v>
      </c>
      <c r="Q454" s="97">
        <v>45453</v>
      </c>
      <c r="R454" s="35" t="s">
        <v>62</v>
      </c>
      <c r="S454" s="38"/>
      <c r="T454" s="78">
        <v>2</v>
      </c>
      <c r="U454" s="78"/>
      <c r="V454" s="78"/>
      <c r="W454" s="78" t="s">
        <v>303</v>
      </c>
      <c r="X454" s="78" t="s">
        <v>839</v>
      </c>
      <c r="Y454" s="78">
        <v>1</v>
      </c>
      <c r="Z454" s="78" t="s">
        <v>48</v>
      </c>
      <c r="AA454" s="78" t="s">
        <v>225</v>
      </c>
      <c r="AB454" s="78">
        <v>200</v>
      </c>
    </row>
    <row r="455" spans="1:28" x14ac:dyDescent="0.25">
      <c r="A455" t="str">
        <f>IF(EXACT('BOM A320 FFS'!B624,obsoleta!D455),"OK","ERROR")</f>
        <v>ERROR</v>
      </c>
      <c r="C455" s="31" t="s">
        <v>314</v>
      </c>
      <c r="D455" s="71">
        <v>1232024245400</v>
      </c>
      <c r="E455" s="71"/>
      <c r="F455" s="32" t="s">
        <v>1901</v>
      </c>
      <c r="G455" s="32">
        <v>956000286</v>
      </c>
      <c r="H455" s="32" t="s">
        <v>1781</v>
      </c>
      <c r="I455" s="32" t="s">
        <v>586</v>
      </c>
      <c r="J455" s="33">
        <v>150</v>
      </c>
      <c r="K455" s="34">
        <v>0.56999999999999995</v>
      </c>
      <c r="L455" s="35">
        <v>85</v>
      </c>
      <c r="M455" s="36" t="s">
        <v>32</v>
      </c>
      <c r="N455" s="37">
        <v>1</v>
      </c>
      <c r="O455" s="35">
        <v>85</v>
      </c>
      <c r="P455" s="35" t="s">
        <v>33</v>
      </c>
      <c r="Q455" s="97">
        <v>45453</v>
      </c>
      <c r="R455" s="35" t="s">
        <v>62</v>
      </c>
      <c r="S455" s="38"/>
      <c r="T455" s="78">
        <v>2</v>
      </c>
      <c r="U455" s="78"/>
      <c r="V455" s="78"/>
      <c r="W455" s="78" t="s">
        <v>303</v>
      </c>
      <c r="X455" s="78" t="s">
        <v>839</v>
      </c>
      <c r="Y455" s="78">
        <v>1</v>
      </c>
      <c r="Z455" s="78" t="s">
        <v>48</v>
      </c>
      <c r="AA455" s="78" t="s">
        <v>225</v>
      </c>
      <c r="AB455" s="78">
        <v>150</v>
      </c>
    </row>
    <row r="456" spans="1:28" x14ac:dyDescent="0.25">
      <c r="A456" t="str">
        <f>IF(EXACT('BOM A320 FFS'!B626,obsoleta!D456),"OK","ERROR")</f>
        <v>ERROR</v>
      </c>
      <c r="C456" s="31" t="s">
        <v>314</v>
      </c>
      <c r="D456" s="71">
        <v>1232525509004</v>
      </c>
      <c r="E456" s="71"/>
      <c r="F456" s="32" t="s">
        <v>1037</v>
      </c>
      <c r="G456" s="32" t="s">
        <v>1038</v>
      </c>
      <c r="H456" s="32" t="s">
        <v>1039</v>
      </c>
      <c r="I456" s="32" t="s">
        <v>1040</v>
      </c>
      <c r="J456" s="33">
        <v>1</v>
      </c>
      <c r="K456" s="34">
        <v>37.5</v>
      </c>
      <c r="L456" s="35">
        <v>37.5</v>
      </c>
      <c r="M456" s="36" t="s">
        <v>32</v>
      </c>
      <c r="N456" s="37">
        <v>1</v>
      </c>
      <c r="O456" s="35">
        <v>37.5</v>
      </c>
      <c r="P456" s="35" t="s">
        <v>33</v>
      </c>
      <c r="Q456" s="97">
        <v>45453</v>
      </c>
      <c r="R456" s="35" t="s">
        <v>62</v>
      </c>
      <c r="S456" s="38"/>
      <c r="T456" s="78">
        <v>2</v>
      </c>
      <c r="U456" s="78"/>
      <c r="V456" s="78"/>
      <c r="W456" s="78" t="s">
        <v>303</v>
      </c>
      <c r="X456" s="78" t="s">
        <v>839</v>
      </c>
      <c r="Y456" s="78">
        <v>1</v>
      </c>
      <c r="Z456" s="78" t="s">
        <v>48</v>
      </c>
      <c r="AA456" s="78" t="s">
        <v>225</v>
      </c>
      <c r="AB456" s="78">
        <v>1</v>
      </c>
    </row>
    <row r="457" spans="1:28" x14ac:dyDescent="0.25">
      <c r="A457" t="str">
        <f>IF(EXACT('BOM A320 FFS'!B628,obsoleta!D457),"OK","ERROR")</f>
        <v>ERROR</v>
      </c>
      <c r="C457" s="31" t="s">
        <v>314</v>
      </c>
      <c r="D457" s="71">
        <v>1234524199010</v>
      </c>
      <c r="E457" s="71"/>
      <c r="F457" s="32" t="s">
        <v>2054</v>
      </c>
      <c r="G457" s="32" t="s">
        <v>2055</v>
      </c>
      <c r="H457" s="32" t="s">
        <v>2056</v>
      </c>
      <c r="I457" s="32" t="s">
        <v>586</v>
      </c>
      <c r="J457" s="33">
        <v>1000</v>
      </c>
      <c r="K457" s="34">
        <v>0.31</v>
      </c>
      <c r="L457" s="35">
        <v>310</v>
      </c>
      <c r="M457" s="36" t="s">
        <v>32</v>
      </c>
      <c r="N457" s="37">
        <v>1</v>
      </c>
      <c r="O457" s="35">
        <v>310</v>
      </c>
      <c r="P457" s="35" t="s">
        <v>33</v>
      </c>
      <c r="Q457" s="97">
        <v>45453</v>
      </c>
      <c r="R457" s="35" t="s">
        <v>62</v>
      </c>
      <c r="S457" s="38"/>
      <c r="T457" s="78">
        <v>2</v>
      </c>
      <c r="U457" s="78"/>
      <c r="V457" s="78"/>
      <c r="W457" s="78" t="s">
        <v>303</v>
      </c>
      <c r="X457" s="78" t="s">
        <v>839</v>
      </c>
      <c r="Y457" s="78">
        <v>1</v>
      </c>
      <c r="Z457" s="78" t="s">
        <v>48</v>
      </c>
      <c r="AA457" s="78" t="s">
        <v>225</v>
      </c>
      <c r="AB457" s="78">
        <v>1000</v>
      </c>
    </row>
    <row r="458" spans="1:28" x14ac:dyDescent="0.25">
      <c r="A458" t="str">
        <f>IF(EXACT('BOM A320 FFS'!B629,obsoleta!D458),"OK","ERROR")</f>
        <v>ERROR</v>
      </c>
      <c r="C458" s="31" t="s">
        <v>314</v>
      </c>
      <c r="D458" s="71">
        <v>1237700120400</v>
      </c>
      <c r="E458" s="71"/>
      <c r="F458" s="32" t="s">
        <v>2085</v>
      </c>
      <c r="G458" s="32" t="s">
        <v>2086</v>
      </c>
      <c r="H458" s="32"/>
      <c r="I458" s="32"/>
      <c r="J458" s="33">
        <v>50</v>
      </c>
      <c r="K458" s="34">
        <v>0.24</v>
      </c>
      <c r="L458" s="35">
        <v>12</v>
      </c>
      <c r="M458" s="36" t="s">
        <v>32</v>
      </c>
      <c r="N458" s="37">
        <v>1</v>
      </c>
      <c r="O458" s="35">
        <v>12</v>
      </c>
      <c r="P458" s="35" t="s">
        <v>33</v>
      </c>
      <c r="Q458" s="97">
        <v>45453</v>
      </c>
      <c r="R458" s="35" t="s">
        <v>62</v>
      </c>
      <c r="S458" s="38"/>
      <c r="T458" s="78">
        <v>2</v>
      </c>
      <c r="U458" s="78"/>
      <c r="V458" s="78"/>
      <c r="W458" s="78" t="s">
        <v>303</v>
      </c>
      <c r="X458" s="78" t="s">
        <v>839</v>
      </c>
      <c r="Y458" s="78">
        <v>1</v>
      </c>
      <c r="Z458" s="78" t="s">
        <v>48</v>
      </c>
      <c r="AA458" s="78" t="s">
        <v>225</v>
      </c>
      <c r="AB458" s="78">
        <v>50</v>
      </c>
    </row>
    <row r="459" spans="1:28" x14ac:dyDescent="0.25">
      <c r="A459" t="str">
        <f>IF(EXACT('BOM A320 FFS'!B630,obsoleta!D459),"OK","ERROR")</f>
        <v>ERROR</v>
      </c>
      <c r="C459" s="31" t="s">
        <v>314</v>
      </c>
      <c r="D459" s="71">
        <v>956002516</v>
      </c>
      <c r="E459" s="71"/>
      <c r="F459" s="32" t="s">
        <v>2067</v>
      </c>
      <c r="G459" s="32" t="s">
        <v>2068</v>
      </c>
      <c r="H459" s="32"/>
      <c r="I459" s="32"/>
      <c r="J459" s="33">
        <v>100</v>
      </c>
      <c r="K459" s="34">
        <v>0.28000000000000003</v>
      </c>
      <c r="L459" s="35">
        <v>28</v>
      </c>
      <c r="M459" s="36" t="s">
        <v>32</v>
      </c>
      <c r="N459" s="37">
        <v>1</v>
      </c>
      <c r="O459" s="35">
        <v>28</v>
      </c>
      <c r="P459" s="35" t="s">
        <v>33</v>
      </c>
      <c r="Q459" s="97">
        <v>45453</v>
      </c>
      <c r="R459" s="35" t="s">
        <v>62</v>
      </c>
      <c r="S459" s="38"/>
      <c r="T459" s="78">
        <v>2</v>
      </c>
      <c r="U459" s="78"/>
      <c r="V459" s="78"/>
      <c r="W459" s="78" t="s">
        <v>303</v>
      </c>
      <c r="X459" s="78" t="s">
        <v>839</v>
      </c>
      <c r="Y459" s="78">
        <v>1</v>
      </c>
      <c r="Z459" s="78" t="s">
        <v>48</v>
      </c>
      <c r="AA459" s="78" t="s">
        <v>225</v>
      </c>
      <c r="AB459" s="78">
        <v>100</v>
      </c>
    </row>
    <row r="460" spans="1:28" x14ac:dyDescent="0.25">
      <c r="A460" t="str">
        <f>IF(EXACT('BOM A320 FFS'!B631,obsoleta!D460),"OK","ERROR")</f>
        <v>ERROR</v>
      </c>
      <c r="C460" s="31" t="s">
        <v>314</v>
      </c>
      <c r="D460" s="71">
        <v>1237700120401</v>
      </c>
      <c r="E460" s="71"/>
      <c r="F460" s="32" t="s">
        <v>2070</v>
      </c>
      <c r="G460" s="32" t="s">
        <v>2071</v>
      </c>
      <c r="H460" s="32"/>
      <c r="I460" s="32"/>
      <c r="J460" s="33">
        <v>100</v>
      </c>
      <c r="K460" s="34">
        <v>0.28000000000000003</v>
      </c>
      <c r="L460" s="35">
        <v>28</v>
      </c>
      <c r="M460" s="36" t="s">
        <v>32</v>
      </c>
      <c r="N460" s="37">
        <v>1</v>
      </c>
      <c r="O460" s="35">
        <v>28</v>
      </c>
      <c r="P460" s="35" t="s">
        <v>33</v>
      </c>
      <c r="Q460" s="97">
        <v>45453</v>
      </c>
      <c r="R460" s="35" t="s">
        <v>62</v>
      </c>
      <c r="S460" s="38"/>
      <c r="T460" s="78">
        <v>2</v>
      </c>
      <c r="U460" s="78"/>
      <c r="V460" s="78"/>
      <c r="W460" s="78" t="s">
        <v>303</v>
      </c>
      <c r="X460" s="78" t="s">
        <v>839</v>
      </c>
      <c r="Y460" s="78">
        <v>1</v>
      </c>
      <c r="Z460" s="78" t="s">
        <v>48</v>
      </c>
      <c r="AA460" s="78" t="s">
        <v>225</v>
      </c>
      <c r="AB460" s="78">
        <v>100</v>
      </c>
    </row>
    <row r="461" spans="1:28" x14ac:dyDescent="0.25">
      <c r="A461" t="str">
        <f>IF(EXACT('BOM A320 FFS'!B632,obsoleta!D461),"OK","ERROR")</f>
        <v>ERROR</v>
      </c>
      <c r="C461" s="31" t="s">
        <v>314</v>
      </c>
      <c r="D461" s="71">
        <v>1237700220201</v>
      </c>
      <c r="E461" s="71"/>
      <c r="F461" s="32" t="s">
        <v>2176</v>
      </c>
      <c r="G461" s="32" t="s">
        <v>2177</v>
      </c>
      <c r="H461" s="108"/>
      <c r="I461" s="32"/>
      <c r="J461" s="33">
        <v>500</v>
      </c>
      <c r="K461" s="34">
        <v>0.13</v>
      </c>
      <c r="L461" s="35">
        <v>65</v>
      </c>
      <c r="M461" s="36" t="s">
        <v>32</v>
      </c>
      <c r="N461" s="37">
        <v>1</v>
      </c>
      <c r="O461" s="35">
        <v>65</v>
      </c>
      <c r="P461" s="35" t="s">
        <v>33</v>
      </c>
      <c r="Q461" s="97">
        <v>45453</v>
      </c>
      <c r="R461" s="35" t="s">
        <v>62</v>
      </c>
      <c r="S461" s="38"/>
      <c r="T461" s="78">
        <v>2</v>
      </c>
      <c r="U461" s="78"/>
      <c r="V461" s="78"/>
      <c r="W461" s="78" t="s">
        <v>303</v>
      </c>
      <c r="X461" s="78" t="s">
        <v>839</v>
      </c>
      <c r="Y461" s="78">
        <v>1</v>
      </c>
      <c r="Z461" s="78" t="s">
        <v>48</v>
      </c>
      <c r="AA461" s="78" t="s">
        <v>225</v>
      </c>
      <c r="AB461" s="78">
        <v>500</v>
      </c>
    </row>
    <row r="462" spans="1:28" x14ac:dyDescent="0.25">
      <c r="A462" t="str">
        <f>IF(EXACT('BOM A320 FFS'!B633,obsoleta!D462),"OK","ERROR")</f>
        <v>ERROR</v>
      </c>
      <c r="C462" s="31" t="s">
        <v>314</v>
      </c>
      <c r="D462" s="71">
        <v>1238523200400</v>
      </c>
      <c r="E462" s="71"/>
      <c r="F462" s="32" t="s">
        <v>2183</v>
      </c>
      <c r="G462" s="32" t="s">
        <v>2184</v>
      </c>
      <c r="H462" s="32"/>
      <c r="I462" s="32" t="s">
        <v>1040</v>
      </c>
      <c r="J462" s="33">
        <v>200</v>
      </c>
      <c r="K462" s="34">
        <v>0.13</v>
      </c>
      <c r="L462" s="35">
        <v>26</v>
      </c>
      <c r="M462" s="36" t="s">
        <v>32</v>
      </c>
      <c r="N462" s="37">
        <v>1</v>
      </c>
      <c r="O462" s="35">
        <v>26</v>
      </c>
      <c r="P462" s="35" t="s">
        <v>33</v>
      </c>
      <c r="Q462" s="97">
        <v>45453</v>
      </c>
      <c r="R462" s="35" t="s">
        <v>62</v>
      </c>
      <c r="S462" s="38"/>
      <c r="T462" s="78">
        <v>2</v>
      </c>
      <c r="U462" s="78"/>
      <c r="V462" s="78"/>
      <c r="W462" s="78" t="s">
        <v>303</v>
      </c>
      <c r="X462" s="78" t="s">
        <v>839</v>
      </c>
      <c r="Y462" s="78">
        <v>1</v>
      </c>
      <c r="Z462" s="78" t="s">
        <v>48</v>
      </c>
      <c r="AA462" s="78" t="s">
        <v>225</v>
      </c>
      <c r="AB462" s="78">
        <v>200</v>
      </c>
    </row>
    <row r="463" spans="1:28" x14ac:dyDescent="0.25">
      <c r="A463" t="str">
        <f>IF(EXACT('BOM A320 FFS'!B634,obsoleta!D463),"OK","ERROR")</f>
        <v>ERROR</v>
      </c>
      <c r="C463" s="31" t="s">
        <v>314</v>
      </c>
      <c r="D463" s="71">
        <v>1237724370100</v>
      </c>
      <c r="E463" s="71"/>
      <c r="F463" s="32" t="s">
        <v>2244</v>
      </c>
      <c r="G463" s="32" t="s">
        <v>2245</v>
      </c>
      <c r="H463" s="32" t="s">
        <v>1039</v>
      </c>
      <c r="I463" s="32" t="s">
        <v>1040</v>
      </c>
      <c r="J463" s="33">
        <v>200</v>
      </c>
      <c r="K463" s="34">
        <v>0.04</v>
      </c>
      <c r="L463" s="35">
        <v>8</v>
      </c>
      <c r="M463" s="36" t="s">
        <v>32</v>
      </c>
      <c r="N463" s="37">
        <v>1</v>
      </c>
      <c r="O463" s="35">
        <v>8</v>
      </c>
      <c r="P463" s="35" t="s">
        <v>33</v>
      </c>
      <c r="Q463" s="97">
        <v>45453</v>
      </c>
      <c r="R463" s="35" t="s">
        <v>62</v>
      </c>
      <c r="S463" s="38"/>
      <c r="T463" s="78">
        <v>2</v>
      </c>
      <c r="U463" s="78"/>
      <c r="V463" s="78"/>
      <c r="W463" s="78" t="s">
        <v>303</v>
      </c>
      <c r="X463" s="78" t="s">
        <v>839</v>
      </c>
      <c r="Y463" s="78">
        <v>1</v>
      </c>
      <c r="Z463" s="78" t="s">
        <v>48</v>
      </c>
      <c r="AA463" s="78" t="s">
        <v>225</v>
      </c>
      <c r="AB463" s="78">
        <v>200</v>
      </c>
    </row>
    <row r="464" spans="1:28" x14ac:dyDescent="0.25">
      <c r="A464" t="str">
        <f>IF(EXACT('BOM A320 FFS'!B635,obsoleta!D464),"OK","ERROR")</f>
        <v>ERROR</v>
      </c>
      <c r="C464" s="31" t="s">
        <v>314</v>
      </c>
      <c r="D464" s="71">
        <v>1238014252000</v>
      </c>
      <c r="E464" s="71"/>
      <c r="F464" s="32" t="s">
        <v>2220</v>
      </c>
      <c r="G464" s="32" t="s">
        <v>2221</v>
      </c>
      <c r="H464" s="32"/>
      <c r="I464" s="32"/>
      <c r="J464" s="33">
        <v>200</v>
      </c>
      <c r="K464" s="34">
        <v>0.05</v>
      </c>
      <c r="L464" s="35">
        <v>10</v>
      </c>
      <c r="M464" s="36" t="s">
        <v>32</v>
      </c>
      <c r="N464" s="37">
        <v>1</v>
      </c>
      <c r="O464" s="35">
        <v>10</v>
      </c>
      <c r="P464" s="35" t="s">
        <v>33</v>
      </c>
      <c r="Q464" s="97">
        <v>45453</v>
      </c>
      <c r="R464" s="35" t="s">
        <v>62</v>
      </c>
      <c r="S464" s="38"/>
      <c r="T464" s="78">
        <v>2</v>
      </c>
      <c r="U464" s="78"/>
      <c r="V464" s="78"/>
      <c r="W464" s="78" t="s">
        <v>303</v>
      </c>
      <c r="X464" s="78" t="s">
        <v>839</v>
      </c>
      <c r="Y464" s="78">
        <v>1</v>
      </c>
      <c r="Z464" s="78" t="s">
        <v>48</v>
      </c>
      <c r="AA464" s="78" t="s">
        <v>225</v>
      </c>
      <c r="AB464" s="78">
        <v>200</v>
      </c>
    </row>
    <row r="465" spans="1:28" x14ac:dyDescent="0.25">
      <c r="A465" t="str">
        <f>IF(EXACT('BOM A320 FFS'!B636,obsoleta!D465),"OK","ERROR")</f>
        <v>ERROR</v>
      </c>
      <c r="C465" s="31" t="s">
        <v>314</v>
      </c>
      <c r="D465" s="71">
        <v>1238014402000</v>
      </c>
      <c r="E465" s="71"/>
      <c r="F465" s="32" t="s">
        <v>2204</v>
      </c>
      <c r="G465" s="32" t="s">
        <v>2205</v>
      </c>
      <c r="H465" s="32"/>
      <c r="I465" s="32"/>
      <c r="J465" s="33">
        <v>100</v>
      </c>
      <c r="K465" s="34">
        <v>0.08</v>
      </c>
      <c r="L465" s="35">
        <v>8</v>
      </c>
      <c r="M465" s="36" t="s">
        <v>32</v>
      </c>
      <c r="N465" s="37">
        <v>1</v>
      </c>
      <c r="O465" s="35">
        <v>8</v>
      </c>
      <c r="P465" s="35" t="s">
        <v>33</v>
      </c>
      <c r="Q465" s="97">
        <v>45453</v>
      </c>
      <c r="R465" s="35" t="s">
        <v>62</v>
      </c>
      <c r="S465" s="38"/>
      <c r="T465" s="78">
        <v>2</v>
      </c>
      <c r="U465" s="78"/>
      <c r="V465" s="78"/>
      <c r="W465" s="78" t="s">
        <v>303</v>
      </c>
      <c r="X465" s="78" t="s">
        <v>839</v>
      </c>
      <c r="Y465" s="78">
        <v>1</v>
      </c>
      <c r="Z465" s="78" t="s">
        <v>48</v>
      </c>
      <c r="AA465" s="78" t="s">
        <v>225</v>
      </c>
      <c r="AB465" s="78">
        <v>100</v>
      </c>
    </row>
    <row r="466" spans="1:28" x14ac:dyDescent="0.25">
      <c r="A466" t="str">
        <f>IF(EXACT('BOM A320 FFS'!B637,obsoleta!D466),"OK","ERROR")</f>
        <v>ERROR</v>
      </c>
      <c r="C466" s="31" t="s">
        <v>314</v>
      </c>
      <c r="D466" s="71">
        <v>1238014602000</v>
      </c>
      <c r="E466" s="71"/>
      <c r="F466" s="32" t="s">
        <v>2207</v>
      </c>
      <c r="G466" s="32" t="s">
        <v>2208</v>
      </c>
      <c r="H466" s="32"/>
      <c r="I466" s="32"/>
      <c r="J466" s="33">
        <v>40</v>
      </c>
      <c r="K466" s="34">
        <v>0.08</v>
      </c>
      <c r="L466" s="35">
        <v>3.2</v>
      </c>
      <c r="M466" s="36" t="s">
        <v>32</v>
      </c>
      <c r="N466" s="37">
        <v>1</v>
      </c>
      <c r="O466" s="35">
        <v>3.2</v>
      </c>
      <c r="P466" s="35" t="s">
        <v>33</v>
      </c>
      <c r="Q466" s="97">
        <v>45453</v>
      </c>
      <c r="R466" s="35" t="s">
        <v>62</v>
      </c>
      <c r="S466" s="38"/>
      <c r="T466" s="78">
        <v>2</v>
      </c>
      <c r="U466" s="78"/>
      <c r="V466" s="78"/>
      <c r="W466" s="78" t="s">
        <v>303</v>
      </c>
      <c r="X466" s="78" t="s">
        <v>839</v>
      </c>
      <c r="Y466" s="78">
        <v>1</v>
      </c>
      <c r="Z466" s="78" t="s">
        <v>48</v>
      </c>
      <c r="AA466" s="78" t="s">
        <v>225</v>
      </c>
      <c r="AB466" s="78">
        <v>40</v>
      </c>
    </row>
    <row r="467" spans="1:28" x14ac:dyDescent="0.25">
      <c r="A467" t="str">
        <f>IF(EXACT('BOM A320 FFS'!B638,obsoleta!D467),"OK","ERROR")</f>
        <v>ERROR</v>
      </c>
      <c r="C467" s="31" t="s">
        <v>314</v>
      </c>
      <c r="D467" s="71">
        <v>1238500141800</v>
      </c>
      <c r="E467" s="71"/>
      <c r="F467" s="32" t="s">
        <v>2180</v>
      </c>
      <c r="G467" s="32" t="s">
        <v>2181</v>
      </c>
      <c r="H467" s="32" t="s">
        <v>1039</v>
      </c>
      <c r="I467" s="32" t="s">
        <v>1040</v>
      </c>
      <c r="J467" s="33">
        <v>300</v>
      </c>
      <c r="K467" s="34">
        <v>0.13</v>
      </c>
      <c r="L467" s="35">
        <v>39</v>
      </c>
      <c r="M467" s="36" t="s">
        <v>32</v>
      </c>
      <c r="N467" s="37">
        <v>1</v>
      </c>
      <c r="O467" s="35">
        <v>39</v>
      </c>
      <c r="P467" s="35" t="s">
        <v>33</v>
      </c>
      <c r="Q467" s="97">
        <v>45453</v>
      </c>
      <c r="R467" s="35" t="s">
        <v>62</v>
      </c>
      <c r="S467" s="38"/>
      <c r="T467" s="78">
        <v>2</v>
      </c>
      <c r="U467" s="78"/>
      <c r="V467" s="78"/>
      <c r="W467" s="78" t="s">
        <v>303</v>
      </c>
      <c r="X467" s="78" t="s">
        <v>839</v>
      </c>
      <c r="Y467" s="78">
        <v>1</v>
      </c>
      <c r="Z467" s="78" t="s">
        <v>48</v>
      </c>
      <c r="AA467" s="78" t="s">
        <v>225</v>
      </c>
      <c r="AB467" s="78">
        <v>300</v>
      </c>
    </row>
    <row r="468" spans="1:28" x14ac:dyDescent="0.25">
      <c r="A468" t="str">
        <f>IF(EXACT('BOM A320 FFS'!B639,obsoleta!D468),"OK","ERROR")</f>
        <v>ERROR</v>
      </c>
      <c r="C468" s="31" t="s">
        <v>314</v>
      </c>
      <c r="D468" s="71">
        <v>1238500222000</v>
      </c>
      <c r="E468" s="71"/>
      <c r="F468" s="32" t="s">
        <v>2271</v>
      </c>
      <c r="G468" s="32" t="s">
        <v>2272</v>
      </c>
      <c r="H468" s="32" t="s">
        <v>519</v>
      </c>
      <c r="I468" s="32" t="s">
        <v>2273</v>
      </c>
      <c r="J468" s="33">
        <v>500</v>
      </c>
      <c r="K468" s="34">
        <v>0.02</v>
      </c>
      <c r="L468" s="35">
        <v>10</v>
      </c>
      <c r="M468" s="36" t="s">
        <v>32</v>
      </c>
      <c r="N468" s="37">
        <v>1</v>
      </c>
      <c r="O468" s="35">
        <v>10</v>
      </c>
      <c r="P468" s="35" t="s">
        <v>33</v>
      </c>
      <c r="Q468" s="97">
        <v>45453</v>
      </c>
      <c r="R468" s="35" t="s">
        <v>62</v>
      </c>
      <c r="S468" s="38"/>
      <c r="T468" s="78">
        <v>2</v>
      </c>
      <c r="U468" s="78"/>
      <c r="V468" s="78"/>
      <c r="W468" s="78" t="s">
        <v>303</v>
      </c>
      <c r="X468" s="78" t="s">
        <v>839</v>
      </c>
      <c r="Y468" s="78">
        <v>1</v>
      </c>
      <c r="Z468" s="78" t="s">
        <v>48</v>
      </c>
      <c r="AA468" s="78" t="s">
        <v>225</v>
      </c>
      <c r="AB468" s="78">
        <v>500</v>
      </c>
    </row>
    <row r="469" spans="1:28" x14ac:dyDescent="0.25">
      <c r="A469" t="str">
        <f>IF(EXACT('BOM A320 FFS'!B640,obsoleta!D469),"OK","ERROR")</f>
        <v>ERROR</v>
      </c>
      <c r="C469" s="31" t="s">
        <v>314</v>
      </c>
      <c r="D469" s="71">
        <v>1238512150200</v>
      </c>
      <c r="E469" s="71"/>
      <c r="F469" s="32" t="s">
        <v>2250</v>
      </c>
      <c r="G469" s="32" t="s">
        <v>2251</v>
      </c>
      <c r="H469" s="32" t="s">
        <v>461</v>
      </c>
      <c r="I469" s="32" t="s">
        <v>1040</v>
      </c>
      <c r="J469" s="33">
        <v>200</v>
      </c>
      <c r="K469" s="34">
        <v>0.04</v>
      </c>
      <c r="L469" s="35">
        <v>8</v>
      </c>
      <c r="M469" s="36" t="s">
        <v>32</v>
      </c>
      <c r="N469" s="37">
        <v>1</v>
      </c>
      <c r="O469" s="35">
        <v>8</v>
      </c>
      <c r="P469" s="35" t="s">
        <v>33</v>
      </c>
      <c r="Q469" s="97">
        <v>45453</v>
      </c>
      <c r="R469" s="35" t="s">
        <v>62</v>
      </c>
      <c r="S469" s="38"/>
      <c r="T469" s="78">
        <v>2</v>
      </c>
      <c r="U469" s="78"/>
      <c r="V469" s="78"/>
      <c r="W469" s="78" t="s">
        <v>303</v>
      </c>
      <c r="X469" s="78" t="s">
        <v>839</v>
      </c>
      <c r="Y469" s="78">
        <v>1</v>
      </c>
      <c r="Z469" s="78" t="s">
        <v>48</v>
      </c>
      <c r="AA469" s="78" t="s">
        <v>225</v>
      </c>
      <c r="AB469" s="78">
        <v>200</v>
      </c>
    </row>
    <row r="470" spans="1:28" x14ac:dyDescent="0.25">
      <c r="A470" t="str">
        <f>IF(EXACT('BOM A320 FFS'!B643,obsoleta!D470),"OK","ERROR")</f>
        <v>ERROR</v>
      </c>
      <c r="C470" s="31" t="s">
        <v>314</v>
      </c>
      <c r="D470" s="71">
        <v>1237700183200</v>
      </c>
      <c r="E470" s="71"/>
      <c r="F470" s="32" t="s">
        <v>2236</v>
      </c>
      <c r="G470" s="32" t="s">
        <v>2237</v>
      </c>
      <c r="H470" s="32" t="s">
        <v>461</v>
      </c>
      <c r="I470" s="32" t="s">
        <v>1040</v>
      </c>
      <c r="J470" s="33">
        <v>100</v>
      </c>
      <c r="K470" s="34">
        <v>0.04</v>
      </c>
      <c r="L470" s="35">
        <v>4</v>
      </c>
      <c r="M470" s="36" t="s">
        <v>32</v>
      </c>
      <c r="N470" s="37">
        <v>1</v>
      </c>
      <c r="O470" s="35">
        <v>4</v>
      </c>
      <c r="P470" s="35" t="s">
        <v>33</v>
      </c>
      <c r="Q470" s="97">
        <v>45453</v>
      </c>
      <c r="R470" s="35" t="s">
        <v>62</v>
      </c>
      <c r="S470" s="38"/>
      <c r="T470" s="78">
        <v>2</v>
      </c>
      <c r="U470" s="78"/>
      <c r="V470" s="78"/>
      <c r="W470" s="78" t="s">
        <v>303</v>
      </c>
      <c r="X470" s="78" t="s">
        <v>839</v>
      </c>
      <c r="Y470" s="78">
        <v>1</v>
      </c>
      <c r="Z470" s="78" t="s">
        <v>48</v>
      </c>
      <c r="AA470" s="78" t="s">
        <v>225</v>
      </c>
      <c r="AB470" s="78">
        <v>100</v>
      </c>
    </row>
    <row r="471" spans="1:28" x14ac:dyDescent="0.25">
      <c r="A471" t="str">
        <f>IF(EXACT('BOM A320 FFS'!B645,obsoleta!D471),"OK","ERROR")</f>
        <v>ERROR</v>
      </c>
      <c r="C471" s="31" t="s">
        <v>314</v>
      </c>
      <c r="D471" s="71">
        <v>1238514160201</v>
      </c>
      <c r="E471" s="71"/>
      <c r="F471" s="32" t="s">
        <v>2115</v>
      </c>
      <c r="G471" s="32"/>
      <c r="H471" s="32"/>
      <c r="I471" s="32"/>
      <c r="J471" s="33">
        <v>200</v>
      </c>
      <c r="K471" s="34">
        <v>0.2</v>
      </c>
      <c r="L471" s="35">
        <v>40</v>
      </c>
      <c r="M471" s="36" t="s">
        <v>32</v>
      </c>
      <c r="N471" s="37">
        <v>1</v>
      </c>
      <c r="O471" s="35">
        <v>40</v>
      </c>
      <c r="P471" s="35" t="s">
        <v>33</v>
      </c>
      <c r="Q471" s="97">
        <v>45453</v>
      </c>
      <c r="R471" s="35" t="s">
        <v>62</v>
      </c>
      <c r="S471" s="38"/>
      <c r="T471" s="78">
        <v>2</v>
      </c>
      <c r="U471" s="78"/>
      <c r="V471" s="78"/>
      <c r="W471" s="78" t="s">
        <v>303</v>
      </c>
      <c r="X471" s="78" t="s">
        <v>839</v>
      </c>
      <c r="Y471" s="78">
        <v>1</v>
      </c>
      <c r="Z471" s="78" t="s">
        <v>48</v>
      </c>
      <c r="AA471" s="78" t="s">
        <v>225</v>
      </c>
      <c r="AB471" s="78">
        <v>200</v>
      </c>
    </row>
    <row r="472" spans="1:28" x14ac:dyDescent="0.25">
      <c r="A472" t="str">
        <f>IF(EXACT('BOM A320 FFS'!B646,obsoleta!D472),"OK","ERROR")</f>
        <v>ERROR</v>
      </c>
      <c r="C472" s="31" t="s">
        <v>314</v>
      </c>
      <c r="D472" s="71">
        <v>1238524350200</v>
      </c>
      <c r="E472" s="71"/>
      <c r="F472" s="32" t="s">
        <v>2210</v>
      </c>
      <c r="G472" s="32" t="s">
        <v>2211</v>
      </c>
      <c r="H472" s="32"/>
      <c r="I472" s="32"/>
      <c r="J472" s="33">
        <v>150</v>
      </c>
      <c r="K472" s="34">
        <v>7.0000000000000007E-2</v>
      </c>
      <c r="L472" s="35">
        <v>10.5</v>
      </c>
      <c r="M472" s="36" t="s">
        <v>32</v>
      </c>
      <c r="N472" s="37">
        <v>1</v>
      </c>
      <c r="O472" s="35">
        <v>10.5</v>
      </c>
      <c r="P472" s="35" t="s">
        <v>33</v>
      </c>
      <c r="Q472" s="97">
        <v>45453</v>
      </c>
      <c r="R472" s="35" t="s">
        <v>62</v>
      </c>
      <c r="S472" s="38"/>
      <c r="T472" s="78">
        <v>2</v>
      </c>
      <c r="U472" s="78"/>
      <c r="V472" s="78"/>
      <c r="W472" s="78" t="s">
        <v>303</v>
      </c>
      <c r="X472" s="78" t="s">
        <v>839</v>
      </c>
      <c r="Y472" s="78">
        <v>1</v>
      </c>
      <c r="Z472" s="78" t="s">
        <v>48</v>
      </c>
      <c r="AA472" s="78" t="s">
        <v>225</v>
      </c>
      <c r="AB472" s="78">
        <v>150</v>
      </c>
    </row>
    <row r="473" spans="1:28" x14ac:dyDescent="0.25">
      <c r="A473" t="str">
        <f>IF(EXACT('BOM A320 FFS'!B647,obsoleta!D473),"OK","ERROR")</f>
        <v>ERROR</v>
      </c>
      <c r="C473" s="31" t="s">
        <v>314</v>
      </c>
      <c r="D473" s="71">
        <v>1238524400000</v>
      </c>
      <c r="E473" s="71"/>
      <c r="F473" s="32" t="s">
        <v>2216</v>
      </c>
      <c r="G473" s="32" t="s">
        <v>2217</v>
      </c>
      <c r="H473" s="32" t="s">
        <v>2218</v>
      </c>
      <c r="I473" s="32" t="s">
        <v>1040</v>
      </c>
      <c r="J473" s="33">
        <v>200</v>
      </c>
      <c r="K473" s="34">
        <v>0.06</v>
      </c>
      <c r="L473" s="35">
        <v>12</v>
      </c>
      <c r="M473" s="36" t="s">
        <v>32</v>
      </c>
      <c r="N473" s="37">
        <v>1</v>
      </c>
      <c r="O473" s="35">
        <v>12</v>
      </c>
      <c r="P473" s="35" t="s">
        <v>33</v>
      </c>
      <c r="Q473" s="97">
        <v>45453</v>
      </c>
      <c r="R473" s="35" t="s">
        <v>62</v>
      </c>
      <c r="S473" s="38"/>
      <c r="T473" s="78">
        <v>2</v>
      </c>
      <c r="U473" s="78"/>
      <c r="V473" s="78"/>
      <c r="W473" s="78" t="s">
        <v>303</v>
      </c>
      <c r="X473" s="78" t="s">
        <v>839</v>
      </c>
      <c r="Y473" s="78">
        <v>1</v>
      </c>
      <c r="Z473" s="78" t="s">
        <v>48</v>
      </c>
      <c r="AA473" s="78" t="s">
        <v>225</v>
      </c>
      <c r="AB473" s="78">
        <v>200</v>
      </c>
    </row>
    <row r="474" spans="1:28" x14ac:dyDescent="0.25">
      <c r="A474" t="str">
        <f>IF(EXACT('BOM A320 FFS'!B648,obsoleta!D474),"OK","ERROR")</f>
        <v>ERROR</v>
      </c>
      <c r="C474" s="31" t="s">
        <v>314</v>
      </c>
      <c r="D474" s="71">
        <v>1238524483210</v>
      </c>
      <c r="E474" s="71"/>
      <c r="F474" s="32" t="s">
        <v>2173</v>
      </c>
      <c r="G474" s="32" t="s">
        <v>2174</v>
      </c>
      <c r="H474" s="32" t="s">
        <v>2122</v>
      </c>
      <c r="I474" s="32" t="s">
        <v>1040</v>
      </c>
      <c r="J474" s="33">
        <v>1800</v>
      </c>
      <c r="K474" s="34">
        <v>0.13</v>
      </c>
      <c r="L474" s="35">
        <v>234</v>
      </c>
      <c r="M474" s="36" t="s">
        <v>32</v>
      </c>
      <c r="N474" s="37">
        <v>1</v>
      </c>
      <c r="O474" s="35">
        <v>234</v>
      </c>
      <c r="P474" s="35" t="s">
        <v>33</v>
      </c>
      <c r="Q474" s="97">
        <v>45453</v>
      </c>
      <c r="R474" s="35" t="s">
        <v>62</v>
      </c>
      <c r="S474" s="38"/>
      <c r="T474" s="78">
        <v>2</v>
      </c>
      <c r="U474" s="78"/>
      <c r="V474" s="78"/>
      <c r="W474" s="78" t="s">
        <v>303</v>
      </c>
      <c r="X474" s="78" t="s">
        <v>839</v>
      </c>
      <c r="Y474" s="78">
        <v>1</v>
      </c>
      <c r="Z474" s="78" t="s">
        <v>48</v>
      </c>
      <c r="AA474" s="78" t="s">
        <v>225</v>
      </c>
      <c r="AB474" s="78">
        <v>1800</v>
      </c>
    </row>
    <row r="475" spans="1:28" x14ac:dyDescent="0.25">
      <c r="A475" t="str">
        <f>IF(EXACT('BOM A320 FFS'!B649,obsoleta!D475),"OK","ERROR")</f>
        <v>ERROR</v>
      </c>
      <c r="C475" s="31" t="s">
        <v>314</v>
      </c>
      <c r="D475" s="71">
        <v>1239024273050</v>
      </c>
      <c r="E475" s="71"/>
      <c r="F475" s="32" t="s">
        <v>2005</v>
      </c>
      <c r="G475" s="32" t="s">
        <v>2006</v>
      </c>
      <c r="H475" s="32" t="s">
        <v>785</v>
      </c>
      <c r="I475" s="32"/>
      <c r="J475" s="33">
        <v>300</v>
      </c>
      <c r="K475" s="38">
        <v>0.4</v>
      </c>
      <c r="L475" s="35">
        <v>120</v>
      </c>
      <c r="M475" s="36" t="s">
        <v>32</v>
      </c>
      <c r="N475" s="37">
        <v>1</v>
      </c>
      <c r="O475" s="35">
        <v>120</v>
      </c>
      <c r="P475" s="35" t="s">
        <v>33</v>
      </c>
      <c r="Q475" s="97">
        <v>45453</v>
      </c>
      <c r="R475" s="35" t="s">
        <v>62</v>
      </c>
      <c r="S475" s="38"/>
      <c r="T475" s="78">
        <v>2</v>
      </c>
      <c r="U475" s="78"/>
      <c r="V475" s="78"/>
      <c r="W475" s="78" t="s">
        <v>303</v>
      </c>
      <c r="X475" s="78" t="s">
        <v>839</v>
      </c>
      <c r="Y475" s="78">
        <v>1</v>
      </c>
      <c r="Z475" s="78" t="s">
        <v>48</v>
      </c>
      <c r="AA475" s="78" t="s">
        <v>225</v>
      </c>
      <c r="AB475" s="78">
        <v>300</v>
      </c>
    </row>
    <row r="476" spans="1:28" x14ac:dyDescent="0.25">
      <c r="A476" t="str">
        <f>IF(EXACT('BOM A320 FFS'!B650,obsoleta!D476),"OK","ERROR")</f>
        <v>ERROR</v>
      </c>
      <c r="C476" s="31" t="s">
        <v>314</v>
      </c>
      <c r="D476" s="71">
        <v>1239024593000</v>
      </c>
      <c r="E476" s="71"/>
      <c r="F476" s="32" t="s">
        <v>1904</v>
      </c>
      <c r="G476" s="32" t="s">
        <v>1905</v>
      </c>
      <c r="H476" s="32" t="s">
        <v>1906</v>
      </c>
      <c r="I476" s="32" t="s">
        <v>586</v>
      </c>
      <c r="J476" s="33">
        <v>200</v>
      </c>
      <c r="K476" s="38">
        <v>0.56000000000000005</v>
      </c>
      <c r="L476" s="35">
        <v>112</v>
      </c>
      <c r="M476" s="36" t="s">
        <v>32</v>
      </c>
      <c r="N476" s="37">
        <v>1</v>
      </c>
      <c r="O476" s="35">
        <v>112</v>
      </c>
      <c r="P476" s="35" t="s">
        <v>33</v>
      </c>
      <c r="Q476" s="97">
        <v>45453</v>
      </c>
      <c r="R476" s="35" t="s">
        <v>62</v>
      </c>
      <c r="S476" s="38"/>
      <c r="T476" s="78">
        <v>2</v>
      </c>
      <c r="U476" s="78"/>
      <c r="V476" s="78"/>
      <c r="W476" s="78" t="s">
        <v>303</v>
      </c>
      <c r="X476" s="78" t="s">
        <v>839</v>
      </c>
      <c r="Y476" s="78">
        <v>1</v>
      </c>
      <c r="Z476" s="78" t="s">
        <v>48</v>
      </c>
      <c r="AA476" s="78" t="s">
        <v>225</v>
      </c>
      <c r="AB476" s="78">
        <v>200</v>
      </c>
    </row>
    <row r="477" spans="1:28" x14ac:dyDescent="0.25">
      <c r="A477" t="str">
        <f>IF(EXACT('BOM A320 FFS'!B651,obsoleta!D477),"OK","ERROR")</f>
        <v>ERROR</v>
      </c>
      <c r="C477" s="31" t="s">
        <v>314</v>
      </c>
      <c r="D477" s="71">
        <v>1239025439050</v>
      </c>
      <c r="E477" s="71"/>
      <c r="F477" s="32" t="s">
        <v>2091</v>
      </c>
      <c r="G477" s="32" t="s">
        <v>2092</v>
      </c>
      <c r="H477" s="32" t="s">
        <v>785</v>
      </c>
      <c r="I477" s="32" t="s">
        <v>2093</v>
      </c>
      <c r="J477" s="33">
        <v>1000</v>
      </c>
      <c r="K477" s="34">
        <v>0.22</v>
      </c>
      <c r="L477" s="35">
        <v>220</v>
      </c>
      <c r="M477" s="36" t="s">
        <v>32</v>
      </c>
      <c r="N477" s="37">
        <v>1</v>
      </c>
      <c r="O477" s="35">
        <v>220</v>
      </c>
      <c r="P477" s="35" t="s">
        <v>33</v>
      </c>
      <c r="Q477" s="97">
        <v>45453</v>
      </c>
      <c r="R477" s="35" t="s">
        <v>62</v>
      </c>
      <c r="S477" s="38"/>
      <c r="T477" s="78">
        <v>2</v>
      </c>
      <c r="U477" s="78"/>
      <c r="V477" s="78"/>
      <c r="W477" s="78" t="s">
        <v>303</v>
      </c>
      <c r="X477" s="78" t="s">
        <v>839</v>
      </c>
      <c r="Y477" s="78">
        <v>1</v>
      </c>
      <c r="Z477" s="78" t="s">
        <v>48</v>
      </c>
      <c r="AA477" s="78" t="s">
        <v>225</v>
      </c>
      <c r="AB477" s="78">
        <v>1000</v>
      </c>
    </row>
    <row r="478" spans="1:28" x14ac:dyDescent="0.25">
      <c r="A478" t="str">
        <f>IF(EXACT('BOM A320 FFS'!B652,obsoleta!D478),"OK","ERROR")</f>
        <v>ERROR</v>
      </c>
      <c r="C478" s="31" t="s">
        <v>314</v>
      </c>
      <c r="D478" s="71">
        <v>1239914159000</v>
      </c>
      <c r="E478" s="71"/>
      <c r="F478" s="32" t="s">
        <v>2240</v>
      </c>
      <c r="G478" s="32" t="s">
        <v>3763</v>
      </c>
      <c r="H478" s="32"/>
      <c r="I478" s="32"/>
      <c r="J478" s="33">
        <v>300</v>
      </c>
      <c r="K478" s="34">
        <v>0.04</v>
      </c>
      <c r="L478" s="35">
        <v>12</v>
      </c>
      <c r="M478" s="36" t="s">
        <v>32</v>
      </c>
      <c r="N478" s="37">
        <v>1</v>
      </c>
      <c r="O478" s="35">
        <v>12</v>
      </c>
      <c r="P478" s="35" t="s">
        <v>33</v>
      </c>
      <c r="Q478" s="97">
        <v>45453</v>
      </c>
      <c r="R478" s="35" t="s">
        <v>62</v>
      </c>
      <c r="S478" s="38"/>
      <c r="T478" s="78">
        <v>2</v>
      </c>
      <c r="U478" s="78"/>
      <c r="V478" s="78"/>
      <c r="W478" s="78" t="s">
        <v>303</v>
      </c>
      <c r="X478" s="78" t="s">
        <v>839</v>
      </c>
      <c r="Y478" s="78">
        <v>1</v>
      </c>
      <c r="Z478" s="78" t="s">
        <v>48</v>
      </c>
      <c r="AA478" s="78" t="s">
        <v>225</v>
      </c>
      <c r="AB478" s="78">
        <v>300</v>
      </c>
    </row>
    <row r="479" spans="1:28" x14ac:dyDescent="0.25">
      <c r="A479" t="str">
        <f>IF(EXACT('BOM A320 FFS'!B653,obsoleta!D479),"OK","ERROR")</f>
        <v>ERROR</v>
      </c>
      <c r="C479" s="31" t="s">
        <v>314</v>
      </c>
      <c r="D479" s="71" t="s">
        <v>2024</v>
      </c>
      <c r="E479" s="71">
        <v>1239024433900</v>
      </c>
      <c r="F479" s="32" t="s">
        <v>2025</v>
      </c>
      <c r="G479" s="32" t="s">
        <v>2026</v>
      </c>
      <c r="H479" s="32" t="s">
        <v>2027</v>
      </c>
      <c r="I479" s="32" t="s">
        <v>586</v>
      </c>
      <c r="J479" s="33">
        <v>500</v>
      </c>
      <c r="K479" s="38">
        <v>0.36</v>
      </c>
      <c r="L479" s="35">
        <v>180</v>
      </c>
      <c r="M479" s="36" t="s">
        <v>32</v>
      </c>
      <c r="N479" s="37">
        <v>1</v>
      </c>
      <c r="O479" s="35">
        <v>180</v>
      </c>
      <c r="P479" s="35" t="s">
        <v>33</v>
      </c>
      <c r="Q479" s="97">
        <v>45453</v>
      </c>
      <c r="R479" s="35" t="s">
        <v>62</v>
      </c>
      <c r="S479" s="38"/>
      <c r="T479" s="78">
        <v>2</v>
      </c>
      <c r="U479" s="78"/>
      <c r="V479" s="78"/>
      <c r="W479" s="78" t="s">
        <v>303</v>
      </c>
      <c r="X479" s="78" t="s">
        <v>839</v>
      </c>
      <c r="Y479" s="78">
        <v>1</v>
      </c>
      <c r="Z479" s="78" t="s">
        <v>48</v>
      </c>
      <c r="AA479" s="78" t="s">
        <v>225</v>
      </c>
      <c r="AB479" s="78">
        <v>500</v>
      </c>
    </row>
    <row r="480" spans="1:28" x14ac:dyDescent="0.25">
      <c r="A480" t="str">
        <f>IF(EXACT('BOM A320 FFS'!B654,obsoleta!D480),"OK","ERROR")</f>
        <v>ERROR</v>
      </c>
      <c r="C480" s="31" t="s">
        <v>314</v>
      </c>
      <c r="D480" s="31" t="s">
        <v>1965</v>
      </c>
      <c r="E480" s="31"/>
      <c r="F480" s="32" t="s">
        <v>1966</v>
      </c>
      <c r="G480" s="32" t="s">
        <v>1967</v>
      </c>
      <c r="H480" s="32" t="s">
        <v>1039</v>
      </c>
      <c r="I480" s="32" t="s">
        <v>1040</v>
      </c>
      <c r="J480" s="33">
        <v>100</v>
      </c>
      <c r="K480" s="38">
        <v>0.49</v>
      </c>
      <c r="L480" s="35">
        <v>48.75</v>
      </c>
      <c r="M480" s="36" t="s">
        <v>32</v>
      </c>
      <c r="N480" s="37">
        <v>1</v>
      </c>
      <c r="O480" s="35">
        <v>48.75</v>
      </c>
      <c r="P480" s="35" t="s">
        <v>33</v>
      </c>
      <c r="Q480" s="97">
        <v>45453</v>
      </c>
      <c r="R480" s="35" t="s">
        <v>62</v>
      </c>
      <c r="S480" s="38"/>
      <c r="T480" s="78">
        <v>2</v>
      </c>
      <c r="U480" s="78"/>
      <c r="V480" s="78"/>
      <c r="W480" s="78" t="s">
        <v>303</v>
      </c>
      <c r="X480" s="78" t="s">
        <v>839</v>
      </c>
      <c r="Y480" s="78">
        <v>1</v>
      </c>
      <c r="Z480" s="78" t="s">
        <v>48</v>
      </c>
      <c r="AA480" s="78" t="s">
        <v>225</v>
      </c>
      <c r="AB480" s="78">
        <v>100</v>
      </c>
    </row>
    <row r="481" spans="1:28" x14ac:dyDescent="0.25">
      <c r="A481" t="str">
        <f>IF(EXACT('BOM A320 FFS'!B655,obsoleta!D481),"OK","ERROR")</f>
        <v>ERROR</v>
      </c>
      <c r="C481" s="31" t="s">
        <v>314</v>
      </c>
      <c r="D481" s="71">
        <v>1238524450600</v>
      </c>
      <c r="E481" s="71"/>
      <c r="F481" s="32" t="s">
        <v>2195</v>
      </c>
      <c r="G481" s="32" t="s">
        <v>2196</v>
      </c>
      <c r="H481" s="32" t="s">
        <v>2197</v>
      </c>
      <c r="I481" s="32" t="s">
        <v>1133</v>
      </c>
      <c r="J481" s="33">
        <v>200</v>
      </c>
      <c r="K481" s="38">
        <v>0.1</v>
      </c>
      <c r="L481" s="35">
        <v>19.48</v>
      </c>
      <c r="M481" s="36" t="s">
        <v>32</v>
      </c>
      <c r="N481" s="37">
        <v>1</v>
      </c>
      <c r="O481" s="35">
        <v>19.48</v>
      </c>
      <c r="P481" s="35" t="s">
        <v>33</v>
      </c>
      <c r="Q481" s="97">
        <v>45453</v>
      </c>
      <c r="R481" s="35" t="s">
        <v>62</v>
      </c>
      <c r="S481" s="38"/>
      <c r="T481" s="78">
        <v>2</v>
      </c>
      <c r="U481" s="78"/>
      <c r="V481" s="78"/>
      <c r="W481" s="78" t="s">
        <v>303</v>
      </c>
      <c r="X481" s="78" t="s">
        <v>839</v>
      </c>
      <c r="Y481" s="78">
        <v>1</v>
      </c>
      <c r="Z481" s="78" t="s">
        <v>48</v>
      </c>
      <c r="AA481" s="78" t="s">
        <v>225</v>
      </c>
      <c r="AB481" s="78">
        <v>200</v>
      </c>
    </row>
    <row r="482" spans="1:28" x14ac:dyDescent="0.25">
      <c r="A482" t="str">
        <f>IF(EXACT('BOM A320 FFS'!B656,obsoleta!D482),"OK","ERROR")</f>
        <v>ERROR</v>
      </c>
      <c r="C482" s="31" t="s">
        <v>314</v>
      </c>
      <c r="D482" s="71" t="s">
        <v>2138</v>
      </c>
      <c r="E482" s="71"/>
      <c r="F482" s="32" t="s">
        <v>2139</v>
      </c>
      <c r="G482" s="32">
        <v>1257</v>
      </c>
      <c r="H482" s="32"/>
      <c r="I482" s="32"/>
      <c r="J482" s="33">
        <v>300</v>
      </c>
      <c r="K482" s="34">
        <v>0.17</v>
      </c>
      <c r="L482" s="35">
        <v>50</v>
      </c>
      <c r="M482" s="36" t="s">
        <v>32</v>
      </c>
      <c r="N482" s="37">
        <v>1</v>
      </c>
      <c r="O482" s="35">
        <v>50</v>
      </c>
      <c r="P482" s="35" t="s">
        <v>33</v>
      </c>
      <c r="Q482" s="97">
        <v>45453</v>
      </c>
      <c r="R482" s="35" t="s">
        <v>62</v>
      </c>
      <c r="S482" s="38"/>
      <c r="T482" s="78">
        <v>2</v>
      </c>
      <c r="U482" s="78"/>
      <c r="V482" s="78"/>
      <c r="W482" s="78" t="s">
        <v>303</v>
      </c>
      <c r="X482" s="78" t="s">
        <v>839</v>
      </c>
      <c r="Y482" s="78">
        <v>1</v>
      </c>
      <c r="Z482" s="78" t="s">
        <v>48</v>
      </c>
      <c r="AA482" s="78" t="s">
        <v>225</v>
      </c>
      <c r="AB482" s="78">
        <v>300</v>
      </c>
    </row>
    <row r="483" spans="1:28" x14ac:dyDescent="0.25">
      <c r="A483" t="str">
        <f>IF(EXACT('BOM A320 FFS'!B657,obsoleta!D483),"OK","ERROR")</f>
        <v>ERROR</v>
      </c>
      <c r="C483" s="31" t="s">
        <v>314</v>
      </c>
      <c r="D483" s="71">
        <v>1238500103400</v>
      </c>
      <c r="E483" s="71"/>
      <c r="F483" s="32" t="s">
        <v>1845</v>
      </c>
      <c r="G483" s="32" t="s">
        <v>1846</v>
      </c>
      <c r="H483" s="32"/>
      <c r="I483" s="32"/>
      <c r="J483" s="33">
        <v>100</v>
      </c>
      <c r="K483" s="34">
        <v>0.77</v>
      </c>
      <c r="L483" s="35">
        <v>77</v>
      </c>
      <c r="M483" s="36" t="s">
        <v>32</v>
      </c>
      <c r="N483" s="37">
        <v>1</v>
      </c>
      <c r="O483" s="35">
        <v>77</v>
      </c>
      <c r="P483" s="35" t="s">
        <v>33</v>
      </c>
      <c r="Q483" s="97">
        <v>45453</v>
      </c>
      <c r="R483" s="35" t="s">
        <v>62</v>
      </c>
      <c r="S483" s="38"/>
      <c r="T483" s="78">
        <v>2</v>
      </c>
      <c r="U483" s="78"/>
      <c r="V483" s="78"/>
      <c r="W483" s="78" t="s">
        <v>303</v>
      </c>
      <c r="X483" s="78" t="s">
        <v>839</v>
      </c>
      <c r="Y483" s="78">
        <v>1</v>
      </c>
      <c r="Z483" s="78" t="s">
        <v>48</v>
      </c>
      <c r="AA483" s="78" t="s">
        <v>225</v>
      </c>
      <c r="AB483" s="78">
        <v>100</v>
      </c>
    </row>
    <row r="484" spans="1:28" x14ac:dyDescent="0.25">
      <c r="A484" t="str">
        <f>IF(EXACT('BOM A320 FFS'!B658,obsoleta!D484),"OK","ERROR")</f>
        <v>ERROR</v>
      </c>
      <c r="C484" s="31" t="s">
        <v>314</v>
      </c>
      <c r="D484" s="71">
        <v>1238500140602</v>
      </c>
      <c r="E484" s="71"/>
      <c r="F484" s="32" t="s">
        <v>1848</v>
      </c>
      <c r="G484" s="32" t="s">
        <v>1849</v>
      </c>
      <c r="H484" s="32" t="s">
        <v>1850</v>
      </c>
      <c r="I484" s="32"/>
      <c r="J484" s="33">
        <v>100</v>
      </c>
      <c r="K484" s="34">
        <v>0.77</v>
      </c>
      <c r="L484" s="35">
        <v>77</v>
      </c>
      <c r="M484" s="36" t="s">
        <v>32</v>
      </c>
      <c r="N484" s="37">
        <v>1</v>
      </c>
      <c r="O484" s="35">
        <v>77</v>
      </c>
      <c r="P484" s="35" t="s">
        <v>33</v>
      </c>
      <c r="Q484" s="97">
        <v>45453</v>
      </c>
      <c r="R484" s="35" t="s">
        <v>62</v>
      </c>
      <c r="S484" s="38"/>
      <c r="T484" s="78">
        <v>2</v>
      </c>
      <c r="U484" s="78"/>
      <c r="V484" s="78"/>
      <c r="W484" s="78" t="s">
        <v>303</v>
      </c>
      <c r="X484" s="78" t="s">
        <v>839</v>
      </c>
      <c r="Y484" s="78">
        <v>1</v>
      </c>
      <c r="Z484" s="78" t="s">
        <v>48</v>
      </c>
      <c r="AA484" s="78" t="s">
        <v>225</v>
      </c>
      <c r="AB484" s="78">
        <v>100</v>
      </c>
    </row>
    <row r="485" spans="1:28" x14ac:dyDescent="0.25">
      <c r="A485" t="str">
        <f>IF(EXACT('BOM A320 FFS'!B659,obsoleta!D485),"OK","ERROR")</f>
        <v>ERROR</v>
      </c>
      <c r="C485" s="31" t="s">
        <v>314</v>
      </c>
      <c r="D485" s="71">
        <v>1202094330000</v>
      </c>
      <c r="E485" s="71"/>
      <c r="F485" s="32" t="s">
        <v>1841</v>
      </c>
      <c r="G485" s="32" t="s">
        <v>1842</v>
      </c>
      <c r="H485" s="32" t="s">
        <v>1843</v>
      </c>
      <c r="I485" s="32"/>
      <c r="J485" s="33">
        <v>100</v>
      </c>
      <c r="K485" s="34">
        <v>0.77</v>
      </c>
      <c r="L485" s="35">
        <v>77</v>
      </c>
      <c r="M485" s="36" t="s">
        <v>32</v>
      </c>
      <c r="N485" s="37">
        <v>1</v>
      </c>
      <c r="O485" s="35">
        <v>77</v>
      </c>
      <c r="P485" s="35" t="s">
        <v>33</v>
      </c>
      <c r="Q485" s="97">
        <v>45453</v>
      </c>
      <c r="R485" s="35" t="s">
        <v>62</v>
      </c>
      <c r="S485" s="38"/>
      <c r="T485" s="78">
        <v>2</v>
      </c>
      <c r="U485" s="78"/>
      <c r="V485" s="78"/>
      <c r="W485" s="78" t="s">
        <v>303</v>
      </c>
      <c r="X485" s="78" t="s">
        <v>839</v>
      </c>
      <c r="Y485" s="78">
        <v>1</v>
      </c>
      <c r="Z485" s="78" t="s">
        <v>48</v>
      </c>
      <c r="AA485" s="78" t="s">
        <v>225</v>
      </c>
      <c r="AB485" s="78">
        <v>100</v>
      </c>
    </row>
    <row r="486" spans="1:28" x14ac:dyDescent="0.25">
      <c r="A486" t="str">
        <f>IF(EXACT('BOM A320 FFS'!B660,obsoleta!D486),"OK","ERROR")</f>
        <v>ERROR</v>
      </c>
      <c r="C486" s="31" t="s">
        <v>314</v>
      </c>
      <c r="D486" s="71">
        <v>956017025</v>
      </c>
      <c r="E486" s="71">
        <v>1233090000040</v>
      </c>
      <c r="F486" s="32" t="s">
        <v>1852</v>
      </c>
      <c r="G486" s="32" t="s">
        <v>1853</v>
      </c>
      <c r="H486" s="28" t="s">
        <v>791</v>
      </c>
      <c r="I486" s="28"/>
      <c r="J486" s="40">
        <v>100</v>
      </c>
      <c r="K486" s="30">
        <v>0.77</v>
      </c>
      <c r="L486" s="30">
        <v>77</v>
      </c>
      <c r="M486" s="26" t="s">
        <v>32</v>
      </c>
      <c r="N486" s="26">
        <v>1</v>
      </c>
      <c r="O486" s="41">
        <v>77</v>
      </c>
      <c r="P486" s="41" t="s">
        <v>33</v>
      </c>
      <c r="Q486" s="98">
        <v>45453</v>
      </c>
      <c r="R486" s="41" t="s">
        <v>62</v>
      </c>
      <c r="S486" s="30"/>
      <c r="T486" s="82">
        <v>2</v>
      </c>
      <c r="U486" s="82"/>
      <c r="V486" s="82"/>
      <c r="W486" s="82" t="s">
        <v>303</v>
      </c>
      <c r="X486" s="82" t="s">
        <v>839</v>
      </c>
      <c r="Y486" s="82">
        <v>1</v>
      </c>
      <c r="Z486" s="82" t="s">
        <v>48</v>
      </c>
      <c r="AA486" s="82" t="s">
        <v>225</v>
      </c>
      <c r="AB486" s="82">
        <v>100</v>
      </c>
    </row>
    <row r="487" spans="1:28" x14ac:dyDescent="0.25">
      <c r="A487" t="str">
        <f>IF(EXACT('BOM A320 FFS'!B663,obsoleta!D487),"OK","ERROR")</f>
        <v>ERROR</v>
      </c>
      <c r="C487" s="39"/>
      <c r="D487" s="39"/>
      <c r="E487" s="39"/>
      <c r="F487" s="28"/>
      <c r="G487" s="28"/>
      <c r="H487" s="28"/>
      <c r="I487" s="28"/>
      <c r="J487" s="40"/>
      <c r="K487" s="30"/>
      <c r="L487" s="30"/>
      <c r="M487" s="26"/>
      <c r="N487" s="26"/>
      <c r="O487" s="41"/>
      <c r="P487" s="41"/>
      <c r="Q487" s="98"/>
      <c r="R487" s="41"/>
      <c r="S487" s="30"/>
      <c r="T487" s="82"/>
      <c r="U487" s="82"/>
      <c r="V487" s="82"/>
      <c r="W487" s="82"/>
      <c r="X487" s="82"/>
      <c r="Y487" s="82"/>
      <c r="Z487" s="82"/>
      <c r="AA487" s="82" t="s">
        <v>225</v>
      </c>
      <c r="AB487" s="82"/>
    </row>
    <row r="488" spans="1:28" x14ac:dyDescent="0.25">
      <c r="A488" t="str">
        <f>IF(EXACT('BOM A320 FFS'!B664,obsoleta!D488),"OK","ERROR")</f>
        <v>ERROR</v>
      </c>
      <c r="C488" s="48"/>
      <c r="D488" s="48" t="s">
        <v>3657</v>
      </c>
      <c r="E488" s="48"/>
      <c r="F488" s="28"/>
      <c r="G488" s="28"/>
      <c r="H488" s="32"/>
      <c r="I488" s="32"/>
      <c r="J488" s="33"/>
      <c r="K488" s="34"/>
      <c r="L488" s="35"/>
      <c r="M488" s="36"/>
      <c r="N488" s="37"/>
      <c r="O488" s="35"/>
      <c r="P488" s="35"/>
      <c r="Q488" s="97"/>
      <c r="R488" s="35"/>
      <c r="S488" s="38"/>
      <c r="T488" s="78"/>
      <c r="U488" s="78"/>
      <c r="V488" s="78"/>
      <c r="W488" s="78"/>
      <c r="X488" s="78"/>
      <c r="Y488" s="78"/>
      <c r="Z488" s="78"/>
      <c r="AA488" s="78" t="s">
        <v>225</v>
      </c>
      <c r="AB488" s="78"/>
    </row>
    <row r="489" spans="1:28" x14ac:dyDescent="0.25">
      <c r="A489" t="str">
        <f>IF(EXACT('BOM A320 FFS'!B665,obsoleta!D489),"OK","ERROR")</f>
        <v>ERROR</v>
      </c>
      <c r="C489" s="31" t="s">
        <v>314</v>
      </c>
      <c r="D489" s="71">
        <v>1587080101200</v>
      </c>
      <c r="E489" s="71"/>
      <c r="F489" s="32" t="s">
        <v>736</v>
      </c>
      <c r="G489" s="32" t="s">
        <v>737</v>
      </c>
      <c r="H489" s="32" t="s">
        <v>1610</v>
      </c>
      <c r="I489" s="32" t="s">
        <v>1611</v>
      </c>
      <c r="J489" s="33">
        <v>2000</v>
      </c>
      <c r="K489" s="34">
        <v>2</v>
      </c>
      <c r="L489" s="35">
        <v>4000</v>
      </c>
      <c r="M489" s="36" t="s">
        <v>32</v>
      </c>
      <c r="N489" s="37">
        <v>1</v>
      </c>
      <c r="O489" s="35">
        <v>4000</v>
      </c>
      <c r="P489" s="35" t="s">
        <v>33</v>
      </c>
      <c r="Q489" s="97">
        <v>45453</v>
      </c>
      <c r="R489" s="35" t="s">
        <v>62</v>
      </c>
      <c r="S489" s="38" t="s">
        <v>1612</v>
      </c>
      <c r="T489" s="78">
        <v>2</v>
      </c>
      <c r="U489" s="78"/>
      <c r="V489" s="78"/>
      <c r="W489" s="78" t="s">
        <v>303</v>
      </c>
      <c r="X489" s="78" t="s">
        <v>839</v>
      </c>
      <c r="Y489" s="78">
        <v>1</v>
      </c>
      <c r="Z489" s="78" t="s">
        <v>48</v>
      </c>
      <c r="AA489" s="78" t="s">
        <v>225</v>
      </c>
      <c r="AB489" s="78">
        <v>2000</v>
      </c>
    </row>
    <row r="490" spans="1:28" x14ac:dyDescent="0.25">
      <c r="A490" t="str">
        <f>IF(EXACT('BOM A320 FFS'!B666,obsoleta!D490),"OK","ERROR")</f>
        <v>ERROR</v>
      </c>
      <c r="C490" s="31" t="s">
        <v>314</v>
      </c>
      <c r="D490" s="71">
        <v>1587080100800</v>
      </c>
      <c r="E490" s="71"/>
      <c r="F490" s="32" t="s">
        <v>1608</v>
      </c>
      <c r="G490" s="32" t="s">
        <v>1609</v>
      </c>
      <c r="H490" s="32" t="s">
        <v>1610</v>
      </c>
      <c r="I490" s="32" t="s">
        <v>1611</v>
      </c>
      <c r="J490" s="33">
        <v>4000</v>
      </c>
      <c r="K490" s="34">
        <v>2</v>
      </c>
      <c r="L490" s="35">
        <v>8000</v>
      </c>
      <c r="M490" s="36" t="s">
        <v>32</v>
      </c>
      <c r="N490" s="37">
        <v>1</v>
      </c>
      <c r="O490" s="35">
        <v>8000</v>
      </c>
      <c r="P490" s="35" t="s">
        <v>33</v>
      </c>
      <c r="Q490" s="97">
        <v>45453</v>
      </c>
      <c r="R490" s="35" t="s">
        <v>62</v>
      </c>
      <c r="S490" s="38" t="s">
        <v>1612</v>
      </c>
      <c r="T490" s="78">
        <v>2</v>
      </c>
      <c r="U490" s="78"/>
      <c r="V490" s="78"/>
      <c r="W490" s="78" t="s">
        <v>303</v>
      </c>
      <c r="X490" s="78" t="s">
        <v>839</v>
      </c>
      <c r="Y490" s="78">
        <v>1</v>
      </c>
      <c r="Z490" s="78" t="s">
        <v>48</v>
      </c>
      <c r="AA490" s="78" t="s">
        <v>225</v>
      </c>
      <c r="AB490" s="78">
        <v>2000</v>
      </c>
    </row>
    <row r="491" spans="1:28" x14ac:dyDescent="0.25">
      <c r="A491" t="str">
        <f>IF(EXACT('BOM A320 FFS'!B667,obsoleta!D491),"OK","ERROR")</f>
        <v>ERROR</v>
      </c>
      <c r="C491" s="31" t="s">
        <v>314</v>
      </c>
      <c r="D491" s="31" t="s">
        <v>70</v>
      </c>
      <c r="E491" s="31"/>
      <c r="F491" s="32" t="s">
        <v>1232</v>
      </c>
      <c r="G491" s="32" t="s">
        <v>1233</v>
      </c>
      <c r="H491" s="32" t="s">
        <v>461</v>
      </c>
      <c r="I491" s="32"/>
      <c r="J491" s="33">
        <v>2</v>
      </c>
      <c r="K491" s="34">
        <v>17</v>
      </c>
      <c r="L491" s="35">
        <v>34</v>
      </c>
      <c r="M491" s="36" t="s">
        <v>32</v>
      </c>
      <c r="N491" s="37">
        <v>1</v>
      </c>
      <c r="O491" s="35">
        <v>34</v>
      </c>
      <c r="P491" s="35" t="s">
        <v>99</v>
      </c>
      <c r="Q491" s="97">
        <v>45442</v>
      </c>
      <c r="R491" s="35" t="s">
        <v>62</v>
      </c>
      <c r="S491" s="38" t="s">
        <v>1231</v>
      </c>
      <c r="T491" s="78">
        <v>2</v>
      </c>
      <c r="U491" s="78"/>
      <c r="V491" s="78"/>
      <c r="W491" s="78" t="s">
        <v>303</v>
      </c>
      <c r="X491" s="78"/>
      <c r="Y491" s="78"/>
      <c r="Z491" s="78"/>
      <c r="AA491" s="78" t="s">
        <v>225</v>
      </c>
      <c r="AB491" s="78"/>
    </row>
    <row r="492" spans="1:28" x14ac:dyDescent="0.25">
      <c r="A492" t="str">
        <f>IF(EXACT('BOM A320 FFS'!B668,obsoleta!D492),"OK","ERROR")</f>
        <v>ERROR</v>
      </c>
      <c r="C492" s="31" t="s">
        <v>314</v>
      </c>
      <c r="D492" s="31" t="s">
        <v>70</v>
      </c>
      <c r="E492" s="31"/>
      <c r="F492" s="32" t="s">
        <v>1241</v>
      </c>
      <c r="G492" s="32" t="s">
        <v>1242</v>
      </c>
      <c r="H492" s="32" t="s">
        <v>461</v>
      </c>
      <c r="I492" s="32"/>
      <c r="J492" s="33">
        <v>2</v>
      </c>
      <c r="K492" s="34">
        <v>17</v>
      </c>
      <c r="L492" s="35">
        <v>34</v>
      </c>
      <c r="M492" s="36" t="s">
        <v>32</v>
      </c>
      <c r="N492" s="37">
        <v>1</v>
      </c>
      <c r="O492" s="35">
        <v>34</v>
      </c>
      <c r="P492" s="35" t="s">
        <v>99</v>
      </c>
      <c r="Q492" s="97">
        <v>45442</v>
      </c>
      <c r="R492" s="35" t="s">
        <v>62</v>
      </c>
      <c r="S492" s="38" t="s">
        <v>1231</v>
      </c>
      <c r="T492" s="78">
        <v>2</v>
      </c>
      <c r="U492" s="78"/>
      <c r="V492" s="78"/>
      <c r="W492" s="78" t="s">
        <v>303</v>
      </c>
      <c r="X492" s="78"/>
      <c r="Y492" s="78"/>
      <c r="Z492" s="78"/>
      <c r="AA492" s="78" t="s">
        <v>225</v>
      </c>
      <c r="AB492" s="78"/>
    </row>
    <row r="493" spans="1:28" x14ac:dyDescent="0.25">
      <c r="A493" t="str">
        <f>IF(EXACT('BOM A320 FFS'!B669,obsoleta!D493),"OK","ERROR")</f>
        <v>ERROR</v>
      </c>
      <c r="C493" s="31" t="s">
        <v>314</v>
      </c>
      <c r="D493" s="31" t="s">
        <v>70</v>
      </c>
      <c r="E493" s="31"/>
      <c r="F493" s="32" t="s">
        <v>1229</v>
      </c>
      <c r="G493" s="32" t="s">
        <v>1230</v>
      </c>
      <c r="H493" s="32" t="s">
        <v>461</v>
      </c>
      <c r="I493" s="32"/>
      <c r="J493" s="33">
        <v>2</v>
      </c>
      <c r="K493" s="34">
        <v>17</v>
      </c>
      <c r="L493" s="35">
        <v>34</v>
      </c>
      <c r="M493" s="36" t="s">
        <v>32</v>
      </c>
      <c r="N493" s="37">
        <v>1</v>
      </c>
      <c r="O493" s="35">
        <v>34</v>
      </c>
      <c r="P493" s="35" t="s">
        <v>99</v>
      </c>
      <c r="Q493" s="97">
        <v>45442</v>
      </c>
      <c r="R493" s="35" t="s">
        <v>62</v>
      </c>
      <c r="S493" s="38" t="s">
        <v>1231</v>
      </c>
      <c r="T493" s="78">
        <v>2</v>
      </c>
      <c r="U493" s="78"/>
      <c r="V493" s="78"/>
      <c r="W493" s="78" t="s">
        <v>303</v>
      </c>
      <c r="X493" s="78"/>
      <c r="Y493" s="78"/>
      <c r="Z493" s="78"/>
      <c r="AA493" s="78" t="s">
        <v>225</v>
      </c>
      <c r="AB493" s="78"/>
    </row>
    <row r="494" spans="1:28" x14ac:dyDescent="0.25">
      <c r="A494" t="str">
        <f>IF(EXACT('BOM A320 FFS'!B670,obsoleta!D494),"OK","ERROR")</f>
        <v>ERROR</v>
      </c>
      <c r="C494" s="31" t="s">
        <v>314</v>
      </c>
      <c r="D494" s="31" t="s">
        <v>70</v>
      </c>
      <c r="E494" s="31"/>
      <c r="F494" s="32" t="s">
        <v>1232</v>
      </c>
      <c r="G494" s="32" t="s">
        <v>1234</v>
      </c>
      <c r="H494" s="32" t="s">
        <v>461</v>
      </c>
      <c r="I494" s="32"/>
      <c r="J494" s="33">
        <v>2</v>
      </c>
      <c r="K494" s="34">
        <v>17</v>
      </c>
      <c r="L494" s="35">
        <v>34</v>
      </c>
      <c r="M494" s="36" t="s">
        <v>32</v>
      </c>
      <c r="N494" s="37">
        <v>1</v>
      </c>
      <c r="O494" s="35">
        <v>34</v>
      </c>
      <c r="P494" s="35" t="s">
        <v>99</v>
      </c>
      <c r="Q494" s="97">
        <v>45442</v>
      </c>
      <c r="R494" s="35" t="s">
        <v>62</v>
      </c>
      <c r="S494" s="38" t="s">
        <v>1231</v>
      </c>
      <c r="T494" s="78">
        <v>2</v>
      </c>
      <c r="U494" s="78"/>
      <c r="V494" s="78"/>
      <c r="W494" s="78" t="s">
        <v>303</v>
      </c>
      <c r="X494" s="78"/>
      <c r="Y494" s="78"/>
      <c r="Z494" s="78"/>
      <c r="AA494" s="78" t="s">
        <v>225</v>
      </c>
      <c r="AB494" s="78"/>
    </row>
    <row r="495" spans="1:28" x14ac:dyDescent="0.25">
      <c r="A495" t="str">
        <f>IF(EXACT('BOM A320 FFS'!B671,obsoleta!D495),"OK","ERROR")</f>
        <v>ERROR</v>
      </c>
      <c r="C495" s="31" t="s">
        <v>314</v>
      </c>
      <c r="D495" s="31" t="s">
        <v>70</v>
      </c>
      <c r="E495" s="31"/>
      <c r="F495" s="32" t="s">
        <v>1239</v>
      </c>
      <c r="G495" s="32" t="s">
        <v>1240</v>
      </c>
      <c r="H495" s="32" t="s">
        <v>461</v>
      </c>
      <c r="I495" s="32"/>
      <c r="J495" s="33">
        <v>2</v>
      </c>
      <c r="K495" s="34">
        <v>17</v>
      </c>
      <c r="L495" s="35">
        <v>34</v>
      </c>
      <c r="M495" s="36" t="s">
        <v>32</v>
      </c>
      <c r="N495" s="37">
        <v>1</v>
      </c>
      <c r="O495" s="35">
        <v>34</v>
      </c>
      <c r="P495" s="35" t="s">
        <v>99</v>
      </c>
      <c r="Q495" s="97">
        <v>45442</v>
      </c>
      <c r="R495" s="35" t="s">
        <v>62</v>
      </c>
      <c r="S495" s="38" t="s">
        <v>1231</v>
      </c>
      <c r="T495" s="78">
        <v>2</v>
      </c>
      <c r="U495" s="78"/>
      <c r="V495" s="78"/>
      <c r="W495" s="78" t="s">
        <v>303</v>
      </c>
      <c r="X495" s="78"/>
      <c r="Y495" s="78"/>
      <c r="Z495" s="78"/>
      <c r="AA495" s="78" t="s">
        <v>225</v>
      </c>
      <c r="AB495" s="78"/>
    </row>
    <row r="496" spans="1:28" x14ac:dyDescent="0.25">
      <c r="A496" t="str">
        <f>IF(EXACT('BOM A320 FFS'!B672,obsoleta!D496),"OK","ERROR")</f>
        <v>ERROR</v>
      </c>
      <c r="C496" s="31" t="s">
        <v>314</v>
      </c>
      <c r="D496" s="31" t="s">
        <v>70</v>
      </c>
      <c r="E496" s="31"/>
      <c r="F496" s="32" t="s">
        <v>1237</v>
      </c>
      <c r="G496" s="32" t="s">
        <v>1238</v>
      </c>
      <c r="H496" s="32" t="s">
        <v>461</v>
      </c>
      <c r="I496" s="32"/>
      <c r="J496" s="33">
        <v>2</v>
      </c>
      <c r="K496" s="34">
        <v>17</v>
      </c>
      <c r="L496" s="35">
        <v>34</v>
      </c>
      <c r="M496" s="36" t="s">
        <v>32</v>
      </c>
      <c r="N496" s="37">
        <v>1</v>
      </c>
      <c r="O496" s="35">
        <v>34</v>
      </c>
      <c r="P496" s="35" t="s">
        <v>99</v>
      </c>
      <c r="Q496" s="97">
        <v>45442</v>
      </c>
      <c r="R496" s="35" t="s">
        <v>62</v>
      </c>
      <c r="S496" s="38" t="s">
        <v>1231</v>
      </c>
      <c r="T496" s="78">
        <v>2</v>
      </c>
      <c r="U496" s="78"/>
      <c r="V496" s="78"/>
      <c r="W496" s="78" t="s">
        <v>303</v>
      </c>
      <c r="X496" s="78"/>
      <c r="Y496" s="78"/>
      <c r="Z496" s="78"/>
      <c r="AA496" s="78" t="s">
        <v>225</v>
      </c>
      <c r="AB496" s="78"/>
    </row>
    <row r="497" spans="1:28" x14ac:dyDescent="0.25">
      <c r="A497" t="str">
        <f>IF(EXACT('BOM A320 FFS'!B673,obsoleta!D497),"OK","ERROR")</f>
        <v>ERROR</v>
      </c>
      <c r="C497" s="31" t="s">
        <v>314</v>
      </c>
      <c r="D497" s="31" t="s">
        <v>70</v>
      </c>
      <c r="E497" s="31"/>
      <c r="F497" s="32" t="s">
        <v>1235</v>
      </c>
      <c r="G497" s="32" t="s">
        <v>1236</v>
      </c>
      <c r="H497" s="32" t="s">
        <v>461</v>
      </c>
      <c r="I497" s="32"/>
      <c r="J497" s="33">
        <v>2</v>
      </c>
      <c r="K497" s="34">
        <v>17</v>
      </c>
      <c r="L497" s="35">
        <v>34</v>
      </c>
      <c r="M497" s="36" t="s">
        <v>32</v>
      </c>
      <c r="N497" s="37">
        <v>1</v>
      </c>
      <c r="O497" s="35">
        <v>34</v>
      </c>
      <c r="P497" s="35" t="s">
        <v>99</v>
      </c>
      <c r="Q497" s="97">
        <v>45442</v>
      </c>
      <c r="R497" s="35" t="s">
        <v>62</v>
      </c>
      <c r="S497" s="38" t="s">
        <v>1231</v>
      </c>
      <c r="T497" s="78">
        <v>2</v>
      </c>
      <c r="U497" s="78"/>
      <c r="V497" s="78"/>
      <c r="W497" s="78" t="s">
        <v>303</v>
      </c>
      <c r="X497" s="78"/>
      <c r="Y497" s="78"/>
      <c r="Z497" s="78"/>
      <c r="AA497" s="78" t="s">
        <v>225</v>
      </c>
      <c r="AB497" s="78"/>
    </row>
    <row r="498" spans="1:28" x14ac:dyDescent="0.25">
      <c r="A498" t="str">
        <f>IF(EXACT('BOM A320 FFS'!B677,obsoleta!D498),"OK","ERROR")</f>
        <v>ERROR</v>
      </c>
      <c r="C498" s="31" t="s">
        <v>314</v>
      </c>
      <c r="D498" s="31">
        <v>1232025135900</v>
      </c>
      <c r="E498" s="31"/>
      <c r="F498" s="32" t="s">
        <v>500</v>
      </c>
      <c r="G498" s="32" t="s">
        <v>501</v>
      </c>
      <c r="H498" s="32" t="s">
        <v>488</v>
      </c>
      <c r="I498" s="32" t="s">
        <v>461</v>
      </c>
      <c r="J498" s="33">
        <v>1</v>
      </c>
      <c r="K498" s="34">
        <v>277</v>
      </c>
      <c r="L498" s="35">
        <v>277</v>
      </c>
      <c r="M498" s="36" t="s">
        <v>32</v>
      </c>
      <c r="N498" s="37">
        <v>1</v>
      </c>
      <c r="O498" s="35">
        <v>277</v>
      </c>
      <c r="P498" s="35" t="s">
        <v>33</v>
      </c>
      <c r="Q498" s="97">
        <v>45453</v>
      </c>
      <c r="R498" s="35" t="s">
        <v>62</v>
      </c>
      <c r="S498" s="38" t="s">
        <v>489</v>
      </c>
      <c r="T498" s="78">
        <v>2</v>
      </c>
      <c r="U498" s="78"/>
      <c r="V498" s="78"/>
      <c r="W498" s="78" t="s">
        <v>303</v>
      </c>
      <c r="X498" s="78" t="s">
        <v>839</v>
      </c>
      <c r="Y498" s="78">
        <v>1</v>
      </c>
      <c r="Z498" s="78" t="s">
        <v>48</v>
      </c>
      <c r="AA498" s="78" t="s">
        <v>225</v>
      </c>
      <c r="AB498" s="78">
        <v>1</v>
      </c>
    </row>
    <row r="499" spans="1:28" x14ac:dyDescent="0.25">
      <c r="A499" t="e">
        <f>IF(EXACT('BOM A320 FFS'!#REF!,obsoleta!D499),"OK","ERROR")</f>
        <v>#REF!</v>
      </c>
      <c r="C499" s="31" t="s">
        <v>314</v>
      </c>
      <c r="D499" s="71">
        <v>1232025255900</v>
      </c>
      <c r="E499" s="71"/>
      <c r="F499" s="32" t="s">
        <v>486</v>
      </c>
      <c r="G499" s="32" t="s">
        <v>487</v>
      </c>
      <c r="H499" s="32" t="s">
        <v>488</v>
      </c>
      <c r="I499" s="32" t="s">
        <v>461</v>
      </c>
      <c r="J499" s="33">
        <v>1</v>
      </c>
      <c r="K499" s="34">
        <v>277</v>
      </c>
      <c r="L499" s="35">
        <v>277</v>
      </c>
      <c r="M499" s="36" t="s">
        <v>32</v>
      </c>
      <c r="N499" s="37">
        <v>1</v>
      </c>
      <c r="O499" s="35">
        <v>277</v>
      </c>
      <c r="P499" s="35" t="s">
        <v>33</v>
      </c>
      <c r="Q499" s="97">
        <v>45453</v>
      </c>
      <c r="R499" s="35" t="s">
        <v>62</v>
      </c>
      <c r="S499" s="38" t="s">
        <v>489</v>
      </c>
      <c r="T499" s="78">
        <v>2</v>
      </c>
      <c r="U499" s="78"/>
      <c r="V499" s="78"/>
      <c r="W499" s="78" t="s">
        <v>303</v>
      </c>
      <c r="X499" s="78" t="s">
        <v>839</v>
      </c>
      <c r="Y499" s="78">
        <v>1</v>
      </c>
      <c r="Z499" s="78" t="s">
        <v>48</v>
      </c>
      <c r="AA499" s="78" t="s">
        <v>225</v>
      </c>
      <c r="AB499" s="78">
        <v>1</v>
      </c>
    </row>
    <row r="500" spans="1:28" x14ac:dyDescent="0.25">
      <c r="A500" t="e">
        <f>IF(EXACT('BOM A320 FFS'!#REF!,obsoleta!D500),"OK","ERROR")</f>
        <v>#REF!</v>
      </c>
      <c r="C500" s="31" t="s">
        <v>314</v>
      </c>
      <c r="D500" s="71">
        <v>1232025195900</v>
      </c>
      <c r="E500" s="71"/>
      <c r="F500" s="32" t="s">
        <v>1866</v>
      </c>
      <c r="G500" s="32" t="s">
        <v>1867</v>
      </c>
      <c r="H500" s="32" t="s">
        <v>488</v>
      </c>
      <c r="I500" s="32" t="s">
        <v>461</v>
      </c>
      <c r="J500" s="33">
        <v>1</v>
      </c>
      <c r="K500" s="34">
        <v>277</v>
      </c>
      <c r="L500" s="35">
        <v>277</v>
      </c>
      <c r="M500" s="36" t="s">
        <v>32</v>
      </c>
      <c r="N500" s="37">
        <v>1</v>
      </c>
      <c r="O500" s="35">
        <v>277</v>
      </c>
      <c r="P500" s="35" t="s">
        <v>33</v>
      </c>
      <c r="Q500" s="97">
        <v>45453</v>
      </c>
      <c r="R500" s="35" t="s">
        <v>62</v>
      </c>
      <c r="S500" s="38" t="s">
        <v>489</v>
      </c>
      <c r="T500" s="78">
        <v>2</v>
      </c>
      <c r="U500" s="78"/>
      <c r="V500" s="78"/>
      <c r="W500" s="78" t="s">
        <v>303</v>
      </c>
      <c r="X500" s="78" t="s">
        <v>839</v>
      </c>
      <c r="Y500" s="78">
        <v>1</v>
      </c>
      <c r="Z500" s="78" t="s">
        <v>48</v>
      </c>
      <c r="AA500" s="78" t="s">
        <v>225</v>
      </c>
      <c r="AB500" s="78">
        <v>1</v>
      </c>
    </row>
    <row r="501" spans="1:28" x14ac:dyDescent="0.25">
      <c r="A501" t="str">
        <f>IF(EXACT('BOM A320 FFS'!B680,obsoleta!D501),"OK","ERROR")</f>
        <v>ERROR</v>
      </c>
      <c r="C501" s="31" t="s">
        <v>314</v>
      </c>
      <c r="D501" s="31" t="s">
        <v>70</v>
      </c>
      <c r="E501" s="31"/>
      <c r="F501" s="32" t="s">
        <v>490</v>
      </c>
      <c r="G501" s="32" t="s">
        <v>491</v>
      </c>
      <c r="H501" s="28" t="s">
        <v>488</v>
      </c>
      <c r="I501" s="28" t="s">
        <v>461</v>
      </c>
      <c r="J501" s="40">
        <v>1</v>
      </c>
      <c r="K501" s="30">
        <v>277</v>
      </c>
      <c r="L501" s="30">
        <v>277</v>
      </c>
      <c r="M501" s="26" t="s">
        <v>32</v>
      </c>
      <c r="N501" s="26">
        <v>1</v>
      </c>
      <c r="O501" s="41">
        <v>277</v>
      </c>
      <c r="P501" s="41" t="s">
        <v>33</v>
      </c>
      <c r="Q501" s="98">
        <v>45453</v>
      </c>
      <c r="R501" s="41" t="s">
        <v>62</v>
      </c>
      <c r="S501" s="30" t="s">
        <v>489</v>
      </c>
      <c r="T501" s="78">
        <v>2</v>
      </c>
      <c r="U501" s="78"/>
      <c r="V501" s="78"/>
      <c r="W501" s="78" t="s">
        <v>303</v>
      </c>
      <c r="X501" s="78" t="s">
        <v>839</v>
      </c>
      <c r="Y501" s="78">
        <v>1</v>
      </c>
      <c r="Z501" s="78" t="s">
        <v>48</v>
      </c>
      <c r="AA501" s="78" t="s">
        <v>225</v>
      </c>
      <c r="AB501" s="78">
        <v>1</v>
      </c>
    </row>
    <row r="502" spans="1:28" x14ac:dyDescent="0.25">
      <c r="A502" t="str">
        <f>IF(EXACT('BOM A320 FFS'!B686,obsoleta!D502),"OK","ERROR")</f>
        <v>ERROR</v>
      </c>
      <c r="C502" s="48"/>
      <c r="D502" s="48" t="s">
        <v>3658</v>
      </c>
      <c r="E502" s="48"/>
      <c r="F502" s="28"/>
      <c r="G502" s="28"/>
      <c r="H502" s="32"/>
      <c r="I502" s="32"/>
      <c r="J502" s="33"/>
      <c r="K502" s="34"/>
      <c r="L502" s="35"/>
      <c r="M502" s="36"/>
      <c r="N502" s="37"/>
      <c r="O502" s="35"/>
      <c r="P502" s="35"/>
      <c r="Q502" s="97"/>
      <c r="R502" s="35"/>
      <c r="S502" s="38"/>
      <c r="T502" s="78"/>
      <c r="U502" s="78"/>
      <c r="V502" s="78"/>
      <c r="W502" s="78"/>
      <c r="X502" s="78"/>
      <c r="Y502" s="78"/>
      <c r="Z502" s="78"/>
      <c r="AA502" s="78" t="s">
        <v>225</v>
      </c>
      <c r="AB502" s="78"/>
    </row>
    <row r="503" spans="1:28" x14ac:dyDescent="0.25">
      <c r="A503" t="e">
        <f>IF(EXACT('BOM A320 FFS'!#REF!,obsoleta!D503),"OK","ERROR")</f>
        <v>#REF!</v>
      </c>
      <c r="C503" s="31" t="s">
        <v>314</v>
      </c>
      <c r="D503" s="71">
        <v>1587080790700</v>
      </c>
      <c r="E503" s="71"/>
      <c r="F503" s="32" t="s">
        <v>2793</v>
      </c>
      <c r="G503" s="32" t="s">
        <v>2794</v>
      </c>
      <c r="H503" s="32"/>
      <c r="I503" s="32" t="s">
        <v>461</v>
      </c>
      <c r="J503" s="33">
        <v>8</v>
      </c>
      <c r="K503" s="34">
        <v>80</v>
      </c>
      <c r="L503" s="35">
        <v>50</v>
      </c>
      <c r="M503" s="36" t="s">
        <v>32</v>
      </c>
      <c r="N503" s="37">
        <v>1</v>
      </c>
      <c r="O503" s="35">
        <v>50</v>
      </c>
      <c r="P503" s="35" t="s">
        <v>33</v>
      </c>
      <c r="Q503" s="97">
        <v>45453</v>
      </c>
      <c r="R503" s="35" t="s">
        <v>62</v>
      </c>
      <c r="S503" s="38" t="s">
        <v>670</v>
      </c>
      <c r="T503" s="78">
        <v>2</v>
      </c>
      <c r="U503" s="78"/>
      <c r="V503" s="78"/>
      <c r="W503" s="78" t="s">
        <v>303</v>
      </c>
      <c r="X503" s="78" t="s">
        <v>839</v>
      </c>
      <c r="Y503" s="78">
        <v>1</v>
      </c>
      <c r="Z503" s="78" t="s">
        <v>48</v>
      </c>
      <c r="AA503" s="78" t="s">
        <v>225</v>
      </c>
      <c r="AB503" s="78">
        <v>8</v>
      </c>
    </row>
    <row r="504" spans="1:28" x14ac:dyDescent="0.25">
      <c r="A504" t="str">
        <f>IF(EXACT('BOM A320 FFS'!B687,obsoleta!D504),"OK","ERROR")</f>
        <v>ERROR</v>
      </c>
      <c r="C504" s="31" t="s">
        <v>314</v>
      </c>
      <c r="D504" s="71">
        <v>1587080790400</v>
      </c>
      <c r="E504" s="71"/>
      <c r="F504" s="32" t="s">
        <v>668</v>
      </c>
      <c r="G504" s="32" t="s">
        <v>669</v>
      </c>
      <c r="H504" s="32"/>
      <c r="I504" s="32" t="s">
        <v>461</v>
      </c>
      <c r="J504" s="33">
        <v>4</v>
      </c>
      <c r="K504" s="34">
        <v>80</v>
      </c>
      <c r="L504" s="35">
        <v>320</v>
      </c>
      <c r="M504" s="36" t="s">
        <v>32</v>
      </c>
      <c r="N504" s="37">
        <v>1</v>
      </c>
      <c r="O504" s="35">
        <v>320</v>
      </c>
      <c r="P504" s="35" t="s">
        <v>33</v>
      </c>
      <c r="Q504" s="97">
        <v>45453</v>
      </c>
      <c r="R504" s="35" t="s">
        <v>62</v>
      </c>
      <c r="S504" s="38" t="s">
        <v>670</v>
      </c>
      <c r="T504" s="78">
        <v>2</v>
      </c>
      <c r="U504" s="78"/>
      <c r="V504" s="78"/>
      <c r="W504" s="78" t="s">
        <v>303</v>
      </c>
      <c r="X504" s="78" t="s">
        <v>839</v>
      </c>
      <c r="Y504" s="78">
        <v>1</v>
      </c>
      <c r="Z504" s="78" t="s">
        <v>48</v>
      </c>
      <c r="AA504" s="78" t="s">
        <v>225</v>
      </c>
      <c r="AB504" s="78">
        <v>4</v>
      </c>
    </row>
    <row r="505" spans="1:28" x14ac:dyDescent="0.25">
      <c r="A505" t="str">
        <f>IF(EXACT('BOM A320 FFS'!B689,obsoleta!D505),"OK","ERROR")</f>
        <v>ERROR</v>
      </c>
      <c r="C505" s="31" t="s">
        <v>314</v>
      </c>
      <c r="D505" s="71">
        <v>1587090080000</v>
      </c>
      <c r="E505" s="71"/>
      <c r="F505" s="32" t="s">
        <v>2787</v>
      </c>
      <c r="G505" s="32" t="s">
        <v>2788</v>
      </c>
      <c r="H505" s="32"/>
      <c r="I505" s="32"/>
      <c r="J505" s="33">
        <v>50</v>
      </c>
      <c r="K505" s="34"/>
      <c r="L505" s="35">
        <v>0</v>
      </c>
      <c r="M505" s="36" t="s">
        <v>32</v>
      </c>
      <c r="N505" s="37">
        <v>1</v>
      </c>
      <c r="O505" s="35">
        <v>0</v>
      </c>
      <c r="P505" s="35" t="s">
        <v>33</v>
      </c>
      <c r="Q505" s="97">
        <v>45453</v>
      </c>
      <c r="R505" s="35" t="s">
        <v>62</v>
      </c>
      <c r="S505" s="38"/>
      <c r="T505" s="78">
        <v>2</v>
      </c>
      <c r="U505" s="78"/>
      <c r="V505" s="78"/>
      <c r="W505" s="78" t="s">
        <v>303</v>
      </c>
      <c r="X505" s="78" t="s">
        <v>839</v>
      </c>
      <c r="Y505" s="78">
        <v>1</v>
      </c>
      <c r="Z505" s="78" t="s">
        <v>48</v>
      </c>
      <c r="AA505" s="78" t="s">
        <v>225</v>
      </c>
      <c r="AB505" s="78">
        <v>50</v>
      </c>
    </row>
    <row r="506" spans="1:28" x14ac:dyDescent="0.25">
      <c r="A506" t="str">
        <f>IF(EXACT('BOM A320 FFS'!B690,obsoleta!D506),"OK","ERROR")</f>
        <v>ERROR</v>
      </c>
      <c r="C506" s="31" t="s">
        <v>314</v>
      </c>
      <c r="D506" s="71">
        <v>1587090070000</v>
      </c>
      <c r="E506" s="71"/>
      <c r="F506" s="32" t="s">
        <v>2790</v>
      </c>
      <c r="G506" s="32" t="s">
        <v>2791</v>
      </c>
      <c r="H506" s="32"/>
      <c r="I506" s="32"/>
      <c r="J506" s="33">
        <v>10</v>
      </c>
      <c r="K506" s="34"/>
      <c r="L506" s="35">
        <v>0</v>
      </c>
      <c r="M506" s="36" t="s">
        <v>32</v>
      </c>
      <c r="N506" s="37">
        <v>1</v>
      </c>
      <c r="O506" s="35">
        <v>0</v>
      </c>
      <c r="P506" s="35" t="s">
        <v>33</v>
      </c>
      <c r="Q506" s="97">
        <v>45453</v>
      </c>
      <c r="R506" s="35" t="s">
        <v>62</v>
      </c>
      <c r="S506" s="38"/>
      <c r="T506" s="78">
        <v>2</v>
      </c>
      <c r="U506" s="78"/>
      <c r="V506" s="78"/>
      <c r="W506" s="78" t="s">
        <v>303</v>
      </c>
      <c r="X506" s="78" t="s">
        <v>839</v>
      </c>
      <c r="Y506" s="78">
        <v>1</v>
      </c>
      <c r="Z506" s="78" t="s">
        <v>48</v>
      </c>
      <c r="AA506" s="78" t="s">
        <v>225</v>
      </c>
      <c r="AB506" s="78">
        <v>10</v>
      </c>
    </row>
    <row r="507" spans="1:28" x14ac:dyDescent="0.25">
      <c r="A507" t="str">
        <f>IF(EXACT('BOM A320 FFS'!B691,obsoleta!D507),"OK","ERROR")</f>
        <v>ERROR</v>
      </c>
      <c r="C507" s="31" t="s">
        <v>314</v>
      </c>
      <c r="D507" s="71">
        <v>1587020050400</v>
      </c>
      <c r="E507" s="71"/>
      <c r="F507" s="31" t="s">
        <v>2755</v>
      </c>
      <c r="G507" s="32" t="s">
        <v>2756</v>
      </c>
      <c r="H507" s="32"/>
      <c r="I507" s="32"/>
      <c r="J507" s="33">
        <v>6</v>
      </c>
      <c r="K507" s="34"/>
      <c r="L507" s="35">
        <v>0</v>
      </c>
      <c r="M507" s="36" t="s">
        <v>32</v>
      </c>
      <c r="N507" s="37">
        <v>1</v>
      </c>
      <c r="O507" s="35">
        <v>0</v>
      </c>
      <c r="P507" s="35" t="s">
        <v>33</v>
      </c>
      <c r="Q507" s="97">
        <v>45453</v>
      </c>
      <c r="R507" s="35" t="s">
        <v>62</v>
      </c>
      <c r="S507" s="38"/>
      <c r="T507" s="78">
        <v>2</v>
      </c>
      <c r="U507" s="78"/>
      <c r="V507" s="78"/>
      <c r="W507" s="78" t="s">
        <v>303</v>
      </c>
      <c r="X507" s="78" t="s">
        <v>839</v>
      </c>
      <c r="Y507" s="78">
        <v>1</v>
      </c>
      <c r="Z507" s="78" t="s">
        <v>48</v>
      </c>
      <c r="AA507" s="78" t="s">
        <v>225</v>
      </c>
      <c r="AB507" s="78">
        <v>4</v>
      </c>
    </row>
    <row r="508" spans="1:28" x14ac:dyDescent="0.25">
      <c r="A508" t="str">
        <f>IF(EXACT('BOM A320 FFS'!B692,obsoleta!D508),"OK","ERROR")</f>
        <v>ERROR</v>
      </c>
      <c r="C508" s="31" t="s">
        <v>314</v>
      </c>
      <c r="D508" s="71">
        <v>1587090630000</v>
      </c>
      <c r="E508" s="71"/>
      <c r="F508" s="31" t="s">
        <v>2751</v>
      </c>
      <c r="G508" s="32" t="s">
        <v>2752</v>
      </c>
      <c r="H508" s="28"/>
      <c r="I508" s="28"/>
      <c r="J508" s="40">
        <v>6</v>
      </c>
      <c r="K508" s="30"/>
      <c r="L508" s="30">
        <v>0</v>
      </c>
      <c r="M508" s="26" t="s">
        <v>32</v>
      </c>
      <c r="N508" s="26">
        <v>1</v>
      </c>
      <c r="O508" s="41">
        <v>0</v>
      </c>
      <c r="P508" s="41" t="s">
        <v>33</v>
      </c>
      <c r="Q508" s="98">
        <v>45453</v>
      </c>
      <c r="R508" s="41" t="s">
        <v>62</v>
      </c>
      <c r="S508" s="30"/>
      <c r="T508" s="82">
        <v>2</v>
      </c>
      <c r="U508" s="82"/>
      <c r="V508" s="82"/>
      <c r="W508" s="82" t="s">
        <v>303</v>
      </c>
      <c r="X508" s="82" t="s">
        <v>839</v>
      </c>
      <c r="Y508" s="82">
        <v>1</v>
      </c>
      <c r="Z508" s="82" t="s">
        <v>48</v>
      </c>
      <c r="AA508" s="82" t="s">
        <v>225</v>
      </c>
      <c r="AB508" s="82">
        <v>6</v>
      </c>
    </row>
    <row r="509" spans="1:28" x14ac:dyDescent="0.25">
      <c r="A509" t="str">
        <f>IF(EXACT('BOM A320 FFS'!B694,obsoleta!D509),"OK","ERROR")</f>
        <v>ERROR</v>
      </c>
      <c r="C509" s="39"/>
      <c r="D509" s="39"/>
      <c r="E509" s="39"/>
      <c r="F509" s="28"/>
      <c r="G509" s="28"/>
      <c r="H509" s="28"/>
      <c r="I509" s="28"/>
      <c r="J509" s="40"/>
      <c r="K509" s="30"/>
      <c r="L509" s="30"/>
      <c r="M509" s="26"/>
      <c r="N509" s="26"/>
      <c r="O509" s="41"/>
      <c r="P509" s="41"/>
      <c r="Q509" s="98"/>
      <c r="R509" s="41"/>
      <c r="S509" s="30"/>
      <c r="T509" s="82"/>
      <c r="U509" s="82"/>
      <c r="V509" s="82"/>
      <c r="W509" s="82"/>
      <c r="X509" s="82"/>
      <c r="Y509" s="82"/>
      <c r="Z509" s="82"/>
      <c r="AA509" s="82" t="s">
        <v>225</v>
      </c>
      <c r="AB509" s="82"/>
    </row>
    <row r="510" spans="1:28" x14ac:dyDescent="0.25">
      <c r="A510" t="str">
        <f>IF(EXACT('BOM A320 FFS'!B695,obsoleta!D510),"OK","ERROR")</f>
        <v>ERROR</v>
      </c>
      <c r="C510" s="48"/>
      <c r="D510" s="48" t="s">
        <v>3659</v>
      </c>
      <c r="E510" s="48"/>
      <c r="F510" s="28"/>
      <c r="G510" s="28"/>
      <c r="H510" s="32"/>
      <c r="I510" s="32"/>
      <c r="J510" s="33"/>
      <c r="K510" s="34"/>
      <c r="L510" s="35"/>
      <c r="M510" s="36"/>
      <c r="N510" s="37"/>
      <c r="O510" s="35"/>
      <c r="P510" s="35"/>
      <c r="Q510" s="97"/>
      <c r="R510" s="35"/>
      <c r="S510" s="38"/>
      <c r="T510" s="78"/>
      <c r="U510" s="78"/>
      <c r="V510" s="78"/>
      <c r="W510" s="78"/>
      <c r="X510" s="78"/>
      <c r="Y510" s="78"/>
      <c r="Z510" s="78"/>
      <c r="AA510" s="78" t="s">
        <v>225</v>
      </c>
      <c r="AB510" s="78"/>
    </row>
    <row r="511" spans="1:28" x14ac:dyDescent="0.25">
      <c r="A511" t="str">
        <f>IF(EXACT('BOM A320 FFS'!B696,obsoleta!D511),"OK","ERROR")</f>
        <v>ERROR</v>
      </c>
      <c r="C511" s="31" t="s">
        <v>314</v>
      </c>
      <c r="D511" s="71">
        <v>956004001</v>
      </c>
      <c r="E511" s="71">
        <v>1233525220900</v>
      </c>
      <c r="F511" s="32" t="s">
        <v>2263</v>
      </c>
      <c r="G511" s="32">
        <v>956004001</v>
      </c>
      <c r="H511" s="32" t="s">
        <v>1688</v>
      </c>
      <c r="I511" s="32" t="s">
        <v>1133</v>
      </c>
      <c r="J511" s="33">
        <v>4000</v>
      </c>
      <c r="K511" s="34">
        <v>0.03</v>
      </c>
      <c r="L511" s="35">
        <v>120</v>
      </c>
      <c r="M511" s="36" t="s">
        <v>32</v>
      </c>
      <c r="N511" s="37">
        <v>1</v>
      </c>
      <c r="O511" s="35">
        <v>120</v>
      </c>
      <c r="P511" s="35" t="s">
        <v>33</v>
      </c>
      <c r="Q511" s="97">
        <v>45453</v>
      </c>
      <c r="R511" s="35" t="s">
        <v>62</v>
      </c>
      <c r="S511" s="38"/>
      <c r="T511" s="78">
        <v>2</v>
      </c>
      <c r="U511" s="78"/>
      <c r="V511" s="78"/>
      <c r="W511" s="78" t="s">
        <v>303</v>
      </c>
      <c r="X511" s="78" t="s">
        <v>839</v>
      </c>
      <c r="Y511" s="78">
        <v>1</v>
      </c>
      <c r="Z511" s="78" t="s">
        <v>48</v>
      </c>
      <c r="AA511" s="78" t="s">
        <v>225</v>
      </c>
      <c r="AB511" s="78">
        <v>4000</v>
      </c>
    </row>
    <row r="512" spans="1:28" x14ac:dyDescent="0.25">
      <c r="A512" t="str">
        <f>IF(EXACT('BOM A320 FFS'!B697,obsoleta!D512),"OK","ERROR")</f>
        <v>ERROR</v>
      </c>
      <c r="C512" s="31" t="s">
        <v>314</v>
      </c>
      <c r="D512" s="71">
        <v>956004004</v>
      </c>
      <c r="E512" s="71">
        <v>1233525320100</v>
      </c>
      <c r="F512" s="32" t="s">
        <v>2259</v>
      </c>
      <c r="G512" s="32">
        <v>956004004</v>
      </c>
      <c r="H512" s="32" t="s">
        <v>1688</v>
      </c>
      <c r="I512" s="32" t="s">
        <v>1133</v>
      </c>
      <c r="J512" s="33">
        <v>5000</v>
      </c>
      <c r="K512" s="34">
        <v>0.03</v>
      </c>
      <c r="L512" s="35">
        <v>150</v>
      </c>
      <c r="M512" s="36" t="s">
        <v>32</v>
      </c>
      <c r="N512" s="37">
        <v>1</v>
      </c>
      <c r="O512" s="35">
        <v>150</v>
      </c>
      <c r="P512" s="35" t="s">
        <v>33</v>
      </c>
      <c r="Q512" s="97">
        <v>45453</v>
      </c>
      <c r="R512" s="35" t="s">
        <v>62</v>
      </c>
      <c r="S512" s="38"/>
      <c r="T512" s="78">
        <v>2</v>
      </c>
      <c r="U512" s="78"/>
      <c r="V512" s="78"/>
      <c r="W512" s="78" t="s">
        <v>303</v>
      </c>
      <c r="X512" s="78" t="s">
        <v>839</v>
      </c>
      <c r="Y512" s="78">
        <v>1</v>
      </c>
      <c r="Z512" s="78" t="s">
        <v>48</v>
      </c>
      <c r="AA512" s="78" t="s">
        <v>225</v>
      </c>
      <c r="AB512" s="78">
        <v>5000</v>
      </c>
    </row>
    <row r="513" spans="1:28" x14ac:dyDescent="0.25">
      <c r="A513" t="str">
        <f>IF(EXACT('BOM A320 FFS'!B698,obsoleta!D513),"OK","ERROR")</f>
        <v>ERROR</v>
      </c>
      <c r="C513" s="31" t="s">
        <v>314</v>
      </c>
      <c r="D513" s="71">
        <v>956004007</v>
      </c>
      <c r="E513" s="71"/>
      <c r="F513" s="32" t="s">
        <v>2261</v>
      </c>
      <c r="G513" s="32">
        <v>956004007</v>
      </c>
      <c r="H513" s="32" t="s">
        <v>1688</v>
      </c>
      <c r="I513" s="32" t="s">
        <v>1133</v>
      </c>
      <c r="J513" s="33">
        <v>4000</v>
      </c>
      <c r="K513" s="34">
        <v>0.03</v>
      </c>
      <c r="L513" s="35">
        <v>120</v>
      </c>
      <c r="M513" s="36" t="s">
        <v>32</v>
      </c>
      <c r="N513" s="37">
        <v>1</v>
      </c>
      <c r="O513" s="35">
        <v>120</v>
      </c>
      <c r="P513" s="35" t="s">
        <v>33</v>
      </c>
      <c r="Q513" s="97">
        <v>45453</v>
      </c>
      <c r="R513" s="35" t="s">
        <v>62</v>
      </c>
      <c r="S513" s="38"/>
      <c r="T513" s="78">
        <v>2</v>
      </c>
      <c r="U513" s="78"/>
      <c r="V513" s="78"/>
      <c r="W513" s="78" t="s">
        <v>303</v>
      </c>
      <c r="X513" s="78" t="s">
        <v>839</v>
      </c>
      <c r="Y513" s="78">
        <v>1</v>
      </c>
      <c r="Z513" s="78" t="s">
        <v>48</v>
      </c>
      <c r="AA513" s="78" t="s">
        <v>225</v>
      </c>
      <c r="AB513" s="78">
        <v>4000</v>
      </c>
    </row>
    <row r="514" spans="1:28" x14ac:dyDescent="0.25">
      <c r="A514" t="str">
        <f>IF(EXACT('BOM A320 FFS'!B699,obsoleta!D514),"OK","ERROR")</f>
        <v>ERROR</v>
      </c>
      <c r="C514" s="31" t="s">
        <v>314</v>
      </c>
      <c r="D514" s="71">
        <v>1233524500900</v>
      </c>
      <c r="E514" s="71"/>
      <c r="F514" s="32" t="s">
        <v>2186</v>
      </c>
      <c r="G514" s="32" t="s">
        <v>2187</v>
      </c>
      <c r="H514" s="28" t="s">
        <v>1039</v>
      </c>
      <c r="I514" s="28" t="s">
        <v>1040</v>
      </c>
      <c r="J514" s="40">
        <v>500</v>
      </c>
      <c r="K514" s="30">
        <v>0.11</v>
      </c>
      <c r="L514" s="30">
        <v>55</v>
      </c>
      <c r="M514" s="26" t="s">
        <v>32</v>
      </c>
      <c r="N514" s="26">
        <v>1</v>
      </c>
      <c r="O514" s="41">
        <v>55</v>
      </c>
      <c r="P514" s="41" t="s">
        <v>33</v>
      </c>
      <c r="Q514" s="98">
        <v>45453</v>
      </c>
      <c r="R514" s="41" t="s">
        <v>62</v>
      </c>
      <c r="S514" s="30"/>
      <c r="T514" s="82">
        <v>2</v>
      </c>
      <c r="U514" s="82"/>
      <c r="V514" s="82"/>
      <c r="W514" s="82" t="s">
        <v>303</v>
      </c>
      <c r="X514" s="82" t="s">
        <v>839</v>
      </c>
      <c r="Y514" s="82">
        <v>1</v>
      </c>
      <c r="Z514" s="82" t="s">
        <v>48</v>
      </c>
      <c r="AA514" s="82" t="s">
        <v>225</v>
      </c>
      <c r="AB514" s="82">
        <v>500</v>
      </c>
    </row>
    <row r="515" spans="1:28" x14ac:dyDescent="0.25">
      <c r="A515" t="str">
        <f>IF(EXACT('BOM A320 FFS'!B700,obsoleta!D515),"OK","ERROR")</f>
        <v>ERROR</v>
      </c>
      <c r="C515" s="39"/>
      <c r="D515" s="39"/>
      <c r="E515" s="39"/>
      <c r="F515" s="28"/>
      <c r="G515" s="28"/>
      <c r="H515" s="28"/>
      <c r="I515" s="28"/>
      <c r="J515" s="40"/>
      <c r="K515" s="30"/>
      <c r="L515" s="30"/>
      <c r="M515" s="26"/>
      <c r="N515" s="26"/>
      <c r="O515" s="41"/>
      <c r="P515" s="41"/>
      <c r="Q515" s="98"/>
      <c r="R515" s="41"/>
      <c r="S515" s="30"/>
      <c r="T515" s="82"/>
      <c r="U515" s="82"/>
      <c r="V515" s="82"/>
      <c r="W515" s="82"/>
      <c r="X515" s="82"/>
      <c r="Y515" s="82"/>
      <c r="Z515" s="82"/>
      <c r="AA515" s="82" t="s">
        <v>225</v>
      </c>
      <c r="AB515" s="82"/>
    </row>
    <row r="516" spans="1:28" x14ac:dyDescent="0.25">
      <c r="A516" t="str">
        <f>IF(EXACT('BOM A320 FFS'!B701,obsoleta!D516),"OK","ERROR")</f>
        <v>ERROR</v>
      </c>
      <c r="C516" s="48"/>
      <c r="D516" s="48" t="s">
        <v>3660</v>
      </c>
      <c r="E516" s="48"/>
      <c r="F516" s="28"/>
      <c r="G516" s="28"/>
      <c r="H516" s="32"/>
      <c r="I516" s="32"/>
      <c r="J516" s="33"/>
      <c r="K516" s="34"/>
      <c r="L516" s="35"/>
      <c r="M516" s="36"/>
      <c r="N516" s="37"/>
      <c r="O516" s="35"/>
      <c r="P516" s="35"/>
      <c r="Q516" s="97"/>
      <c r="R516" s="35"/>
      <c r="S516" s="38"/>
      <c r="T516" s="78"/>
      <c r="U516" s="78"/>
      <c r="V516" s="78"/>
      <c r="W516" s="78"/>
      <c r="X516" s="78"/>
      <c r="Y516" s="78"/>
      <c r="Z516" s="78"/>
      <c r="AA516" s="78" t="s">
        <v>225</v>
      </c>
      <c r="AB516" s="78"/>
    </row>
    <row r="517" spans="1:28" x14ac:dyDescent="0.25">
      <c r="A517" t="str">
        <f>IF(EXACT('BOM A320 FFS'!B702,obsoleta!D517),"OK","ERROR")</f>
        <v>ERROR</v>
      </c>
      <c r="C517" s="31" t="s">
        <v>314</v>
      </c>
      <c r="D517" s="71">
        <v>1130622466200</v>
      </c>
      <c r="E517" s="71"/>
      <c r="F517" s="32" t="s">
        <v>1293</v>
      </c>
      <c r="G517" s="32" t="s">
        <v>1294</v>
      </c>
      <c r="H517" s="32" t="s">
        <v>1295</v>
      </c>
      <c r="I517" s="32" t="s">
        <v>1296</v>
      </c>
      <c r="J517" s="33">
        <v>50</v>
      </c>
      <c r="K517" s="34">
        <v>12.67</v>
      </c>
      <c r="L517" s="35">
        <v>633.5</v>
      </c>
      <c r="M517" s="36" t="s">
        <v>32</v>
      </c>
      <c r="N517" s="37">
        <v>1</v>
      </c>
      <c r="O517" s="35">
        <v>633.5</v>
      </c>
      <c r="P517" s="35" t="s">
        <v>33</v>
      </c>
      <c r="Q517" s="97">
        <v>45453</v>
      </c>
      <c r="R517" s="35" t="s">
        <v>62</v>
      </c>
      <c r="S517" s="38"/>
      <c r="T517" s="78">
        <v>1</v>
      </c>
      <c r="U517" s="78" t="s">
        <v>34</v>
      </c>
      <c r="V517" s="78"/>
      <c r="W517" s="78" t="s">
        <v>303</v>
      </c>
      <c r="X517" s="78" t="s">
        <v>839</v>
      </c>
      <c r="Y517" s="78">
        <v>1</v>
      </c>
      <c r="Z517" s="78" t="s">
        <v>48</v>
      </c>
      <c r="AA517" s="78" t="s">
        <v>225</v>
      </c>
      <c r="AB517" s="78">
        <v>50</v>
      </c>
    </row>
    <row r="518" spans="1:28" x14ac:dyDescent="0.25">
      <c r="A518" t="str">
        <f>IF(EXACT('BOM A320 FFS'!B703,obsoleta!D518),"OK","ERROR")</f>
        <v>ERROR</v>
      </c>
      <c r="C518" s="31" t="s">
        <v>314</v>
      </c>
      <c r="D518" s="71">
        <v>1139900463000</v>
      </c>
      <c r="E518" s="71"/>
      <c r="F518" s="32" t="s">
        <v>1717</v>
      </c>
      <c r="G518" s="32" t="s">
        <v>1718</v>
      </c>
      <c r="H518" s="32" t="s">
        <v>1295</v>
      </c>
      <c r="I518" s="32" t="s">
        <v>1296</v>
      </c>
      <c r="J518" s="33">
        <v>50</v>
      </c>
      <c r="K518" s="34">
        <v>1.47</v>
      </c>
      <c r="L518" s="35">
        <v>73.5</v>
      </c>
      <c r="M518" s="36" t="s">
        <v>32</v>
      </c>
      <c r="N518" s="37">
        <v>1</v>
      </c>
      <c r="O518" s="35">
        <v>73.5</v>
      </c>
      <c r="P518" s="35" t="s">
        <v>33</v>
      </c>
      <c r="Q518" s="97">
        <v>45453</v>
      </c>
      <c r="R518" s="35" t="s">
        <v>62</v>
      </c>
      <c r="S518" s="38"/>
      <c r="T518" s="78">
        <v>1</v>
      </c>
      <c r="U518" s="78" t="s">
        <v>34</v>
      </c>
      <c r="V518" s="78"/>
      <c r="W518" s="78" t="s">
        <v>303</v>
      </c>
      <c r="X518" s="78" t="s">
        <v>839</v>
      </c>
      <c r="Y518" s="78">
        <v>1</v>
      </c>
      <c r="Z518" s="78" t="s">
        <v>48</v>
      </c>
      <c r="AA518" s="78" t="s">
        <v>225</v>
      </c>
      <c r="AB518" s="78">
        <v>50</v>
      </c>
    </row>
    <row r="519" spans="1:28" x14ac:dyDescent="0.25">
      <c r="A519" t="str">
        <f>IF(EXACT('BOM A320 FFS'!B704,obsoleta!D519),"OK","ERROR")</f>
        <v>ERROR</v>
      </c>
      <c r="C519" s="31" t="s">
        <v>314</v>
      </c>
      <c r="D519" s="71">
        <v>1139900460100</v>
      </c>
      <c r="E519" s="71"/>
      <c r="F519" s="32" t="s">
        <v>2079</v>
      </c>
      <c r="G519" s="32" t="s">
        <v>2080</v>
      </c>
      <c r="H519" s="32" t="s">
        <v>1295</v>
      </c>
      <c r="I519" s="32" t="s">
        <v>1296</v>
      </c>
      <c r="J519" s="33">
        <v>50</v>
      </c>
      <c r="K519" s="34">
        <v>0.28000000000000003</v>
      </c>
      <c r="L519" s="35">
        <v>14</v>
      </c>
      <c r="M519" s="36" t="s">
        <v>32</v>
      </c>
      <c r="N519" s="37">
        <v>1</v>
      </c>
      <c r="O519" s="35">
        <v>14</v>
      </c>
      <c r="P519" s="35" t="s">
        <v>33</v>
      </c>
      <c r="Q519" s="97">
        <v>45453</v>
      </c>
      <c r="R519" s="35" t="s">
        <v>62</v>
      </c>
      <c r="S519" s="38"/>
      <c r="T519" s="78">
        <v>1</v>
      </c>
      <c r="U519" s="78" t="s">
        <v>34</v>
      </c>
      <c r="V519" s="78"/>
      <c r="W519" s="78" t="s">
        <v>303</v>
      </c>
      <c r="X519" s="78" t="s">
        <v>839</v>
      </c>
      <c r="Y519" s="78">
        <v>1</v>
      </c>
      <c r="Z519" s="78" t="s">
        <v>48</v>
      </c>
      <c r="AA519" s="78" t="s">
        <v>225</v>
      </c>
      <c r="AB519" s="78">
        <v>50</v>
      </c>
    </row>
    <row r="520" spans="1:28" x14ac:dyDescent="0.25">
      <c r="A520" t="str">
        <f>IF(EXACT('BOM A320 FFS'!B705,obsoleta!D520),"OK","ERROR")</f>
        <v>ERROR</v>
      </c>
      <c r="C520" s="31" t="s">
        <v>314</v>
      </c>
      <c r="D520" s="71">
        <v>1139900462000</v>
      </c>
      <c r="E520" s="71"/>
      <c r="F520" s="32" t="s">
        <v>1813</v>
      </c>
      <c r="G520" s="32" t="s">
        <v>1814</v>
      </c>
      <c r="H520" s="28" t="s">
        <v>1295</v>
      </c>
      <c r="I520" s="28" t="s">
        <v>1296</v>
      </c>
      <c r="J520" s="40">
        <v>6</v>
      </c>
      <c r="K520" s="30">
        <v>0.95</v>
      </c>
      <c r="L520" s="30">
        <v>5.7</v>
      </c>
      <c r="M520" s="26" t="s">
        <v>32</v>
      </c>
      <c r="N520" s="26">
        <v>1</v>
      </c>
      <c r="O520" s="41">
        <v>5.7</v>
      </c>
      <c r="P520" s="41" t="s">
        <v>33</v>
      </c>
      <c r="Q520" s="98">
        <v>45453</v>
      </c>
      <c r="R520" s="41" t="s">
        <v>62</v>
      </c>
      <c r="S520" s="30"/>
      <c r="T520" s="82">
        <v>1</v>
      </c>
      <c r="U520" s="82" t="s">
        <v>34</v>
      </c>
      <c r="V520" s="82"/>
      <c r="W520" s="82" t="s">
        <v>303</v>
      </c>
      <c r="X520" s="82" t="s">
        <v>839</v>
      </c>
      <c r="Y520" s="82">
        <v>1</v>
      </c>
      <c r="Z520" s="82" t="s">
        <v>48</v>
      </c>
      <c r="AA520" s="82" t="s">
        <v>225</v>
      </c>
      <c r="AB520" s="82">
        <v>6</v>
      </c>
    </row>
    <row r="521" spans="1:28" x14ac:dyDescent="0.25">
      <c r="A521" t="str">
        <f>IF(EXACT('BOM A320 FFS'!B707,obsoleta!D521),"OK","ERROR")</f>
        <v>ERROR</v>
      </c>
      <c r="C521" s="39"/>
      <c r="D521" s="39"/>
      <c r="E521" s="39"/>
      <c r="F521" s="28"/>
      <c r="G521" s="28"/>
      <c r="H521" s="28"/>
      <c r="I521" s="28"/>
      <c r="J521" s="40"/>
      <c r="K521" s="30"/>
      <c r="L521" s="30"/>
      <c r="M521" s="26"/>
      <c r="N521" s="45"/>
      <c r="O521" s="46"/>
      <c r="P521" s="46"/>
      <c r="Q521" s="99"/>
      <c r="R521" s="46"/>
      <c r="S521" s="47"/>
      <c r="T521" s="82"/>
      <c r="U521" s="82"/>
      <c r="V521" s="82"/>
      <c r="W521" s="82"/>
      <c r="X521" s="82"/>
      <c r="Y521" s="82"/>
      <c r="Z521" s="82"/>
      <c r="AA521" s="82" t="s">
        <v>225</v>
      </c>
      <c r="AB521" s="82"/>
    </row>
    <row r="522" spans="1:28" x14ac:dyDescent="0.25">
      <c r="A522" t="str">
        <f>IF(EXACT('BOM A320 FFS'!B708,obsoleta!D522),"OK","ERROR")</f>
        <v>ERROR</v>
      </c>
      <c r="C522" s="39"/>
      <c r="D522" s="39"/>
      <c r="E522" s="39"/>
      <c r="F522" s="28"/>
      <c r="G522" s="28"/>
      <c r="H522" s="21"/>
      <c r="I522" s="21"/>
      <c r="J522" s="22"/>
      <c r="K522" s="25"/>
      <c r="L522" s="25"/>
      <c r="M522" s="24"/>
      <c r="N522" s="24"/>
      <c r="O522" s="49"/>
      <c r="P522" s="49"/>
      <c r="Q522" s="100"/>
      <c r="R522" s="49"/>
      <c r="S522" s="25"/>
      <c r="T522" s="49"/>
      <c r="U522" s="49"/>
      <c r="V522" s="49"/>
      <c r="W522" s="49"/>
      <c r="X522" s="49"/>
      <c r="Y522" s="49"/>
      <c r="Z522" s="49"/>
      <c r="AA522" s="49" t="s">
        <v>225</v>
      </c>
      <c r="AB522" s="49"/>
    </row>
    <row r="523" spans="1:28" ht="18.75" x14ac:dyDescent="0.3">
      <c r="A523" t="str">
        <f>IF(EXACT('BOM A320 FFS'!B709,obsoleta!D523),"OK","ERROR")</f>
        <v>ERROR</v>
      </c>
      <c r="C523" s="19"/>
      <c r="D523" s="19" t="s">
        <v>401</v>
      </c>
      <c r="E523" s="19"/>
      <c r="F523" s="20"/>
      <c r="G523" s="21"/>
      <c r="H523" s="28"/>
      <c r="I523" s="28"/>
      <c r="J523" s="40"/>
      <c r="K523" s="30"/>
      <c r="L523" s="26"/>
      <c r="M523" s="26"/>
      <c r="N523" s="26"/>
      <c r="O523" s="41"/>
      <c r="P523" s="41"/>
      <c r="Q523" s="98"/>
      <c r="R523" s="41"/>
      <c r="S523" s="30"/>
      <c r="T523" s="82"/>
      <c r="U523" s="82"/>
      <c r="V523" s="82"/>
      <c r="W523" s="82"/>
      <c r="X523" s="82"/>
      <c r="Y523" s="82"/>
      <c r="Z523" s="82"/>
      <c r="AA523" s="82" t="s">
        <v>225</v>
      </c>
      <c r="AB523" s="82"/>
    </row>
    <row r="524" spans="1:28" x14ac:dyDescent="0.25">
      <c r="A524" t="str">
        <f>IF(EXACT('BOM A320 FFS'!B710,obsoleta!D524),"OK","ERROR")</f>
        <v>ERROR</v>
      </c>
      <c r="C524" s="48"/>
      <c r="D524" s="48" t="s">
        <v>3661</v>
      </c>
      <c r="E524" s="48"/>
      <c r="F524" s="28"/>
      <c r="G524" s="28"/>
      <c r="H524" s="32"/>
      <c r="I524" s="32"/>
      <c r="J524" s="33"/>
      <c r="K524" s="34"/>
      <c r="L524" s="35"/>
      <c r="M524" s="36"/>
      <c r="N524" s="37"/>
      <c r="O524" s="35"/>
      <c r="P524" s="35"/>
      <c r="Q524" s="97"/>
      <c r="R524" s="35"/>
      <c r="S524" s="38"/>
      <c r="T524" s="78"/>
      <c r="U524" s="78"/>
      <c r="V524" s="78"/>
      <c r="W524" s="78"/>
      <c r="X524" s="78"/>
      <c r="Y524" s="78"/>
      <c r="Z524" s="78"/>
      <c r="AA524" s="78" t="s">
        <v>225</v>
      </c>
      <c r="AB524" s="78"/>
    </row>
    <row r="525" spans="1:28" x14ac:dyDescent="0.25">
      <c r="A525" t="str">
        <f>IF(EXACT('BOM A320 FFS'!B711,obsoleta!D525),"OK","ERROR")</f>
        <v>ERROR</v>
      </c>
      <c r="C525" s="31" t="s">
        <v>401</v>
      </c>
      <c r="D525" s="71">
        <v>7883000570000</v>
      </c>
      <c r="E525" s="71"/>
      <c r="F525" s="32" t="s">
        <v>403</v>
      </c>
      <c r="G525" s="32"/>
      <c r="H525" s="28"/>
      <c r="I525" s="28"/>
      <c r="J525" s="40">
        <v>1</v>
      </c>
      <c r="K525" s="30">
        <v>600</v>
      </c>
      <c r="L525" s="30">
        <v>600</v>
      </c>
      <c r="M525" s="26" t="s">
        <v>32</v>
      </c>
      <c r="N525" s="26">
        <v>1</v>
      </c>
      <c r="O525" s="41">
        <v>600</v>
      </c>
      <c r="P525" s="41" t="s">
        <v>33</v>
      </c>
      <c r="Q525" s="98">
        <v>45453</v>
      </c>
      <c r="R525" s="41" t="s">
        <v>62</v>
      </c>
      <c r="S525" s="30"/>
      <c r="T525" s="78">
        <v>2</v>
      </c>
      <c r="U525" s="78"/>
      <c r="V525" s="78"/>
      <c r="W525" s="78" t="s">
        <v>47</v>
      </c>
      <c r="X525" s="78" t="s">
        <v>3712</v>
      </c>
      <c r="Y525" s="78">
        <v>1</v>
      </c>
      <c r="Z525" s="78" t="s">
        <v>48</v>
      </c>
      <c r="AA525" s="78" t="s">
        <v>225</v>
      </c>
      <c r="AB525" s="78">
        <v>1</v>
      </c>
    </row>
    <row r="526" spans="1:28" x14ac:dyDescent="0.25">
      <c r="A526" t="str">
        <f>IF(EXACT('BOM A320 FFS'!B716,obsoleta!D526),"OK","ERROR")</f>
        <v>ERROR</v>
      </c>
      <c r="C526" s="48"/>
      <c r="D526" s="48" t="s">
        <v>3662</v>
      </c>
      <c r="E526" s="48"/>
      <c r="F526" s="28"/>
      <c r="G526" s="28"/>
      <c r="H526" s="32"/>
      <c r="I526" s="32"/>
      <c r="J526" s="33"/>
      <c r="K526" s="34"/>
      <c r="L526" s="35"/>
      <c r="M526" s="36"/>
      <c r="N526" s="37"/>
      <c r="O526" s="35"/>
      <c r="P526" s="35"/>
      <c r="Q526" s="97"/>
      <c r="R526" s="35"/>
      <c r="S526" s="38"/>
      <c r="T526" s="78"/>
      <c r="U526" s="78"/>
      <c r="V526" s="78"/>
      <c r="W526" s="78"/>
      <c r="X526" s="78"/>
      <c r="Y526" s="78"/>
      <c r="Z526" s="78"/>
      <c r="AA526" s="78" t="s">
        <v>225</v>
      </c>
      <c r="AB526" s="78"/>
    </row>
    <row r="527" spans="1:28" x14ac:dyDescent="0.25">
      <c r="A527" t="str">
        <f>IF(EXACT('BOM A320 FFS'!B717,obsoleta!D527),"OK","ERROR")</f>
        <v>ERROR</v>
      </c>
      <c r="C527" s="32" t="s">
        <v>41</v>
      </c>
      <c r="D527" s="70">
        <v>1283500040100</v>
      </c>
      <c r="E527" s="70"/>
      <c r="F527" s="31" t="s">
        <v>1336</v>
      </c>
      <c r="G527" s="32" t="s">
        <v>1337</v>
      </c>
      <c r="H527" s="32"/>
      <c r="I527" s="32" t="s">
        <v>461</v>
      </c>
      <c r="J527" s="33">
        <v>3</v>
      </c>
      <c r="K527" s="34">
        <v>10</v>
      </c>
      <c r="L527" s="35">
        <v>30</v>
      </c>
      <c r="M527" s="36" t="s">
        <v>32</v>
      </c>
      <c r="N527" s="37">
        <v>1</v>
      </c>
      <c r="O527" s="35">
        <v>30</v>
      </c>
      <c r="P527" s="35" t="s">
        <v>33</v>
      </c>
      <c r="Q527" s="97">
        <v>45453</v>
      </c>
      <c r="R527" s="35" t="s">
        <v>62</v>
      </c>
      <c r="S527" s="38"/>
      <c r="T527" s="78">
        <v>2</v>
      </c>
      <c r="U527" s="78"/>
      <c r="V527" s="78"/>
      <c r="W527" s="78" t="s">
        <v>47</v>
      </c>
      <c r="X527" s="78" t="s">
        <v>3712</v>
      </c>
      <c r="Y527" s="78">
        <v>1</v>
      </c>
      <c r="Z527" s="78" t="s">
        <v>48</v>
      </c>
      <c r="AA527" s="78" t="s">
        <v>225</v>
      </c>
      <c r="AB527" s="78">
        <v>3</v>
      </c>
    </row>
    <row r="528" spans="1:28" x14ac:dyDescent="0.25">
      <c r="A528" t="str">
        <f>IF(EXACT('BOM A320 FFS'!B718,obsoleta!D528),"OK","ERROR")</f>
        <v>ERROR</v>
      </c>
      <c r="C528" s="32" t="s">
        <v>41</v>
      </c>
      <c r="D528" s="70">
        <v>1283500040000</v>
      </c>
      <c r="E528" s="70"/>
      <c r="F528" s="31" t="s">
        <v>1333</v>
      </c>
      <c r="G528" s="32" t="s">
        <v>1334</v>
      </c>
      <c r="H528" s="32"/>
      <c r="I528" s="32" t="s">
        <v>461</v>
      </c>
      <c r="J528" s="33">
        <v>3</v>
      </c>
      <c r="K528" s="34">
        <v>10</v>
      </c>
      <c r="L528" s="35">
        <v>30</v>
      </c>
      <c r="M528" s="36" t="s">
        <v>32</v>
      </c>
      <c r="N528" s="37">
        <v>1</v>
      </c>
      <c r="O528" s="35">
        <v>30</v>
      </c>
      <c r="P528" s="35" t="s">
        <v>33</v>
      </c>
      <c r="Q528" s="97">
        <v>45453</v>
      </c>
      <c r="R528" s="35" t="s">
        <v>62</v>
      </c>
      <c r="S528" s="38"/>
      <c r="T528" s="78">
        <v>2</v>
      </c>
      <c r="U528" s="78"/>
      <c r="V528" s="78"/>
      <c r="W528" s="78" t="s">
        <v>47</v>
      </c>
      <c r="X528" s="78" t="s">
        <v>3712</v>
      </c>
      <c r="Y528" s="78">
        <v>1</v>
      </c>
      <c r="Z528" s="78" t="s">
        <v>48</v>
      </c>
      <c r="AA528" s="78" t="s">
        <v>225</v>
      </c>
      <c r="AB528" s="78">
        <v>3</v>
      </c>
    </row>
    <row r="529" spans="1:28" x14ac:dyDescent="0.25">
      <c r="A529" t="str">
        <f>IF(EXACT('BOM A320 FFS'!B719,obsoleta!D529),"OK","ERROR")</f>
        <v>ERROR</v>
      </c>
      <c r="C529" s="32" t="s">
        <v>41</v>
      </c>
      <c r="D529" s="70">
        <v>1124110210004</v>
      </c>
      <c r="E529" s="70"/>
      <c r="F529" s="31" t="s">
        <v>3764</v>
      </c>
      <c r="G529" s="32" t="s">
        <v>1331</v>
      </c>
      <c r="H529" s="32"/>
      <c r="I529" s="32" t="s">
        <v>461</v>
      </c>
      <c r="J529" s="33">
        <v>3</v>
      </c>
      <c r="K529" s="34">
        <v>10</v>
      </c>
      <c r="L529" s="35">
        <v>30</v>
      </c>
      <c r="M529" s="36" t="s">
        <v>32</v>
      </c>
      <c r="N529" s="37">
        <v>1</v>
      </c>
      <c r="O529" s="35">
        <v>30</v>
      </c>
      <c r="P529" s="35" t="s">
        <v>33</v>
      </c>
      <c r="Q529" s="97">
        <v>45453</v>
      </c>
      <c r="R529" s="35" t="s">
        <v>62</v>
      </c>
      <c r="S529" s="38"/>
      <c r="T529" s="78">
        <v>2</v>
      </c>
      <c r="U529" s="78"/>
      <c r="V529" s="78"/>
      <c r="W529" s="78" t="s">
        <v>47</v>
      </c>
      <c r="X529" s="78" t="s">
        <v>3712</v>
      </c>
      <c r="Y529" s="78">
        <v>1</v>
      </c>
      <c r="Z529" s="78" t="s">
        <v>48</v>
      </c>
      <c r="AA529" s="78" t="s">
        <v>225</v>
      </c>
      <c r="AB529" s="78">
        <v>3</v>
      </c>
    </row>
    <row r="530" spans="1:28" x14ac:dyDescent="0.25">
      <c r="A530" t="str">
        <f>IF(EXACT('BOM A320 FFS'!B722,obsoleta!D530),"OK","ERROR")</f>
        <v>ERROR</v>
      </c>
      <c r="C530" s="31" t="s">
        <v>41</v>
      </c>
      <c r="D530" s="71">
        <v>1130622471000</v>
      </c>
      <c r="E530" s="71"/>
      <c r="F530" s="32" t="s">
        <v>1079</v>
      </c>
      <c r="G530" s="32" t="s">
        <v>1080</v>
      </c>
      <c r="H530" s="32"/>
      <c r="I530" s="32"/>
      <c r="J530" s="33">
        <v>10</v>
      </c>
      <c r="K530" s="34">
        <v>30</v>
      </c>
      <c r="L530" s="35">
        <v>300</v>
      </c>
      <c r="M530" s="36" t="s">
        <v>32</v>
      </c>
      <c r="N530" s="37">
        <v>1</v>
      </c>
      <c r="O530" s="35">
        <v>300</v>
      </c>
      <c r="P530" s="35" t="s">
        <v>33</v>
      </c>
      <c r="Q530" s="97">
        <v>45453</v>
      </c>
      <c r="R530" s="35" t="s">
        <v>62</v>
      </c>
      <c r="S530" s="38"/>
      <c r="T530" s="78">
        <v>2</v>
      </c>
      <c r="U530" s="78"/>
      <c r="V530" s="78"/>
      <c r="W530" s="78" t="s">
        <v>47</v>
      </c>
      <c r="X530" s="78" t="s">
        <v>3712</v>
      </c>
      <c r="Y530" s="78">
        <v>1</v>
      </c>
      <c r="Z530" s="78" t="s">
        <v>48</v>
      </c>
      <c r="AA530" s="78" t="s">
        <v>225</v>
      </c>
      <c r="AB530" s="78">
        <v>10</v>
      </c>
    </row>
    <row r="531" spans="1:28" x14ac:dyDescent="0.25">
      <c r="A531" t="str">
        <f>IF(EXACT('BOM A320 FFS'!B720,obsoleta!D531),"OK","ERROR")</f>
        <v>ERROR</v>
      </c>
      <c r="C531" s="31" t="s">
        <v>41</v>
      </c>
      <c r="D531" s="71">
        <v>1139990091100</v>
      </c>
      <c r="E531" s="71"/>
      <c r="F531" s="32" t="s">
        <v>1197</v>
      </c>
      <c r="G531" s="32" t="s">
        <v>1198</v>
      </c>
      <c r="H531" s="32"/>
      <c r="I531" s="32"/>
      <c r="J531" s="33">
        <v>10</v>
      </c>
      <c r="K531" s="34">
        <v>20</v>
      </c>
      <c r="L531" s="35">
        <v>200</v>
      </c>
      <c r="M531" s="36" t="s">
        <v>32</v>
      </c>
      <c r="N531" s="37">
        <v>1</v>
      </c>
      <c r="O531" s="35">
        <v>200</v>
      </c>
      <c r="P531" s="35" t="s">
        <v>33</v>
      </c>
      <c r="Q531" s="97">
        <v>45453</v>
      </c>
      <c r="R531" s="35" t="s">
        <v>62</v>
      </c>
      <c r="S531" s="38"/>
      <c r="T531" s="78">
        <v>2</v>
      </c>
      <c r="U531" s="78"/>
      <c r="V531" s="78"/>
      <c r="W531" s="78" t="s">
        <v>47</v>
      </c>
      <c r="X531" s="78" t="s">
        <v>3712</v>
      </c>
      <c r="Y531" s="78">
        <v>1</v>
      </c>
      <c r="Z531" s="78" t="s">
        <v>48</v>
      </c>
      <c r="AA531" s="78" t="s">
        <v>225</v>
      </c>
      <c r="AB531" s="78">
        <v>10</v>
      </c>
    </row>
    <row r="532" spans="1:28" x14ac:dyDescent="0.25">
      <c r="A532" t="str">
        <f>IF(EXACT('BOM A320 FFS'!B724,obsoleta!D532),"OK","ERROR")</f>
        <v>ERROR</v>
      </c>
      <c r="C532" s="31" t="s">
        <v>41</v>
      </c>
      <c r="D532" s="71">
        <v>1130622470402</v>
      </c>
      <c r="E532" s="71"/>
      <c r="F532" s="32" t="s">
        <v>1079</v>
      </c>
      <c r="G532" s="32" t="s">
        <v>1096</v>
      </c>
      <c r="H532" s="32"/>
      <c r="I532" s="32"/>
      <c r="J532" s="33">
        <v>2</v>
      </c>
      <c r="K532" s="34">
        <v>30</v>
      </c>
      <c r="L532" s="35">
        <v>60</v>
      </c>
      <c r="M532" s="36" t="s">
        <v>32</v>
      </c>
      <c r="N532" s="37">
        <v>1</v>
      </c>
      <c r="O532" s="35">
        <v>60</v>
      </c>
      <c r="P532" s="35" t="s">
        <v>33</v>
      </c>
      <c r="Q532" s="97">
        <v>45453</v>
      </c>
      <c r="R532" s="35" t="s">
        <v>62</v>
      </c>
      <c r="S532" s="38"/>
      <c r="T532" s="78">
        <v>2</v>
      </c>
      <c r="U532" s="78"/>
      <c r="V532" s="78"/>
      <c r="W532" s="78" t="s">
        <v>47</v>
      </c>
      <c r="X532" s="78" t="s">
        <v>3712</v>
      </c>
      <c r="Y532" s="78">
        <v>1</v>
      </c>
      <c r="Z532" s="78" t="s">
        <v>48</v>
      </c>
      <c r="AA532" s="78" t="s">
        <v>225</v>
      </c>
      <c r="AB532" s="78">
        <v>2</v>
      </c>
    </row>
    <row r="533" spans="1:28" x14ac:dyDescent="0.25">
      <c r="A533" t="str">
        <f>IF(EXACT('BOM A320 FFS'!B725,obsoleta!D533),"OK","ERROR")</f>
        <v>ERROR</v>
      </c>
      <c r="C533" s="31" t="s">
        <v>41</v>
      </c>
      <c r="D533" s="71">
        <v>1139990091300</v>
      </c>
      <c r="E533" s="71"/>
      <c r="F533" s="32" t="s">
        <v>1197</v>
      </c>
      <c r="G533" s="32" t="s">
        <v>1200</v>
      </c>
      <c r="H533" s="32"/>
      <c r="I533" s="32"/>
      <c r="J533" s="33">
        <v>2</v>
      </c>
      <c r="K533" s="34">
        <v>20</v>
      </c>
      <c r="L533" s="35">
        <v>40</v>
      </c>
      <c r="M533" s="36" t="s">
        <v>32</v>
      </c>
      <c r="N533" s="37">
        <v>1</v>
      </c>
      <c r="O533" s="35">
        <v>40</v>
      </c>
      <c r="P533" s="35" t="s">
        <v>33</v>
      </c>
      <c r="Q533" s="97">
        <v>45453</v>
      </c>
      <c r="R533" s="35" t="s">
        <v>62</v>
      </c>
      <c r="S533" s="38"/>
      <c r="T533" s="78">
        <v>2</v>
      </c>
      <c r="U533" s="78"/>
      <c r="V533" s="78"/>
      <c r="W533" s="78" t="s">
        <v>47</v>
      </c>
      <c r="X533" s="78" t="s">
        <v>3712</v>
      </c>
      <c r="Y533" s="78">
        <v>1</v>
      </c>
      <c r="Z533" s="78" t="s">
        <v>48</v>
      </c>
      <c r="AA533" s="78" t="s">
        <v>225</v>
      </c>
      <c r="AB533" s="78">
        <v>2</v>
      </c>
    </row>
    <row r="534" spans="1:28" x14ac:dyDescent="0.25">
      <c r="A534" t="str">
        <f>IF(EXACT('BOM A320 FFS'!B726,obsoleta!D534),"OK","ERROR")</f>
        <v>ERROR</v>
      </c>
      <c r="C534" s="31" t="s">
        <v>41</v>
      </c>
      <c r="D534" s="71">
        <v>1585003060000</v>
      </c>
      <c r="E534" s="71"/>
      <c r="F534" s="32" t="s">
        <v>3765</v>
      </c>
      <c r="G534" s="32" t="s">
        <v>778</v>
      </c>
      <c r="H534" s="32"/>
      <c r="I534" s="32"/>
      <c r="J534" s="33">
        <v>1</v>
      </c>
      <c r="K534" s="34">
        <v>50</v>
      </c>
      <c r="L534" s="35">
        <v>50</v>
      </c>
      <c r="M534" s="36" t="s">
        <v>32</v>
      </c>
      <c r="N534" s="37">
        <v>1</v>
      </c>
      <c r="O534" s="35">
        <v>50</v>
      </c>
      <c r="P534" s="35" t="s">
        <v>33</v>
      </c>
      <c r="Q534" s="97">
        <v>45453</v>
      </c>
      <c r="R534" s="35" t="s">
        <v>62</v>
      </c>
      <c r="S534" s="38"/>
      <c r="T534" s="78">
        <v>2</v>
      </c>
      <c r="U534" s="78"/>
      <c r="V534" s="78"/>
      <c r="W534" s="78" t="s">
        <v>47</v>
      </c>
      <c r="X534" s="78" t="s">
        <v>3712</v>
      </c>
      <c r="Y534" s="78">
        <v>1</v>
      </c>
      <c r="Z534" s="78" t="s">
        <v>48</v>
      </c>
      <c r="AA534" s="78" t="s">
        <v>225</v>
      </c>
      <c r="AB534" s="78">
        <v>1</v>
      </c>
    </row>
    <row r="535" spans="1:28" x14ac:dyDescent="0.25">
      <c r="A535" t="str">
        <f>IF(EXACT('BOM A320 FFS'!B727,obsoleta!D535),"OK","ERROR")</f>
        <v>ERROR</v>
      </c>
      <c r="C535" s="31" t="s">
        <v>41</v>
      </c>
      <c r="D535" s="71">
        <v>1126622240000</v>
      </c>
      <c r="E535" s="71"/>
      <c r="F535" s="32" t="s">
        <v>730</v>
      </c>
      <c r="G535" s="32"/>
      <c r="H535" s="32" t="s">
        <v>731</v>
      </c>
      <c r="I535" s="32" t="s">
        <v>461</v>
      </c>
      <c r="J535" s="33">
        <v>1</v>
      </c>
      <c r="K535" s="34">
        <v>60</v>
      </c>
      <c r="L535" s="35">
        <v>60</v>
      </c>
      <c r="M535" s="36" t="s">
        <v>32</v>
      </c>
      <c r="N535" s="37">
        <v>1</v>
      </c>
      <c r="O535" s="35">
        <v>60</v>
      </c>
      <c r="P535" s="35" t="s">
        <v>33</v>
      </c>
      <c r="Q535" s="97">
        <v>45453</v>
      </c>
      <c r="R535" s="35" t="s">
        <v>62</v>
      </c>
      <c r="S535" s="38"/>
      <c r="T535" s="78">
        <v>2</v>
      </c>
      <c r="U535" s="78"/>
      <c r="V535" s="78"/>
      <c r="W535" s="78" t="s">
        <v>47</v>
      </c>
      <c r="X535" s="78" t="s">
        <v>3712</v>
      </c>
      <c r="Y535" s="78">
        <v>1</v>
      </c>
      <c r="Z535" s="78" t="s">
        <v>48</v>
      </c>
      <c r="AA535" s="78" t="s">
        <v>225</v>
      </c>
      <c r="AB535" s="78">
        <v>1</v>
      </c>
    </row>
    <row r="536" spans="1:28" x14ac:dyDescent="0.25">
      <c r="A536" t="str">
        <f>IF(EXACT('BOM A320 FFS'!B728,obsoleta!D536),"OK","ERROR")</f>
        <v>ERROR</v>
      </c>
      <c r="C536" s="31" t="s">
        <v>41</v>
      </c>
      <c r="D536" s="71">
        <v>1124320115000</v>
      </c>
      <c r="E536" s="71"/>
      <c r="F536" s="32" t="s">
        <v>724</v>
      </c>
      <c r="G536" s="32"/>
      <c r="H536" s="32"/>
      <c r="I536" s="32"/>
      <c r="J536" s="33">
        <v>4</v>
      </c>
      <c r="K536" s="34">
        <v>60</v>
      </c>
      <c r="L536" s="35">
        <v>240</v>
      </c>
      <c r="M536" s="36" t="s">
        <v>32</v>
      </c>
      <c r="N536" s="37">
        <v>1</v>
      </c>
      <c r="O536" s="35">
        <v>240</v>
      </c>
      <c r="P536" s="35" t="s">
        <v>33</v>
      </c>
      <c r="Q536" s="97">
        <v>45453</v>
      </c>
      <c r="R536" s="35" t="s">
        <v>62</v>
      </c>
      <c r="S536" s="38"/>
      <c r="T536" s="78">
        <v>2</v>
      </c>
      <c r="U536" s="78"/>
      <c r="V536" s="78"/>
      <c r="W536" s="78" t="s">
        <v>47</v>
      </c>
      <c r="X536" s="78" t="s">
        <v>3712</v>
      </c>
      <c r="Y536" s="78">
        <v>1</v>
      </c>
      <c r="Z536" s="78" t="s">
        <v>48</v>
      </c>
      <c r="AA536" s="78" t="s">
        <v>225</v>
      </c>
      <c r="AB536" s="78">
        <v>5</v>
      </c>
    </row>
    <row r="537" spans="1:28" x14ac:dyDescent="0.25">
      <c r="A537" t="str">
        <f>IF(EXACT('BOM A320 FFS'!B730,obsoleta!D537),"OK","ERROR")</f>
        <v>ERROR</v>
      </c>
      <c r="C537" s="31" t="s">
        <v>41</v>
      </c>
      <c r="D537" s="71">
        <v>1146093240100</v>
      </c>
      <c r="E537" s="71"/>
      <c r="F537" s="32" t="s">
        <v>677</v>
      </c>
      <c r="G537" s="32"/>
      <c r="H537" s="32" t="s">
        <v>678</v>
      </c>
      <c r="I537" s="32" t="s">
        <v>679</v>
      </c>
      <c r="J537" s="84">
        <v>2</v>
      </c>
      <c r="K537" s="85">
        <v>70</v>
      </c>
      <c r="L537" s="86">
        <v>140</v>
      </c>
      <c r="M537" s="87" t="s">
        <v>32</v>
      </c>
      <c r="N537" s="88">
        <v>1</v>
      </c>
      <c r="O537" s="35">
        <v>140</v>
      </c>
      <c r="P537" s="35" t="s">
        <v>33</v>
      </c>
      <c r="Q537" s="97">
        <v>45453</v>
      </c>
      <c r="R537" s="35" t="s">
        <v>62</v>
      </c>
      <c r="S537" s="38"/>
      <c r="T537" s="78">
        <v>2</v>
      </c>
      <c r="U537" s="78"/>
      <c r="V537" s="78"/>
      <c r="W537" s="78" t="s">
        <v>47</v>
      </c>
      <c r="X537" s="78" t="s">
        <v>3712</v>
      </c>
      <c r="Y537" s="78">
        <v>1</v>
      </c>
      <c r="Z537" s="78" t="s">
        <v>48</v>
      </c>
      <c r="AA537" s="78" t="s">
        <v>225</v>
      </c>
      <c r="AB537" s="78">
        <v>2</v>
      </c>
    </row>
    <row r="538" spans="1:28" x14ac:dyDescent="0.25">
      <c r="A538" t="str">
        <f>IF(EXACT('BOM A320 FFS'!B731,obsoleta!D538),"OK","ERROR")</f>
        <v>ERROR</v>
      </c>
      <c r="C538" s="31" t="s">
        <v>41</v>
      </c>
      <c r="D538" s="71">
        <v>1146093241000</v>
      </c>
      <c r="E538" s="71"/>
      <c r="F538" s="32" t="s">
        <v>1043</v>
      </c>
      <c r="G538" s="32" t="s">
        <v>1044</v>
      </c>
      <c r="H538" s="28" t="s">
        <v>678</v>
      </c>
      <c r="I538" s="28" t="s">
        <v>679</v>
      </c>
      <c r="J538" s="40">
        <v>1</v>
      </c>
      <c r="K538" s="30">
        <v>35.729999999999997</v>
      </c>
      <c r="L538" s="89">
        <v>35.729999999999997</v>
      </c>
      <c r="M538" s="26" t="s">
        <v>32</v>
      </c>
      <c r="N538" s="90">
        <v>1</v>
      </c>
      <c r="O538" s="89">
        <v>35.729999999999997</v>
      </c>
      <c r="P538" s="89" t="s">
        <v>33</v>
      </c>
      <c r="Q538" s="101">
        <v>45453</v>
      </c>
      <c r="R538" s="89" t="s">
        <v>62</v>
      </c>
      <c r="S538" s="47"/>
      <c r="T538" s="82">
        <v>2</v>
      </c>
      <c r="U538" s="82"/>
      <c r="V538" s="82"/>
      <c r="W538" s="82" t="s">
        <v>47</v>
      </c>
      <c r="X538" s="82" t="s">
        <v>3712</v>
      </c>
      <c r="Y538" s="82">
        <v>1</v>
      </c>
      <c r="Z538" s="82" t="s">
        <v>48</v>
      </c>
      <c r="AA538" s="82" t="s">
        <v>225</v>
      </c>
      <c r="AB538" s="82">
        <v>1</v>
      </c>
    </row>
    <row r="539" spans="1:28" x14ac:dyDescent="0.25">
      <c r="A539" t="str">
        <f>IF(EXACT('BOM A320 FFS'!B732,obsoleta!D539),"OK","ERROR")</f>
        <v>ERROR</v>
      </c>
      <c r="C539" s="39" t="s">
        <v>41</v>
      </c>
      <c r="D539" s="39"/>
      <c r="E539" s="39"/>
      <c r="F539" s="28"/>
      <c r="G539" s="28"/>
      <c r="H539" s="28"/>
      <c r="I539" s="28"/>
      <c r="J539" s="40"/>
      <c r="K539" s="30"/>
      <c r="L539" s="30">
        <v>0</v>
      </c>
      <c r="M539" s="26" t="s">
        <v>32</v>
      </c>
      <c r="N539" s="26">
        <v>1</v>
      </c>
      <c r="O539" s="41"/>
      <c r="P539" s="41"/>
      <c r="Q539" s="98"/>
      <c r="R539" s="41"/>
      <c r="S539" s="30"/>
      <c r="T539" s="82"/>
      <c r="U539" s="82"/>
      <c r="V539" s="82"/>
      <c r="W539" s="82"/>
      <c r="X539" s="82"/>
      <c r="Y539" s="82"/>
      <c r="Z539" s="82"/>
      <c r="AA539" s="82" t="s">
        <v>225</v>
      </c>
      <c r="AB539" s="82"/>
    </row>
    <row r="540" spans="1:28" x14ac:dyDescent="0.25">
      <c r="A540" t="str">
        <f>IF(EXACT('BOM A320 FFS'!B733,obsoleta!D540),"OK","ERROR")</f>
        <v>ERROR</v>
      </c>
      <c r="C540" s="48"/>
      <c r="D540" s="48" t="s">
        <v>2308</v>
      </c>
      <c r="E540" s="48"/>
      <c r="F540" s="28"/>
      <c r="G540" s="28"/>
      <c r="H540" s="32"/>
      <c r="I540" s="32"/>
      <c r="J540" s="33"/>
      <c r="K540" s="34"/>
      <c r="L540" s="35"/>
      <c r="M540" s="36"/>
      <c r="N540" s="37"/>
      <c r="O540" s="35"/>
      <c r="P540" s="35"/>
      <c r="Q540" s="97"/>
      <c r="R540" s="35"/>
      <c r="S540" s="38"/>
      <c r="T540" s="78"/>
      <c r="U540" s="78"/>
      <c r="V540" s="78"/>
      <c r="W540" s="78"/>
      <c r="X540" s="78"/>
      <c r="Y540" s="78"/>
      <c r="Z540" s="78"/>
      <c r="AA540" s="78" t="s">
        <v>225</v>
      </c>
      <c r="AB540" s="78"/>
    </row>
    <row r="541" spans="1:28" x14ac:dyDescent="0.25">
      <c r="A541" t="str">
        <f>IF(EXACT('BOM A320 FFS'!B734,obsoleta!D541),"OK","ERROR")</f>
        <v>ERROR</v>
      </c>
      <c r="C541" s="31" t="s">
        <v>41</v>
      </c>
      <c r="D541" s="71">
        <v>1702002510000</v>
      </c>
      <c r="E541" s="71"/>
      <c r="F541" s="32" t="s">
        <v>3117</v>
      </c>
      <c r="G541" s="32" t="s">
        <v>3118</v>
      </c>
      <c r="H541" s="32"/>
      <c r="I541" s="32" t="s">
        <v>461</v>
      </c>
      <c r="J541" s="33">
        <v>1</v>
      </c>
      <c r="K541" s="34"/>
      <c r="L541" s="35">
        <v>0</v>
      </c>
      <c r="M541" s="36" t="s">
        <v>32</v>
      </c>
      <c r="N541" s="37">
        <v>1</v>
      </c>
      <c r="O541" s="35">
        <v>0</v>
      </c>
      <c r="P541" s="35" t="s">
        <v>33</v>
      </c>
      <c r="Q541" s="97">
        <v>45453</v>
      </c>
      <c r="R541" s="35" t="s">
        <v>62</v>
      </c>
      <c r="S541" s="38"/>
      <c r="T541" s="78">
        <v>2</v>
      </c>
      <c r="U541" s="78"/>
      <c r="V541" s="78"/>
      <c r="W541" s="78" t="s">
        <v>47</v>
      </c>
      <c r="X541" s="78" t="s">
        <v>3712</v>
      </c>
      <c r="Y541" s="78">
        <v>1</v>
      </c>
      <c r="Z541" s="78" t="s">
        <v>48</v>
      </c>
      <c r="AA541" s="78" t="s">
        <v>225</v>
      </c>
      <c r="AB541" s="78">
        <v>1</v>
      </c>
    </row>
    <row r="542" spans="1:28" x14ac:dyDescent="0.25">
      <c r="A542" t="str">
        <f>IF(EXACT('BOM A320 FFS'!B735,obsoleta!D542),"OK","ERROR")</f>
        <v>ERROR</v>
      </c>
      <c r="C542" s="31" t="s">
        <v>41</v>
      </c>
      <c r="D542" s="71" t="s">
        <v>2810</v>
      </c>
      <c r="E542" s="71"/>
      <c r="F542" s="32" t="s">
        <v>2811</v>
      </c>
      <c r="G542" s="32">
        <v>971788310100</v>
      </c>
      <c r="H542" s="32"/>
      <c r="I542" s="32" t="s">
        <v>301</v>
      </c>
      <c r="J542" s="33">
        <v>1</v>
      </c>
      <c r="K542" s="34"/>
      <c r="L542" s="35">
        <v>0</v>
      </c>
      <c r="M542" s="36" t="s">
        <v>32</v>
      </c>
      <c r="N542" s="37">
        <v>1</v>
      </c>
      <c r="O542" s="35">
        <v>0</v>
      </c>
      <c r="P542" s="35" t="s">
        <v>33</v>
      </c>
      <c r="Q542" s="97">
        <v>45453</v>
      </c>
      <c r="R542" s="35" t="s">
        <v>62</v>
      </c>
      <c r="S542" s="38"/>
      <c r="T542" s="78">
        <v>2</v>
      </c>
      <c r="U542" s="78"/>
      <c r="V542" s="78"/>
      <c r="W542" s="78" t="s">
        <v>47</v>
      </c>
      <c r="X542" s="78" t="s">
        <v>3712</v>
      </c>
      <c r="Y542" s="78">
        <v>1</v>
      </c>
      <c r="Z542" s="78" t="s">
        <v>48</v>
      </c>
      <c r="AA542" s="78" t="s">
        <v>225</v>
      </c>
      <c r="AB542" s="78">
        <v>1</v>
      </c>
    </row>
    <row r="543" spans="1:28" x14ac:dyDescent="0.25">
      <c r="A543" t="str">
        <f>IF(EXACT('BOM A320 FFS'!B737,obsoleta!D543),"OK","ERROR")</f>
        <v>ERROR</v>
      </c>
      <c r="C543" s="31" t="s">
        <v>41</v>
      </c>
      <c r="D543" s="71" t="s">
        <v>2814</v>
      </c>
      <c r="E543" s="71"/>
      <c r="F543" s="32" t="s">
        <v>2815</v>
      </c>
      <c r="G543" s="32">
        <v>971785310100</v>
      </c>
      <c r="H543" s="141"/>
      <c r="I543" s="141" t="s">
        <v>301</v>
      </c>
      <c r="J543" s="142">
        <v>1</v>
      </c>
      <c r="K543" s="143"/>
      <c r="L543" s="144">
        <v>0</v>
      </c>
      <c r="M543" s="145" t="s">
        <v>32</v>
      </c>
      <c r="N543" s="146">
        <v>1</v>
      </c>
      <c r="O543" s="144">
        <v>0</v>
      </c>
      <c r="P543" s="144" t="s">
        <v>33</v>
      </c>
      <c r="Q543" s="147">
        <v>45453</v>
      </c>
      <c r="R543" s="144" t="s">
        <v>62</v>
      </c>
      <c r="S543" s="148"/>
      <c r="T543" s="149">
        <v>2</v>
      </c>
      <c r="U543" s="149"/>
      <c r="V543" s="149"/>
      <c r="W543" s="149" t="s">
        <v>47</v>
      </c>
      <c r="X543" s="149" t="s">
        <v>3712</v>
      </c>
      <c r="Y543" s="149">
        <v>1</v>
      </c>
      <c r="Z543" s="149" t="s">
        <v>48</v>
      </c>
      <c r="AA543" s="149" t="s">
        <v>225</v>
      </c>
      <c r="AB543" s="149">
        <v>1</v>
      </c>
    </row>
    <row r="544" spans="1:28" x14ac:dyDescent="0.25">
      <c r="A544" t="str">
        <f>IF(EXACT('BOM A320 FFS'!B738,obsoleta!D544),"OK","ERROR")</f>
        <v>ERROR</v>
      </c>
      <c r="C544" s="31" t="s">
        <v>41</v>
      </c>
      <c r="D544" s="140" t="s">
        <v>70</v>
      </c>
      <c r="E544" s="140"/>
      <c r="F544" s="141" t="s">
        <v>2416</v>
      </c>
      <c r="G544" s="141" t="s">
        <v>2417</v>
      </c>
      <c r="H544" s="32"/>
      <c r="I544" s="32" t="s">
        <v>461</v>
      </c>
      <c r="J544" s="33">
        <v>30</v>
      </c>
      <c r="K544" s="34"/>
      <c r="L544" s="35">
        <v>0</v>
      </c>
      <c r="M544" s="36" t="s">
        <v>32</v>
      </c>
      <c r="N544" s="37">
        <v>1</v>
      </c>
      <c r="O544" s="35">
        <v>0</v>
      </c>
      <c r="P544" s="35" t="s">
        <v>33</v>
      </c>
      <c r="Q544" s="97">
        <v>45453</v>
      </c>
      <c r="R544" s="35" t="s">
        <v>62</v>
      </c>
      <c r="S544" s="38"/>
      <c r="T544" s="78">
        <v>2</v>
      </c>
      <c r="U544" s="78"/>
      <c r="V544" s="78"/>
      <c r="W544" s="78" t="s">
        <v>47</v>
      </c>
      <c r="X544" s="78"/>
      <c r="Y544" s="78">
        <v>1</v>
      </c>
      <c r="Z544" s="78" t="s">
        <v>48</v>
      </c>
      <c r="AA544" s="78" t="s">
        <v>225</v>
      </c>
      <c r="AB544" s="78">
        <v>30</v>
      </c>
    </row>
    <row r="545" spans="1:28" x14ac:dyDescent="0.25">
      <c r="A545" t="str">
        <f>IF(EXACT('BOM A320 FFS'!B739,obsoleta!D545),"OK","ERROR")</f>
        <v>ERROR</v>
      </c>
      <c r="C545" s="31" t="s">
        <v>41</v>
      </c>
      <c r="D545" s="71">
        <v>1237090959001</v>
      </c>
      <c r="E545" s="71"/>
      <c r="F545" s="32" t="s">
        <v>1592</v>
      </c>
      <c r="G545" s="32" t="s">
        <v>1593</v>
      </c>
      <c r="H545" s="32"/>
      <c r="I545" s="32" t="s">
        <v>1594</v>
      </c>
      <c r="J545" s="33">
        <v>150</v>
      </c>
      <c r="K545" s="34">
        <v>2.38</v>
      </c>
      <c r="L545" s="35">
        <v>357</v>
      </c>
      <c r="M545" s="36" t="s">
        <v>32</v>
      </c>
      <c r="N545" s="37">
        <v>1</v>
      </c>
      <c r="O545" s="35">
        <v>357</v>
      </c>
      <c r="P545" s="35" t="s">
        <v>33</v>
      </c>
      <c r="Q545" s="97">
        <v>45453</v>
      </c>
      <c r="R545" s="35" t="s">
        <v>62</v>
      </c>
      <c r="S545" s="38"/>
      <c r="T545" s="78">
        <v>2</v>
      </c>
      <c r="U545" s="78"/>
      <c r="V545" s="78"/>
      <c r="W545" s="78" t="s">
        <v>47</v>
      </c>
      <c r="X545" s="78" t="s">
        <v>3712</v>
      </c>
      <c r="Y545" s="78">
        <v>1</v>
      </c>
      <c r="Z545" s="78" t="s">
        <v>48</v>
      </c>
      <c r="AA545" s="78" t="s">
        <v>225</v>
      </c>
      <c r="AB545" s="78">
        <v>150</v>
      </c>
    </row>
    <row r="546" spans="1:28" x14ac:dyDescent="0.25">
      <c r="A546" t="str">
        <f>IF(EXACT('BOM A320 FFS'!B740,obsoleta!D546),"OK","ERROR")</f>
        <v>ERROR</v>
      </c>
      <c r="C546" s="31" t="s">
        <v>41</v>
      </c>
      <c r="D546" s="71">
        <v>1237090351000</v>
      </c>
      <c r="E546" s="71"/>
      <c r="F546" s="32" t="s">
        <v>2470</v>
      </c>
      <c r="G546" s="32" t="s">
        <v>2471</v>
      </c>
      <c r="H546" s="32"/>
      <c r="I546" s="32" t="s">
        <v>461</v>
      </c>
      <c r="J546" s="33">
        <v>110</v>
      </c>
      <c r="K546" s="34"/>
      <c r="L546" s="35">
        <v>0</v>
      </c>
      <c r="M546" s="36" t="s">
        <v>32</v>
      </c>
      <c r="N546" s="37">
        <v>1</v>
      </c>
      <c r="O546" s="35">
        <v>0</v>
      </c>
      <c r="P546" s="35" t="s">
        <v>33</v>
      </c>
      <c r="Q546" s="97">
        <v>45453</v>
      </c>
      <c r="R546" s="35" t="s">
        <v>62</v>
      </c>
      <c r="S546" s="38"/>
      <c r="T546" s="78">
        <v>2</v>
      </c>
      <c r="U546" s="78"/>
      <c r="V546" s="78"/>
      <c r="W546" s="78" t="s">
        <v>47</v>
      </c>
      <c r="X546" s="78" t="s">
        <v>3712</v>
      </c>
      <c r="Y546" s="78">
        <v>1</v>
      </c>
      <c r="Z546" s="78" t="s">
        <v>48</v>
      </c>
      <c r="AA546" s="78" t="s">
        <v>225</v>
      </c>
      <c r="AB546" s="78">
        <v>110</v>
      </c>
    </row>
    <row r="547" spans="1:28" x14ac:dyDescent="0.25">
      <c r="A547" t="str">
        <f>IF(EXACT('BOM A320 FFS'!B741,obsoleta!D547),"OK","ERROR")</f>
        <v>ERROR</v>
      </c>
      <c r="C547" s="31" t="s">
        <v>41</v>
      </c>
      <c r="D547" s="71">
        <v>1139990091101</v>
      </c>
      <c r="E547" s="71"/>
      <c r="F547" s="32" t="s">
        <v>1197</v>
      </c>
      <c r="G547" s="32" t="s">
        <v>2318</v>
      </c>
      <c r="H547" s="32"/>
      <c r="I547" s="32" t="s">
        <v>461</v>
      </c>
      <c r="J547" s="33">
        <v>10</v>
      </c>
      <c r="K547" s="34"/>
      <c r="L547" s="35">
        <v>0</v>
      </c>
      <c r="M547" s="36" t="s">
        <v>32</v>
      </c>
      <c r="N547" s="37">
        <v>1</v>
      </c>
      <c r="O547" s="35">
        <v>0</v>
      </c>
      <c r="P547" s="35" t="s">
        <v>33</v>
      </c>
      <c r="Q547" s="97">
        <v>45453</v>
      </c>
      <c r="R547" s="35" t="s">
        <v>62</v>
      </c>
      <c r="S547" s="38"/>
      <c r="T547" s="78">
        <v>2</v>
      </c>
      <c r="U547" s="78"/>
      <c r="V547" s="78"/>
      <c r="W547" s="78" t="s">
        <v>47</v>
      </c>
      <c r="X547" s="78" t="s">
        <v>3712</v>
      </c>
      <c r="Y547" s="78">
        <v>1</v>
      </c>
      <c r="Z547" s="78" t="s">
        <v>48</v>
      </c>
      <c r="AA547" s="78" t="s">
        <v>225</v>
      </c>
      <c r="AB547" s="78">
        <v>10</v>
      </c>
    </row>
    <row r="548" spans="1:28" x14ac:dyDescent="0.25">
      <c r="A548" t="str">
        <f>IF(EXACT('BOM A320 FFS'!B742,obsoleta!D548),"OK","ERROR")</f>
        <v>ERROR</v>
      </c>
      <c r="C548" s="31" t="s">
        <v>41</v>
      </c>
      <c r="D548" s="71">
        <v>7851107360000</v>
      </c>
      <c r="E548" s="71"/>
      <c r="F548" s="32" t="s">
        <v>2739</v>
      </c>
      <c r="G548" s="32" t="s">
        <v>2740</v>
      </c>
      <c r="H548" s="32"/>
      <c r="I548" s="32" t="s">
        <v>1084</v>
      </c>
      <c r="J548" s="33">
        <v>1</v>
      </c>
      <c r="K548" s="34"/>
      <c r="L548" s="35">
        <v>0</v>
      </c>
      <c r="M548" s="36" t="s">
        <v>32</v>
      </c>
      <c r="N548" s="37">
        <v>1</v>
      </c>
      <c r="O548" s="35">
        <v>0</v>
      </c>
      <c r="P548" s="35" t="s">
        <v>33</v>
      </c>
      <c r="Q548" s="97">
        <v>45453</v>
      </c>
      <c r="R548" s="35" t="s">
        <v>62</v>
      </c>
      <c r="S548" s="38"/>
      <c r="T548" s="78">
        <v>2</v>
      </c>
      <c r="U548" s="78"/>
      <c r="V548" s="78"/>
      <c r="W548" s="78" t="s">
        <v>47</v>
      </c>
      <c r="X548" s="78" t="s">
        <v>3712</v>
      </c>
      <c r="Y548" s="78">
        <v>1</v>
      </c>
      <c r="Z548" s="78" t="s">
        <v>48</v>
      </c>
      <c r="AA548" s="78" t="s">
        <v>225</v>
      </c>
      <c r="AB548" s="78">
        <v>1</v>
      </c>
    </row>
    <row r="549" spans="1:28" x14ac:dyDescent="0.25">
      <c r="A549" t="str">
        <f>IF(EXACT('BOM A320 FFS'!B744,obsoleta!D549),"OK","ERROR")</f>
        <v>ERROR</v>
      </c>
      <c r="C549" s="31" t="s">
        <v>41</v>
      </c>
      <c r="D549" s="71">
        <v>1126690520000</v>
      </c>
      <c r="E549" s="71"/>
      <c r="F549" s="32" t="s">
        <v>1082</v>
      </c>
      <c r="G549" s="32" t="s">
        <v>1083</v>
      </c>
      <c r="H549" s="141"/>
      <c r="I549" s="141" t="s">
        <v>1084</v>
      </c>
      <c r="J549" s="33">
        <v>10</v>
      </c>
      <c r="K549" s="34">
        <v>30</v>
      </c>
      <c r="L549" s="35">
        <v>300</v>
      </c>
      <c r="M549" s="36" t="s">
        <v>32</v>
      </c>
      <c r="N549" s="37">
        <v>1</v>
      </c>
      <c r="O549" s="35">
        <v>300</v>
      </c>
      <c r="P549" s="35" t="s">
        <v>33</v>
      </c>
      <c r="Q549" s="97">
        <v>45453</v>
      </c>
      <c r="R549" s="35" t="s">
        <v>62</v>
      </c>
      <c r="S549" s="38"/>
      <c r="T549" s="129">
        <v>2</v>
      </c>
      <c r="U549" s="129"/>
      <c r="V549" s="129"/>
      <c r="W549" s="129" t="s">
        <v>47</v>
      </c>
      <c r="X549" s="129" t="s">
        <v>3712</v>
      </c>
      <c r="Y549" s="129">
        <v>1</v>
      </c>
      <c r="Z549" s="129" t="s">
        <v>48</v>
      </c>
      <c r="AA549" s="129" t="s">
        <v>225</v>
      </c>
      <c r="AB549" s="129">
        <v>10</v>
      </c>
    </row>
    <row r="550" spans="1:28" x14ac:dyDescent="0.25">
      <c r="A550" t="str">
        <f>IF(EXACT('BOM A320 FFS'!B745,obsoleta!D550),"OK","ERROR")</f>
        <v>ERROR</v>
      </c>
      <c r="C550" s="31" t="s">
        <v>41</v>
      </c>
      <c r="D550" s="71">
        <v>1149900090500</v>
      </c>
      <c r="E550" s="31"/>
      <c r="F550" s="32" t="s">
        <v>3003</v>
      </c>
      <c r="G550" s="32" t="s">
        <v>3004</v>
      </c>
      <c r="H550" s="32"/>
      <c r="I550" s="32" t="s">
        <v>1084</v>
      </c>
      <c r="J550" s="33">
        <v>1</v>
      </c>
      <c r="K550" s="34"/>
      <c r="L550" s="35">
        <v>0</v>
      </c>
      <c r="M550" s="36" t="s">
        <v>32</v>
      </c>
      <c r="N550" s="37">
        <v>1</v>
      </c>
      <c r="O550" s="35">
        <v>0</v>
      </c>
      <c r="P550" s="35" t="s">
        <v>33</v>
      </c>
      <c r="Q550" s="97">
        <v>45453</v>
      </c>
      <c r="R550" s="35" t="s">
        <v>62</v>
      </c>
      <c r="S550" s="38"/>
      <c r="T550" s="78">
        <v>2</v>
      </c>
      <c r="U550" s="78"/>
      <c r="V550" s="78"/>
      <c r="W550" s="78" t="s">
        <v>47</v>
      </c>
      <c r="X550" s="78"/>
      <c r="Y550" s="78">
        <v>1</v>
      </c>
      <c r="Z550" s="78" t="s">
        <v>48</v>
      </c>
      <c r="AA550" s="78" t="s">
        <v>225</v>
      </c>
      <c r="AB550" s="78">
        <v>1</v>
      </c>
    </row>
    <row r="551" spans="1:28" x14ac:dyDescent="0.25">
      <c r="A551" t="str">
        <f>IF(EXACT('BOM A320 FFS'!B746,obsoleta!D551),"OK","ERROR")</f>
        <v>ERROR</v>
      </c>
      <c r="C551" s="31" t="s">
        <v>41</v>
      </c>
      <c r="D551" s="71">
        <v>1142012242600</v>
      </c>
      <c r="E551" s="31"/>
      <c r="F551" s="32" t="s">
        <v>2829</v>
      </c>
      <c r="G551" s="32" t="s">
        <v>2830</v>
      </c>
      <c r="H551" s="32"/>
      <c r="I551" s="32" t="s">
        <v>1084</v>
      </c>
      <c r="J551" s="33">
        <v>1</v>
      </c>
      <c r="K551" s="34"/>
      <c r="L551" s="35">
        <v>0</v>
      </c>
      <c r="M551" s="36" t="s">
        <v>32</v>
      </c>
      <c r="N551" s="37">
        <v>1</v>
      </c>
      <c r="O551" s="35">
        <v>0</v>
      </c>
      <c r="P551" s="35" t="s">
        <v>33</v>
      </c>
      <c r="Q551" s="97">
        <v>45453</v>
      </c>
      <c r="R551" s="35" t="s">
        <v>62</v>
      </c>
      <c r="S551" s="38"/>
      <c r="T551" s="78">
        <v>2</v>
      </c>
      <c r="U551" s="78"/>
      <c r="V551" s="78"/>
      <c r="W551" s="78" t="s">
        <v>47</v>
      </c>
      <c r="X551" s="78"/>
      <c r="Y551" s="78">
        <v>1</v>
      </c>
      <c r="Z551" s="78" t="s">
        <v>48</v>
      </c>
      <c r="AA551" s="78" t="s">
        <v>225</v>
      </c>
      <c r="AB551" s="78">
        <v>1</v>
      </c>
    </row>
    <row r="552" spans="1:28" x14ac:dyDescent="0.25">
      <c r="A552" t="str">
        <f>IF(EXACT('BOM A320 FFS'!B747,obsoleta!D552),"OK","ERROR")</f>
        <v>ERROR</v>
      </c>
      <c r="C552" s="31" t="s">
        <v>41</v>
      </c>
      <c r="D552" s="71">
        <v>1237000282000</v>
      </c>
      <c r="E552" s="71"/>
      <c r="F552" s="32" t="s">
        <v>2423</v>
      </c>
      <c r="G552" s="32" t="s">
        <v>2424</v>
      </c>
      <c r="H552" s="32"/>
      <c r="I552" s="32" t="s">
        <v>461</v>
      </c>
      <c r="J552" s="33">
        <v>200</v>
      </c>
      <c r="K552" s="34"/>
      <c r="L552" s="35">
        <v>0</v>
      </c>
      <c r="M552" s="36" t="s">
        <v>32</v>
      </c>
      <c r="N552" s="37">
        <v>1</v>
      </c>
      <c r="O552" s="35">
        <v>0</v>
      </c>
      <c r="P552" s="35" t="s">
        <v>33</v>
      </c>
      <c r="Q552" s="97">
        <v>45453</v>
      </c>
      <c r="R552" s="35" t="s">
        <v>62</v>
      </c>
      <c r="S552" s="38"/>
      <c r="T552" s="78">
        <v>2</v>
      </c>
      <c r="U552" s="78"/>
      <c r="V552" s="78"/>
      <c r="W552" s="78" t="s">
        <v>47</v>
      </c>
      <c r="X552" s="78" t="s">
        <v>3712</v>
      </c>
      <c r="Y552" s="78">
        <v>1</v>
      </c>
      <c r="Z552" s="78" t="s">
        <v>48</v>
      </c>
      <c r="AA552" s="78" t="s">
        <v>225</v>
      </c>
      <c r="AB552" s="78">
        <v>200</v>
      </c>
    </row>
    <row r="553" spans="1:28" x14ac:dyDescent="0.25">
      <c r="A553" t="str">
        <f>IF(EXACT('BOM A320 FFS'!B749,obsoleta!D553),"OK","ERROR")</f>
        <v>ERROR</v>
      </c>
      <c r="C553" s="31" t="s">
        <v>41</v>
      </c>
      <c r="D553" s="71">
        <v>1580130060000</v>
      </c>
      <c r="E553" s="71"/>
      <c r="F553" s="32" t="s">
        <v>2492</v>
      </c>
      <c r="G553" s="32" t="s">
        <v>2493</v>
      </c>
      <c r="H553" s="32"/>
      <c r="I553" s="32" t="s">
        <v>461</v>
      </c>
      <c r="J553" s="33">
        <v>10</v>
      </c>
      <c r="K553" s="34"/>
      <c r="L553" s="35">
        <v>0</v>
      </c>
      <c r="M553" s="36" t="s">
        <v>32</v>
      </c>
      <c r="N553" s="37">
        <v>1</v>
      </c>
      <c r="O553" s="35">
        <v>0</v>
      </c>
      <c r="P553" s="35" t="s">
        <v>33</v>
      </c>
      <c r="Q553" s="97">
        <v>45453</v>
      </c>
      <c r="R553" s="35" t="s">
        <v>62</v>
      </c>
      <c r="S553" s="38"/>
      <c r="T553" s="78">
        <v>2</v>
      </c>
      <c r="U553" s="78"/>
      <c r="V553" s="78"/>
      <c r="W553" s="78" t="s">
        <v>47</v>
      </c>
      <c r="X553" s="78" t="s">
        <v>3712</v>
      </c>
      <c r="Y553" s="78">
        <v>1</v>
      </c>
      <c r="Z553" s="78" t="s">
        <v>48</v>
      </c>
      <c r="AA553" s="78" t="s">
        <v>225</v>
      </c>
      <c r="AB553" s="78">
        <v>10</v>
      </c>
    </row>
    <row r="554" spans="1:28" x14ac:dyDescent="0.25">
      <c r="A554" t="str">
        <f>IF(EXACT('BOM A320 FFS'!B751,obsoleta!D554),"OK","ERROR")</f>
        <v>ERROR</v>
      </c>
      <c r="C554" s="31" t="s">
        <v>41</v>
      </c>
      <c r="D554" s="71">
        <v>1135036060000</v>
      </c>
      <c r="E554" s="71"/>
      <c r="F554" s="32" t="s">
        <v>2840</v>
      </c>
      <c r="G554" s="32" t="s">
        <v>2841</v>
      </c>
      <c r="H554" s="32"/>
      <c r="I554" s="32" t="s">
        <v>461</v>
      </c>
      <c r="J554" s="33">
        <v>1</v>
      </c>
      <c r="K554" s="34"/>
      <c r="L554" s="35">
        <v>0</v>
      </c>
      <c r="M554" s="36" t="s">
        <v>32</v>
      </c>
      <c r="N554" s="37">
        <v>1</v>
      </c>
      <c r="O554" s="35">
        <v>0</v>
      </c>
      <c r="P554" s="35" t="s">
        <v>33</v>
      </c>
      <c r="Q554" s="97">
        <v>45453</v>
      </c>
      <c r="R554" s="35" t="s">
        <v>62</v>
      </c>
      <c r="S554" s="38" t="s">
        <v>2842</v>
      </c>
      <c r="T554" s="78">
        <v>2</v>
      </c>
      <c r="U554" s="78"/>
      <c r="V554" s="78"/>
      <c r="W554" s="78" t="s">
        <v>47</v>
      </c>
      <c r="X554" s="78" t="s">
        <v>3712</v>
      </c>
      <c r="Y554" s="78">
        <v>1</v>
      </c>
      <c r="Z554" s="78" t="s">
        <v>48</v>
      </c>
      <c r="AA554" s="78" t="s">
        <v>225</v>
      </c>
      <c r="AB554" s="78">
        <v>1</v>
      </c>
    </row>
    <row r="555" spans="1:28" x14ac:dyDescent="0.25">
      <c r="A555" t="str">
        <f>IF(EXACT('BOM A320 FFS'!B752,obsoleta!D555),"OK","ERROR")</f>
        <v>ERROR</v>
      </c>
      <c r="C555" s="31" t="s">
        <v>41</v>
      </c>
      <c r="D555" s="71">
        <v>1139022450400</v>
      </c>
      <c r="E555" s="71"/>
      <c r="F555" s="32" t="s">
        <v>2588</v>
      </c>
      <c r="G555" s="32" t="s">
        <v>2589</v>
      </c>
      <c r="H555" s="32"/>
      <c r="I555" s="32" t="s">
        <v>461</v>
      </c>
      <c r="J555" s="33">
        <v>5</v>
      </c>
      <c r="K555" s="34"/>
      <c r="L555" s="35">
        <v>0</v>
      </c>
      <c r="M555" s="36" t="s">
        <v>32</v>
      </c>
      <c r="N555" s="37">
        <v>1</v>
      </c>
      <c r="O555" s="35">
        <v>0</v>
      </c>
      <c r="P555" s="35" t="s">
        <v>33</v>
      </c>
      <c r="Q555" s="97">
        <v>45453</v>
      </c>
      <c r="R555" s="35" t="s">
        <v>62</v>
      </c>
      <c r="S555" s="38"/>
      <c r="T555" s="78">
        <v>2</v>
      </c>
      <c r="U555" s="78"/>
      <c r="V555" s="78"/>
      <c r="W555" s="78" t="s">
        <v>47</v>
      </c>
      <c r="X555" s="78" t="s">
        <v>3712</v>
      </c>
      <c r="Y555" s="78">
        <v>1</v>
      </c>
      <c r="Z555" s="78" t="s">
        <v>48</v>
      </c>
      <c r="AA555" s="78" t="s">
        <v>225</v>
      </c>
      <c r="AB555" s="78">
        <v>5</v>
      </c>
    </row>
    <row r="556" spans="1:28" x14ac:dyDescent="0.25">
      <c r="A556" t="str">
        <f>IF(EXACT('BOM A320 FFS'!B753,obsoleta!D556),"OK","ERROR")</f>
        <v>ERROR</v>
      </c>
      <c r="C556" s="31" t="s">
        <v>41</v>
      </c>
      <c r="D556" s="71">
        <v>1237090350800</v>
      </c>
      <c r="E556" s="71"/>
      <c r="F556" s="32" t="s">
        <v>2655</v>
      </c>
      <c r="G556" s="32" t="s">
        <v>2656</v>
      </c>
      <c r="H556" s="32"/>
      <c r="I556" s="32" t="s">
        <v>461</v>
      </c>
      <c r="J556" s="33">
        <v>40</v>
      </c>
      <c r="K556" s="34"/>
      <c r="L556" s="35">
        <v>0</v>
      </c>
      <c r="M556" s="36" t="s">
        <v>32</v>
      </c>
      <c r="N556" s="37">
        <v>1</v>
      </c>
      <c r="O556" s="35">
        <v>0</v>
      </c>
      <c r="P556" s="35" t="s">
        <v>33</v>
      </c>
      <c r="Q556" s="97">
        <v>45453</v>
      </c>
      <c r="R556" s="35" t="s">
        <v>62</v>
      </c>
      <c r="S556" s="38"/>
      <c r="T556" s="78">
        <v>2</v>
      </c>
      <c r="U556" s="78"/>
      <c r="V556" s="78"/>
      <c r="W556" s="78" t="s">
        <v>47</v>
      </c>
      <c r="X556" s="78" t="s">
        <v>3712</v>
      </c>
      <c r="Y556" s="78">
        <v>1</v>
      </c>
      <c r="Z556" s="78" t="s">
        <v>48</v>
      </c>
      <c r="AA556" s="78" t="s">
        <v>225</v>
      </c>
      <c r="AB556" s="78">
        <v>40</v>
      </c>
    </row>
    <row r="557" spans="1:28" x14ac:dyDescent="0.25">
      <c r="A557" t="str">
        <f>IF(EXACT('BOM A320 FFS'!B754,obsoleta!D557),"OK","ERROR")</f>
        <v>ERROR</v>
      </c>
      <c r="C557" s="31" t="s">
        <v>41</v>
      </c>
      <c r="D557" s="71">
        <v>1589990770000</v>
      </c>
      <c r="E557" s="71"/>
      <c r="F557" s="32" t="s">
        <v>2964</v>
      </c>
      <c r="G557" s="32" t="s">
        <v>2965</v>
      </c>
      <c r="H557" s="32"/>
      <c r="I557" s="32"/>
      <c r="J557" s="33">
        <v>5</v>
      </c>
      <c r="K557" s="34"/>
      <c r="L557" s="35">
        <v>0</v>
      </c>
      <c r="M557" s="36" t="s">
        <v>32</v>
      </c>
      <c r="N557" s="37">
        <v>1</v>
      </c>
      <c r="O557" s="35">
        <v>0</v>
      </c>
      <c r="P557" s="35" t="s">
        <v>33</v>
      </c>
      <c r="Q557" s="97">
        <v>45453</v>
      </c>
      <c r="R557" s="35" t="s">
        <v>62</v>
      </c>
      <c r="S557" s="38"/>
      <c r="T557" s="78">
        <v>2</v>
      </c>
      <c r="U557" s="78"/>
      <c r="V557" s="78"/>
      <c r="W557" s="78" t="s">
        <v>47</v>
      </c>
      <c r="X557" s="78" t="s">
        <v>3712</v>
      </c>
      <c r="Y557" s="78">
        <v>1</v>
      </c>
      <c r="Z557" s="78" t="s">
        <v>48</v>
      </c>
      <c r="AA557" s="78" t="s">
        <v>225</v>
      </c>
      <c r="AB557" s="78">
        <v>5</v>
      </c>
    </row>
    <row r="558" spans="1:28" x14ac:dyDescent="0.25">
      <c r="A558" t="str">
        <f>IF(EXACT('BOM A320 FFS'!B755,obsoleta!D558),"OK","ERROR")</f>
        <v>ERROR</v>
      </c>
      <c r="C558" s="31" t="s">
        <v>41</v>
      </c>
      <c r="D558" s="71">
        <v>1238514160202</v>
      </c>
      <c r="E558" s="71"/>
      <c r="F558" s="32" t="s">
        <v>2452</v>
      </c>
      <c r="G558" s="32" t="s">
        <v>2453</v>
      </c>
      <c r="H558" s="32"/>
      <c r="I558" s="32"/>
      <c r="J558" s="33">
        <v>100</v>
      </c>
      <c r="K558" s="34"/>
      <c r="L558" s="35">
        <v>0</v>
      </c>
      <c r="M558" s="36" t="s">
        <v>32</v>
      </c>
      <c r="N558" s="37">
        <v>1</v>
      </c>
      <c r="O558" s="35">
        <v>0</v>
      </c>
      <c r="P558" s="35" t="s">
        <v>33</v>
      </c>
      <c r="Q558" s="97">
        <v>45453</v>
      </c>
      <c r="R558" s="35" t="s">
        <v>62</v>
      </c>
      <c r="S558" s="38"/>
      <c r="T558" s="78">
        <v>2</v>
      </c>
      <c r="U558" s="78"/>
      <c r="V558" s="78"/>
      <c r="W558" s="78" t="s">
        <v>47</v>
      </c>
      <c r="X558" s="78" t="s">
        <v>3712</v>
      </c>
      <c r="Y558" s="78">
        <v>1</v>
      </c>
      <c r="Z558" s="78" t="s">
        <v>48</v>
      </c>
      <c r="AA558" s="78" t="s">
        <v>225</v>
      </c>
      <c r="AB558" s="78">
        <v>100</v>
      </c>
    </row>
    <row r="559" spans="1:28" x14ac:dyDescent="0.25">
      <c r="A559" t="str">
        <f>IF(EXACT('BOM A320 FFS'!B756,obsoleta!D559),"OK","ERROR")</f>
        <v>ERROR</v>
      </c>
      <c r="C559" s="31" t="s">
        <v>41</v>
      </c>
      <c r="D559" s="71">
        <v>1238524420660</v>
      </c>
      <c r="E559" s="71"/>
      <c r="F559" s="32" t="s">
        <v>2446</v>
      </c>
      <c r="G559" s="32" t="s">
        <v>2447</v>
      </c>
      <c r="H559" s="32"/>
      <c r="I559" s="32"/>
      <c r="J559" s="33">
        <v>100</v>
      </c>
      <c r="K559" s="34"/>
      <c r="L559" s="35">
        <v>0</v>
      </c>
      <c r="M559" s="36" t="s">
        <v>32</v>
      </c>
      <c r="N559" s="37">
        <v>1</v>
      </c>
      <c r="O559" s="35">
        <v>0</v>
      </c>
      <c r="P559" s="35" t="s">
        <v>33</v>
      </c>
      <c r="Q559" s="97">
        <v>45453</v>
      </c>
      <c r="R559" s="35" t="s">
        <v>62</v>
      </c>
      <c r="S559" s="38"/>
      <c r="T559" s="78">
        <v>2</v>
      </c>
      <c r="U559" s="78"/>
      <c r="V559" s="78"/>
      <c r="W559" s="78" t="s">
        <v>47</v>
      </c>
      <c r="X559" s="78" t="s">
        <v>3712</v>
      </c>
      <c r="Y559" s="78">
        <v>1</v>
      </c>
      <c r="Z559" s="78" t="s">
        <v>48</v>
      </c>
      <c r="AA559" s="78" t="s">
        <v>225</v>
      </c>
      <c r="AB559" s="78">
        <v>100</v>
      </c>
    </row>
    <row r="560" spans="1:28" x14ac:dyDescent="0.25">
      <c r="A560" t="str">
        <f>IF(EXACT('BOM A320 FFS'!B757,obsoleta!D560),"OK","ERROR")</f>
        <v>ERROR</v>
      </c>
      <c r="C560" s="31" t="s">
        <v>41</v>
      </c>
      <c r="D560" s="71">
        <v>1263511601900</v>
      </c>
      <c r="E560" s="71"/>
      <c r="F560" s="32" t="s">
        <v>2639</v>
      </c>
      <c r="G560" s="32" t="s">
        <v>2640</v>
      </c>
      <c r="H560" s="32"/>
      <c r="I560" s="32"/>
      <c r="J560" s="33">
        <v>1</v>
      </c>
      <c r="K560" s="34"/>
      <c r="L560" s="35">
        <v>0</v>
      </c>
      <c r="M560" s="36" t="s">
        <v>32</v>
      </c>
      <c r="N560" s="37">
        <v>1</v>
      </c>
      <c r="O560" s="35">
        <v>0</v>
      </c>
      <c r="P560" s="35" t="s">
        <v>33</v>
      </c>
      <c r="Q560" s="97">
        <v>45453</v>
      </c>
      <c r="R560" s="35" t="s">
        <v>62</v>
      </c>
      <c r="S560" s="38"/>
      <c r="T560" s="78">
        <v>2</v>
      </c>
      <c r="U560" s="78"/>
      <c r="V560" s="78"/>
      <c r="W560" s="78" t="s">
        <v>47</v>
      </c>
      <c r="X560" s="78" t="s">
        <v>3712</v>
      </c>
      <c r="Y560" s="78">
        <v>1</v>
      </c>
      <c r="Z560" s="78" t="s">
        <v>48</v>
      </c>
      <c r="AA560" s="78" t="s">
        <v>225</v>
      </c>
      <c r="AB560" s="78">
        <v>1</v>
      </c>
    </row>
    <row r="561" spans="1:28" x14ac:dyDescent="0.25">
      <c r="A561" t="str">
        <f>IF(EXACT('BOM A320 FFS'!B759,obsoleta!D561),"OK","ERROR")</f>
        <v>ERROR</v>
      </c>
      <c r="C561" s="31" t="s">
        <v>41</v>
      </c>
      <c r="D561" s="71" t="s">
        <v>2573</v>
      </c>
      <c r="E561" s="71">
        <v>1002548203009</v>
      </c>
      <c r="F561" s="32" t="s">
        <v>2574</v>
      </c>
      <c r="G561" s="32"/>
      <c r="H561" s="32"/>
      <c r="I561" s="32"/>
      <c r="J561" s="33">
        <v>40</v>
      </c>
      <c r="K561" s="34"/>
      <c r="L561" s="35">
        <v>0</v>
      </c>
      <c r="M561" s="36" t="s">
        <v>32</v>
      </c>
      <c r="N561" s="37">
        <v>1</v>
      </c>
      <c r="O561" s="35">
        <v>0</v>
      </c>
      <c r="P561" s="35" t="s">
        <v>33</v>
      </c>
      <c r="Q561" s="97">
        <v>45453</v>
      </c>
      <c r="R561" s="35" t="s">
        <v>62</v>
      </c>
      <c r="S561" s="38"/>
      <c r="T561" s="78">
        <v>2</v>
      </c>
      <c r="U561" s="78"/>
      <c r="V561" s="78"/>
      <c r="W561" s="78" t="s">
        <v>47</v>
      </c>
      <c r="X561" s="78" t="s">
        <v>3712</v>
      </c>
      <c r="Y561" s="78">
        <v>1</v>
      </c>
      <c r="Z561" s="78" t="s">
        <v>48</v>
      </c>
      <c r="AA561" s="78" t="s">
        <v>225</v>
      </c>
      <c r="AB561" s="78">
        <v>40</v>
      </c>
    </row>
    <row r="562" spans="1:28" x14ac:dyDescent="0.25">
      <c r="A562" t="str">
        <f>IF(EXACT('BOM A320 FFS'!B760,obsoleta!D562),"OK","ERROR")</f>
        <v>ERROR</v>
      </c>
      <c r="C562" s="31" t="s">
        <v>41</v>
      </c>
      <c r="D562" s="71">
        <v>1002551003309</v>
      </c>
      <c r="E562" s="71"/>
      <c r="F562" s="32" t="s">
        <v>2576</v>
      </c>
      <c r="G562" s="32"/>
      <c r="H562" s="32"/>
      <c r="I562" s="32"/>
      <c r="J562" s="33">
        <v>40</v>
      </c>
      <c r="K562" s="34"/>
      <c r="L562" s="35">
        <v>0</v>
      </c>
      <c r="M562" s="36" t="s">
        <v>32</v>
      </c>
      <c r="N562" s="37">
        <v>1</v>
      </c>
      <c r="O562" s="35">
        <v>0</v>
      </c>
      <c r="P562" s="35" t="s">
        <v>33</v>
      </c>
      <c r="Q562" s="97">
        <v>45453</v>
      </c>
      <c r="R562" s="35" t="s">
        <v>62</v>
      </c>
      <c r="S562" s="38"/>
      <c r="T562" s="78">
        <v>2</v>
      </c>
      <c r="U562" s="78"/>
      <c r="V562" s="78"/>
      <c r="W562" s="78" t="s">
        <v>47</v>
      </c>
      <c r="X562" s="78" t="s">
        <v>3712</v>
      </c>
      <c r="Y562" s="78">
        <v>1</v>
      </c>
      <c r="Z562" s="78" t="s">
        <v>48</v>
      </c>
      <c r="AA562" s="78" t="s">
        <v>225</v>
      </c>
      <c r="AB562" s="78">
        <v>40</v>
      </c>
    </row>
    <row r="563" spans="1:28" x14ac:dyDescent="0.25">
      <c r="A563" t="str">
        <f>IF(EXACT('BOM A320 FFS'!B761,obsoleta!D563),"OK","ERROR")</f>
        <v>ERROR</v>
      </c>
      <c r="C563" s="31" t="s">
        <v>41</v>
      </c>
      <c r="D563" s="71">
        <v>1002531003609</v>
      </c>
      <c r="E563" s="71"/>
      <c r="F563" s="32" t="s">
        <v>3766</v>
      </c>
      <c r="G563" s="32" t="s">
        <v>2572</v>
      </c>
      <c r="H563" s="32"/>
      <c r="I563" s="32"/>
      <c r="J563" s="33">
        <v>40</v>
      </c>
      <c r="K563" s="34"/>
      <c r="L563" s="35">
        <v>0</v>
      </c>
      <c r="M563" s="36" t="s">
        <v>32</v>
      </c>
      <c r="N563" s="37">
        <v>1</v>
      </c>
      <c r="O563" s="35">
        <v>0</v>
      </c>
      <c r="P563" s="35" t="s">
        <v>33</v>
      </c>
      <c r="Q563" s="97">
        <v>45453</v>
      </c>
      <c r="R563" s="35" t="s">
        <v>62</v>
      </c>
      <c r="S563" s="38"/>
      <c r="T563" s="78">
        <v>2</v>
      </c>
      <c r="U563" s="78"/>
      <c r="V563" s="78"/>
      <c r="W563" s="78" t="s">
        <v>47</v>
      </c>
      <c r="X563" s="78" t="s">
        <v>3712</v>
      </c>
      <c r="Y563" s="78">
        <v>1</v>
      </c>
      <c r="Z563" s="78" t="s">
        <v>48</v>
      </c>
      <c r="AA563" s="78" t="s">
        <v>225</v>
      </c>
      <c r="AB563" s="78">
        <v>40</v>
      </c>
    </row>
    <row r="564" spans="1:28" x14ac:dyDescent="0.25">
      <c r="A564" t="str">
        <f>IF(EXACT('BOM A320 FFS'!B762,obsoleta!D564),"OK","ERROR")</f>
        <v>ERROR</v>
      </c>
      <c r="C564" s="31" t="s">
        <v>41</v>
      </c>
      <c r="D564" s="71">
        <v>1000954320003</v>
      </c>
      <c r="E564" s="71"/>
      <c r="F564" s="32" t="s">
        <v>3767</v>
      </c>
      <c r="G564" s="32" t="s">
        <v>2569</v>
      </c>
      <c r="H564" s="32"/>
      <c r="I564" s="32"/>
      <c r="J564" s="33">
        <v>40</v>
      </c>
      <c r="K564" s="34"/>
      <c r="L564" s="35">
        <v>0</v>
      </c>
      <c r="M564" s="36" t="s">
        <v>32</v>
      </c>
      <c r="N564" s="37">
        <v>1</v>
      </c>
      <c r="O564" s="35">
        <v>0</v>
      </c>
      <c r="P564" s="35" t="s">
        <v>33</v>
      </c>
      <c r="Q564" s="97">
        <v>45453</v>
      </c>
      <c r="R564" s="35" t="s">
        <v>62</v>
      </c>
      <c r="S564" s="38"/>
      <c r="T564" s="78">
        <v>2</v>
      </c>
      <c r="U564" s="78"/>
      <c r="V564" s="78"/>
      <c r="W564" s="78" t="s">
        <v>47</v>
      </c>
      <c r="X564" s="78" t="s">
        <v>3712</v>
      </c>
      <c r="Y564" s="78">
        <v>1</v>
      </c>
      <c r="Z564" s="78" t="s">
        <v>48</v>
      </c>
      <c r="AA564" s="78" t="s">
        <v>225</v>
      </c>
      <c r="AB564" s="78">
        <v>40</v>
      </c>
    </row>
    <row r="565" spans="1:28" x14ac:dyDescent="0.25">
      <c r="A565" t="str">
        <f>IF(EXACT('BOM A320 FFS'!B763,obsoleta!D565),"OK","ERROR")</f>
        <v>ERROR</v>
      </c>
      <c r="C565" s="31" t="s">
        <v>41</v>
      </c>
      <c r="D565" s="71">
        <v>1128912180000</v>
      </c>
      <c r="E565" s="71"/>
      <c r="F565" s="32" t="s">
        <v>2320</v>
      </c>
      <c r="G565" s="32" t="s">
        <v>2321</v>
      </c>
      <c r="H565" s="32"/>
      <c r="I565" s="32" t="s">
        <v>1084</v>
      </c>
      <c r="J565" s="33">
        <v>4</v>
      </c>
      <c r="K565" s="34"/>
      <c r="L565" s="35">
        <v>0</v>
      </c>
      <c r="M565" s="36" t="s">
        <v>32</v>
      </c>
      <c r="N565" s="37">
        <v>1</v>
      </c>
      <c r="O565" s="35">
        <v>0</v>
      </c>
      <c r="P565" s="35" t="s">
        <v>33</v>
      </c>
      <c r="Q565" s="97">
        <v>45453</v>
      </c>
      <c r="R565" s="35" t="s">
        <v>62</v>
      </c>
      <c r="S565" s="38"/>
      <c r="T565" s="78">
        <v>2</v>
      </c>
      <c r="U565" s="78"/>
      <c r="V565" s="78"/>
      <c r="W565" s="78" t="s">
        <v>47</v>
      </c>
      <c r="X565" s="78" t="s">
        <v>3712</v>
      </c>
      <c r="Y565" s="78">
        <v>1</v>
      </c>
      <c r="Z565" s="78" t="s">
        <v>48</v>
      </c>
      <c r="AA565" s="78" t="s">
        <v>1670</v>
      </c>
      <c r="AB565" s="78">
        <v>1</v>
      </c>
    </row>
    <row r="566" spans="1:28" x14ac:dyDescent="0.25">
      <c r="A566" t="str">
        <f>IF(EXACT('BOM A320 FFS'!B765,obsoleta!D566),"OK","ERROR")</f>
        <v>ERROR</v>
      </c>
      <c r="C566" s="31" t="s">
        <v>41</v>
      </c>
      <c r="D566" s="71">
        <v>1128910112001</v>
      </c>
      <c r="E566" s="71"/>
      <c r="F566" s="32" t="s">
        <v>2844</v>
      </c>
      <c r="G566" s="32" t="s">
        <v>2845</v>
      </c>
      <c r="H566" s="32"/>
      <c r="I566" s="32" t="s">
        <v>1084</v>
      </c>
      <c r="J566" s="33">
        <v>50</v>
      </c>
      <c r="K566" s="34"/>
      <c r="L566" s="35">
        <v>0</v>
      </c>
      <c r="M566" s="36" t="s">
        <v>32</v>
      </c>
      <c r="N566" s="37">
        <v>1</v>
      </c>
      <c r="O566" s="35">
        <v>0</v>
      </c>
      <c r="P566" s="35" t="s">
        <v>33</v>
      </c>
      <c r="Q566" s="97">
        <v>45453</v>
      </c>
      <c r="R566" s="35" t="s">
        <v>62</v>
      </c>
      <c r="S566" s="38"/>
      <c r="T566" s="78">
        <v>2</v>
      </c>
      <c r="U566" s="78"/>
      <c r="V566" s="78"/>
      <c r="W566" s="78" t="s">
        <v>47</v>
      </c>
      <c r="X566" s="78" t="s">
        <v>3712</v>
      </c>
      <c r="Y566" s="78">
        <v>1</v>
      </c>
      <c r="Z566" s="78" t="s">
        <v>48</v>
      </c>
      <c r="AA566" s="78" t="s">
        <v>225</v>
      </c>
      <c r="AB566" s="78">
        <v>50</v>
      </c>
    </row>
    <row r="567" spans="1:28" x14ac:dyDescent="0.25">
      <c r="A567" t="str">
        <f>IF(EXACT('BOM A320 FFS'!B766,obsoleta!D567),"OK","ERROR")</f>
        <v>ERROR</v>
      </c>
      <c r="C567" s="31" t="s">
        <v>41</v>
      </c>
      <c r="D567" s="71">
        <v>1128990760000</v>
      </c>
      <c r="E567" s="71"/>
      <c r="F567" s="32" t="s">
        <v>1259</v>
      </c>
      <c r="G567" s="32" t="s">
        <v>1260</v>
      </c>
      <c r="H567" s="32"/>
      <c r="I567" s="32" t="s">
        <v>1084</v>
      </c>
      <c r="J567" s="33">
        <v>30</v>
      </c>
      <c r="K567" s="34">
        <v>15</v>
      </c>
      <c r="L567" s="35">
        <v>450</v>
      </c>
      <c r="M567" s="36" t="s">
        <v>32</v>
      </c>
      <c r="N567" s="37">
        <v>1</v>
      </c>
      <c r="O567" s="35">
        <v>450</v>
      </c>
      <c r="P567" s="35" t="s">
        <v>33</v>
      </c>
      <c r="Q567" s="97">
        <v>45453</v>
      </c>
      <c r="R567" s="35" t="s">
        <v>62</v>
      </c>
      <c r="S567" s="38"/>
      <c r="T567" s="78">
        <v>2</v>
      </c>
      <c r="U567" s="78"/>
      <c r="V567" s="78"/>
      <c r="W567" s="78" t="s">
        <v>47</v>
      </c>
      <c r="X567" s="78" t="s">
        <v>3712</v>
      </c>
      <c r="Y567" s="78">
        <v>1</v>
      </c>
      <c r="Z567" s="78" t="s">
        <v>48</v>
      </c>
      <c r="AA567" s="78" t="s">
        <v>225</v>
      </c>
      <c r="AB567" s="78">
        <v>30</v>
      </c>
    </row>
    <row r="568" spans="1:28" x14ac:dyDescent="0.25">
      <c r="A568" t="str">
        <f>IF(EXACT('BOM A320 FFS'!B767,obsoleta!D568),"OK","ERROR")</f>
        <v>ERROR</v>
      </c>
      <c r="C568" s="31" t="s">
        <v>41</v>
      </c>
      <c r="D568" s="71">
        <v>1128991450000</v>
      </c>
      <c r="E568" s="71"/>
      <c r="F568" s="32" t="s">
        <v>3000</v>
      </c>
      <c r="G568" s="32" t="s">
        <v>3001</v>
      </c>
      <c r="H568" s="32"/>
      <c r="I568" s="32" t="s">
        <v>1084</v>
      </c>
      <c r="J568" s="33">
        <v>6</v>
      </c>
      <c r="K568" s="34"/>
      <c r="L568" s="35">
        <v>0</v>
      </c>
      <c r="M568" s="36" t="s">
        <v>32</v>
      </c>
      <c r="N568" s="37">
        <v>1</v>
      </c>
      <c r="O568" s="35">
        <v>0</v>
      </c>
      <c r="P568" s="35" t="s">
        <v>33</v>
      </c>
      <c r="Q568" s="97">
        <v>45453</v>
      </c>
      <c r="R568" s="35" t="s">
        <v>62</v>
      </c>
      <c r="S568" s="38"/>
      <c r="T568" s="78">
        <v>2</v>
      </c>
      <c r="U568" s="78"/>
      <c r="V568" s="78"/>
      <c r="W568" s="78" t="s">
        <v>47</v>
      </c>
      <c r="X568" s="78" t="s">
        <v>3712</v>
      </c>
      <c r="Y568" s="78">
        <v>1</v>
      </c>
      <c r="Z568" s="78" t="s">
        <v>48</v>
      </c>
      <c r="AA568" s="78" t="s">
        <v>225</v>
      </c>
      <c r="AB568" s="78">
        <v>6</v>
      </c>
    </row>
    <row r="569" spans="1:28" x14ac:dyDescent="0.25">
      <c r="A569" t="str">
        <f>IF(EXACT('BOM A320 FFS'!B768,obsoleta!D569),"OK","ERROR")</f>
        <v>ERROR</v>
      </c>
      <c r="C569" s="31" t="s">
        <v>41</v>
      </c>
      <c r="D569" s="71">
        <v>1289991640000</v>
      </c>
      <c r="E569" s="71"/>
      <c r="F569" s="32" t="s">
        <v>2977</v>
      </c>
      <c r="G569" s="32" t="s">
        <v>2978</v>
      </c>
      <c r="H569" s="32"/>
      <c r="I569" s="32" t="s">
        <v>1084</v>
      </c>
      <c r="J569" s="33">
        <v>3</v>
      </c>
      <c r="K569" s="34"/>
      <c r="L569" s="35">
        <v>0</v>
      </c>
      <c r="M569" s="36" t="s">
        <v>32</v>
      </c>
      <c r="N569" s="37">
        <v>1</v>
      </c>
      <c r="O569" s="35">
        <v>0</v>
      </c>
      <c r="P569" s="35" t="s">
        <v>33</v>
      </c>
      <c r="Q569" s="97">
        <v>45453</v>
      </c>
      <c r="R569" s="35" t="s">
        <v>62</v>
      </c>
      <c r="S569" s="38"/>
      <c r="T569" s="78">
        <v>2</v>
      </c>
      <c r="U569" s="78"/>
      <c r="V569" s="78"/>
      <c r="W569" s="78" t="s">
        <v>47</v>
      </c>
      <c r="X569" s="78" t="s">
        <v>3712</v>
      </c>
      <c r="Y569" s="78">
        <v>1</v>
      </c>
      <c r="Z569" s="78" t="s">
        <v>48</v>
      </c>
      <c r="AA569" s="78" t="s">
        <v>225</v>
      </c>
      <c r="AB569" s="78">
        <v>3</v>
      </c>
    </row>
    <row r="570" spans="1:28" x14ac:dyDescent="0.25">
      <c r="A570" t="str">
        <f>IF(EXACT('BOM A320 FFS'!B769,obsoleta!D570),"OK","ERROR")</f>
        <v>ERROR</v>
      </c>
      <c r="C570" s="31" t="s">
        <v>41</v>
      </c>
      <c r="D570" s="71">
        <v>1289991640001</v>
      </c>
      <c r="E570" s="71"/>
      <c r="F570" s="32" t="s">
        <v>2974</v>
      </c>
      <c r="G570" s="32" t="s">
        <v>2975</v>
      </c>
      <c r="H570" s="32"/>
      <c r="I570" s="32" t="s">
        <v>1084</v>
      </c>
      <c r="J570" s="33">
        <v>3</v>
      </c>
      <c r="K570" s="34"/>
      <c r="L570" s="35">
        <v>0</v>
      </c>
      <c r="M570" s="36" t="s">
        <v>32</v>
      </c>
      <c r="N570" s="37">
        <v>1</v>
      </c>
      <c r="O570" s="35">
        <v>0</v>
      </c>
      <c r="P570" s="35" t="s">
        <v>33</v>
      </c>
      <c r="Q570" s="97">
        <v>45453</v>
      </c>
      <c r="R570" s="35" t="s">
        <v>62</v>
      </c>
      <c r="S570" s="38"/>
      <c r="T570" s="78">
        <v>2</v>
      </c>
      <c r="U570" s="78"/>
      <c r="V570" s="78"/>
      <c r="W570" s="78" t="s">
        <v>47</v>
      </c>
      <c r="X570" s="78" t="s">
        <v>3712</v>
      </c>
      <c r="Y570" s="78">
        <v>1</v>
      </c>
      <c r="Z570" s="78" t="s">
        <v>48</v>
      </c>
      <c r="AA570" s="78" t="s">
        <v>225</v>
      </c>
      <c r="AB570" s="78">
        <v>3</v>
      </c>
    </row>
    <row r="571" spans="1:28" x14ac:dyDescent="0.25">
      <c r="A571" t="str">
        <f>IF(EXACT('BOM A320 FFS'!B770,obsoleta!D571),"OK","ERROR")</f>
        <v>ERROR</v>
      </c>
      <c r="C571" s="31" t="s">
        <v>41</v>
      </c>
      <c r="D571" s="71">
        <v>1128990028000</v>
      </c>
      <c r="E571" s="71"/>
      <c r="F571" s="32" t="s">
        <v>2748</v>
      </c>
      <c r="G571" s="32" t="s">
        <v>2749</v>
      </c>
      <c r="H571" s="32"/>
      <c r="I571" s="32" t="s">
        <v>1084</v>
      </c>
      <c r="J571" s="33">
        <v>1</v>
      </c>
      <c r="K571" s="34"/>
      <c r="L571" s="35">
        <v>0</v>
      </c>
      <c r="M571" s="36" t="s">
        <v>32</v>
      </c>
      <c r="N571" s="37">
        <v>1</v>
      </c>
      <c r="O571" s="35">
        <v>0</v>
      </c>
      <c r="P571" s="35" t="s">
        <v>33</v>
      </c>
      <c r="Q571" s="97">
        <v>45453</v>
      </c>
      <c r="R571" s="35" t="s">
        <v>62</v>
      </c>
      <c r="S571" s="38"/>
      <c r="T571" s="78">
        <v>2</v>
      </c>
      <c r="U571" s="78"/>
      <c r="V571" s="78"/>
      <c r="W571" s="78" t="s">
        <v>47</v>
      </c>
      <c r="X571" s="78" t="s">
        <v>3712</v>
      </c>
      <c r="Y571" s="78">
        <v>1</v>
      </c>
      <c r="Z571" s="78" t="s">
        <v>48</v>
      </c>
      <c r="AA571" s="78" t="s">
        <v>225</v>
      </c>
      <c r="AB571" s="78">
        <v>1</v>
      </c>
    </row>
    <row r="572" spans="1:28" x14ac:dyDescent="0.25">
      <c r="A572" t="str">
        <f>IF(EXACT('BOM A320 FFS'!B771,obsoleta!D572),"OK","ERROR")</f>
        <v>ERROR</v>
      </c>
      <c r="C572" s="31" t="s">
        <v>41</v>
      </c>
      <c r="D572" s="71">
        <v>1128910113001</v>
      </c>
      <c r="E572" s="71"/>
      <c r="F572" s="32" t="s">
        <v>2847</v>
      </c>
      <c r="G572" s="32" t="s">
        <v>2848</v>
      </c>
      <c r="H572" s="32"/>
      <c r="I572" s="32" t="s">
        <v>1084</v>
      </c>
      <c r="J572" s="33">
        <v>50</v>
      </c>
      <c r="K572" s="34"/>
      <c r="L572" s="35">
        <v>0</v>
      </c>
      <c r="M572" s="36" t="s">
        <v>32</v>
      </c>
      <c r="N572" s="37">
        <v>1</v>
      </c>
      <c r="O572" s="35">
        <v>0</v>
      </c>
      <c r="P572" s="35" t="s">
        <v>33</v>
      </c>
      <c r="Q572" s="97">
        <v>45453</v>
      </c>
      <c r="R572" s="35" t="s">
        <v>62</v>
      </c>
      <c r="S572" s="38"/>
      <c r="T572" s="78">
        <v>2</v>
      </c>
      <c r="U572" s="78"/>
      <c r="V572" s="78"/>
      <c r="W572" s="78" t="s">
        <v>47</v>
      </c>
      <c r="X572" s="78" t="s">
        <v>3712</v>
      </c>
      <c r="Y572" s="78">
        <v>1</v>
      </c>
      <c r="Z572" s="78" t="s">
        <v>48</v>
      </c>
      <c r="AA572" s="78" t="s">
        <v>225</v>
      </c>
      <c r="AB572" s="78">
        <v>50</v>
      </c>
    </row>
    <row r="573" spans="1:28" x14ac:dyDescent="0.25">
      <c r="A573" t="str">
        <f>IF(EXACT('BOM A320 FFS'!B772,obsoleta!D573),"OK","ERROR")</f>
        <v>ERROR</v>
      </c>
      <c r="C573" s="31" t="s">
        <v>41</v>
      </c>
      <c r="D573" s="71">
        <v>1237000289000</v>
      </c>
      <c r="E573" s="71"/>
      <c r="F573" s="32" t="s">
        <v>2632</v>
      </c>
      <c r="G573" s="32" t="s">
        <v>2633</v>
      </c>
      <c r="H573" s="28"/>
      <c r="I573" s="28" t="s">
        <v>1084</v>
      </c>
      <c r="J573" s="40">
        <v>200</v>
      </c>
      <c r="K573" s="30"/>
      <c r="L573" s="30">
        <v>0</v>
      </c>
      <c r="M573" s="26" t="s">
        <v>32</v>
      </c>
      <c r="N573" s="26">
        <v>1</v>
      </c>
      <c r="O573" s="41">
        <v>0</v>
      </c>
      <c r="P573" s="41" t="s">
        <v>33</v>
      </c>
      <c r="Q573" s="98">
        <v>45453</v>
      </c>
      <c r="R573" s="41" t="s">
        <v>62</v>
      </c>
      <c r="S573" s="30"/>
      <c r="T573" s="82">
        <v>2</v>
      </c>
      <c r="U573" s="82"/>
      <c r="V573" s="82"/>
      <c r="W573" s="82" t="s">
        <v>47</v>
      </c>
      <c r="X573" s="82" t="s">
        <v>3712</v>
      </c>
      <c r="Y573" s="82">
        <v>1</v>
      </c>
      <c r="Z573" s="82" t="s">
        <v>48</v>
      </c>
      <c r="AA573" s="82" t="s">
        <v>225</v>
      </c>
      <c r="AB573" s="82">
        <v>200</v>
      </c>
    </row>
    <row r="574" spans="1:28" x14ac:dyDescent="0.25">
      <c r="A574" t="str">
        <f>IF(EXACT('BOM A320 FFS'!B792,obsoleta!D574),"OK","ERROR")</f>
        <v>ERROR</v>
      </c>
      <c r="C574" s="39"/>
      <c r="D574" s="39"/>
      <c r="E574" s="39"/>
      <c r="F574" s="28"/>
      <c r="G574" s="28"/>
      <c r="H574" s="21"/>
      <c r="I574" s="21"/>
      <c r="J574" s="22"/>
      <c r="K574" s="25"/>
      <c r="L574" s="25"/>
      <c r="M574" s="24"/>
      <c r="N574" s="24"/>
      <c r="O574" s="49"/>
      <c r="P574" s="49"/>
      <c r="Q574" s="100"/>
      <c r="R574" s="49"/>
      <c r="S574" s="25"/>
      <c r="T574" s="25"/>
      <c r="U574" s="25"/>
      <c r="V574" s="25"/>
      <c r="W574" s="25"/>
      <c r="X574" s="25"/>
      <c r="Y574" s="25"/>
      <c r="Z574" s="25"/>
      <c r="AA574" s="25" t="s">
        <v>225</v>
      </c>
      <c r="AB574" s="25"/>
    </row>
    <row r="575" spans="1:28" ht="18.75" x14ac:dyDescent="0.3">
      <c r="A575" t="str">
        <f>IF(EXACT('BOM A320 FFS'!B793,obsoleta!D575),"OK","ERROR")</f>
        <v>ERROR</v>
      </c>
      <c r="C575" s="19"/>
      <c r="D575" s="19" t="s">
        <v>3663</v>
      </c>
      <c r="E575" s="19"/>
      <c r="F575" s="20"/>
      <c r="G575" s="21"/>
      <c r="H575" s="21"/>
      <c r="I575" s="21"/>
      <c r="J575" s="22"/>
      <c r="K575" s="25"/>
      <c r="L575" s="25"/>
      <c r="M575" s="24"/>
      <c r="N575" s="24"/>
      <c r="O575" s="49"/>
      <c r="P575" s="49"/>
      <c r="Q575" s="100"/>
      <c r="R575" s="49"/>
      <c r="S575" s="25"/>
      <c r="T575" s="25"/>
      <c r="U575" s="25"/>
      <c r="V575" s="25"/>
      <c r="W575" s="25"/>
      <c r="X575" s="25"/>
      <c r="Y575" s="25"/>
      <c r="Z575" s="25"/>
      <c r="AA575" s="25" t="s">
        <v>225</v>
      </c>
      <c r="AB575" s="25"/>
    </row>
    <row r="576" spans="1:28" ht="18.75" x14ac:dyDescent="0.3">
      <c r="A576" t="str">
        <f>IF(EXACT('BOM A320 FFS'!B794,obsoleta!D576),"OK","ERROR")</f>
        <v>ERROR</v>
      </c>
      <c r="C576" s="19"/>
      <c r="D576" s="19" t="s">
        <v>3664</v>
      </c>
      <c r="E576" s="19"/>
      <c r="F576" s="20"/>
      <c r="G576" s="21"/>
      <c r="H576" s="28"/>
      <c r="I576" s="28"/>
      <c r="J576" s="40"/>
      <c r="K576" s="30"/>
      <c r="L576" s="30"/>
      <c r="M576" s="26"/>
      <c r="N576" s="26"/>
      <c r="O576" s="41"/>
      <c r="P576" s="41"/>
      <c r="Q576" s="98"/>
      <c r="R576" s="41"/>
      <c r="S576" s="30"/>
      <c r="T576" s="82"/>
      <c r="U576" s="82"/>
      <c r="V576" s="82"/>
      <c r="W576" s="82"/>
      <c r="X576" s="82"/>
      <c r="Y576" s="82"/>
      <c r="Z576" s="82"/>
      <c r="AA576" s="82" t="s">
        <v>225</v>
      </c>
      <c r="AB576" s="82"/>
    </row>
    <row r="577" spans="1:28" x14ac:dyDescent="0.25">
      <c r="A577" t="str">
        <f>IF(EXACT('BOM A320 FFS'!B795,obsoleta!D577),"OK","ERROR")</f>
        <v>ERROR</v>
      </c>
      <c r="C577" s="56"/>
      <c r="D577" s="56" t="s">
        <v>3665</v>
      </c>
      <c r="E577" s="56"/>
      <c r="F577" s="57"/>
      <c r="G577" s="58"/>
      <c r="H577" s="32"/>
      <c r="I577" s="32"/>
      <c r="J577" s="33"/>
      <c r="K577" s="34"/>
      <c r="L577" s="35"/>
      <c r="M577" s="36"/>
      <c r="N577" s="37"/>
      <c r="O577" s="35"/>
      <c r="P577" s="35"/>
      <c r="Q577" s="97"/>
      <c r="R577" s="35"/>
      <c r="S577" s="38"/>
      <c r="T577" s="78"/>
      <c r="U577" s="78"/>
      <c r="V577" s="78"/>
      <c r="W577" s="78"/>
      <c r="X577" s="78"/>
      <c r="Y577" s="78"/>
      <c r="Z577" s="78"/>
      <c r="AA577" s="78" t="s">
        <v>225</v>
      </c>
      <c r="AB577" s="78"/>
    </row>
    <row r="578" spans="1:28" x14ac:dyDescent="0.25">
      <c r="A578" t="str">
        <f>IF(EXACT('BOM A320 FFS'!B796,obsoleta!D578),"OK","ERROR")</f>
        <v>ERROR</v>
      </c>
      <c r="C578" s="31" t="s">
        <v>108</v>
      </c>
      <c r="D578" s="71">
        <v>1263516109007</v>
      </c>
      <c r="E578" s="71"/>
      <c r="F578" s="32" t="s">
        <v>1440</v>
      </c>
      <c r="G578" s="32" t="s">
        <v>1441</v>
      </c>
      <c r="H578" s="32" t="s">
        <v>515</v>
      </c>
      <c r="I578" s="32" t="s">
        <v>516</v>
      </c>
      <c r="J578" s="33">
        <v>20</v>
      </c>
      <c r="K578" s="34">
        <v>5</v>
      </c>
      <c r="L578" s="35">
        <v>100</v>
      </c>
      <c r="M578" s="36" t="s">
        <v>32</v>
      </c>
      <c r="N578" s="37">
        <v>1</v>
      </c>
      <c r="O578" s="35">
        <v>100</v>
      </c>
      <c r="P578" s="35" t="s">
        <v>33</v>
      </c>
      <c r="Q578" s="97">
        <v>45453</v>
      </c>
      <c r="R578" s="35" t="s">
        <v>62</v>
      </c>
      <c r="S578" s="38"/>
      <c r="T578" s="78">
        <v>1</v>
      </c>
      <c r="U578" s="78" t="s">
        <v>34</v>
      </c>
      <c r="V578" s="78"/>
      <c r="W578" s="78" t="s">
        <v>114</v>
      </c>
      <c r="X578" s="78" t="s">
        <v>3713</v>
      </c>
      <c r="Y578" s="78">
        <v>1</v>
      </c>
      <c r="Z578" s="78" t="s">
        <v>48</v>
      </c>
      <c r="AA578" s="78" t="s">
        <v>225</v>
      </c>
      <c r="AB578" s="78">
        <v>20</v>
      </c>
    </row>
    <row r="579" spans="1:28" x14ac:dyDescent="0.25">
      <c r="A579" t="str">
        <f>IF(EXACT('BOM A320 FFS'!B797,obsoleta!D579),"OK","ERROR")</f>
        <v>ERROR</v>
      </c>
      <c r="C579" s="31" t="s">
        <v>108</v>
      </c>
      <c r="D579" s="71">
        <v>1263516109006</v>
      </c>
      <c r="E579" s="71"/>
      <c r="F579" s="32" t="s">
        <v>1443</v>
      </c>
      <c r="G579" s="32" t="s">
        <v>1444</v>
      </c>
      <c r="H579" s="32" t="s">
        <v>515</v>
      </c>
      <c r="I579" s="32" t="s">
        <v>516</v>
      </c>
      <c r="J579" s="33">
        <v>20</v>
      </c>
      <c r="K579" s="34">
        <v>5</v>
      </c>
      <c r="L579" s="35">
        <v>100</v>
      </c>
      <c r="M579" s="36" t="s">
        <v>32</v>
      </c>
      <c r="N579" s="37">
        <v>1</v>
      </c>
      <c r="O579" s="35">
        <v>100</v>
      </c>
      <c r="P579" s="35" t="s">
        <v>33</v>
      </c>
      <c r="Q579" s="97">
        <v>45453</v>
      </c>
      <c r="R579" s="35" t="s">
        <v>62</v>
      </c>
      <c r="S579" s="38"/>
      <c r="T579" s="78">
        <v>1</v>
      </c>
      <c r="U579" s="78" t="s">
        <v>34</v>
      </c>
      <c r="V579" s="78"/>
      <c r="W579" s="78" t="s">
        <v>114</v>
      </c>
      <c r="X579" s="78" t="s">
        <v>3713</v>
      </c>
      <c r="Y579" s="78">
        <v>1</v>
      </c>
      <c r="Z579" s="78" t="s">
        <v>48</v>
      </c>
      <c r="AA579" s="78" t="s">
        <v>225</v>
      </c>
      <c r="AB579" s="78">
        <v>20</v>
      </c>
    </row>
    <row r="580" spans="1:28" x14ac:dyDescent="0.25">
      <c r="A580" t="str">
        <f>IF(EXACT('BOM A320 FFS'!B798,obsoleta!D580),"OK","ERROR")</f>
        <v>ERROR</v>
      </c>
      <c r="C580" s="71" t="s">
        <v>108</v>
      </c>
      <c r="D580" s="71">
        <v>1263516109005</v>
      </c>
      <c r="E580" s="71"/>
      <c r="F580" s="32" t="s">
        <v>646</v>
      </c>
      <c r="G580" s="32" t="s">
        <v>647</v>
      </c>
      <c r="H580" s="32" t="s">
        <v>515</v>
      </c>
      <c r="I580" s="32" t="s">
        <v>516</v>
      </c>
      <c r="J580" s="33">
        <v>3</v>
      </c>
      <c r="K580" s="34">
        <v>99</v>
      </c>
      <c r="L580" s="35">
        <v>297</v>
      </c>
      <c r="M580" s="36" t="s">
        <v>32</v>
      </c>
      <c r="N580" s="37">
        <v>1</v>
      </c>
      <c r="O580" s="35">
        <v>297</v>
      </c>
      <c r="P580" s="35" t="s">
        <v>33</v>
      </c>
      <c r="Q580" s="97">
        <v>45453</v>
      </c>
      <c r="R580" s="35" t="s">
        <v>62</v>
      </c>
      <c r="S580" s="38"/>
      <c r="T580" s="78">
        <v>1</v>
      </c>
      <c r="U580" s="78" t="s">
        <v>34</v>
      </c>
      <c r="V580" s="78"/>
      <c r="W580" s="78" t="s">
        <v>114</v>
      </c>
      <c r="X580" s="78" t="s">
        <v>3713</v>
      </c>
      <c r="Y580" s="78">
        <v>1</v>
      </c>
      <c r="Z580" s="78" t="s">
        <v>48</v>
      </c>
      <c r="AA580" s="78" t="s">
        <v>225</v>
      </c>
      <c r="AB580" s="78">
        <v>3</v>
      </c>
    </row>
    <row r="581" spans="1:28" x14ac:dyDescent="0.25">
      <c r="A581" t="str">
        <f>IF(EXACT('BOM A320 FFS'!B799,obsoleta!D581),"OK","ERROR")</f>
        <v>ERROR</v>
      </c>
      <c r="C581" s="31" t="s">
        <v>108</v>
      </c>
      <c r="D581" s="71">
        <v>1263516109000</v>
      </c>
      <c r="E581" s="71"/>
      <c r="F581" s="32" t="s">
        <v>637</v>
      </c>
      <c r="G581" s="32" t="s">
        <v>638</v>
      </c>
      <c r="H581" s="32" t="s">
        <v>515</v>
      </c>
      <c r="I581" s="32" t="s">
        <v>516</v>
      </c>
      <c r="J581" s="33">
        <v>16</v>
      </c>
      <c r="K581" s="34">
        <v>99</v>
      </c>
      <c r="L581" s="35">
        <v>1584</v>
      </c>
      <c r="M581" s="36" t="s">
        <v>32</v>
      </c>
      <c r="N581" s="37">
        <v>1</v>
      </c>
      <c r="O581" s="35">
        <v>1584</v>
      </c>
      <c r="P581" s="35" t="s">
        <v>33</v>
      </c>
      <c r="Q581" s="97">
        <v>45453</v>
      </c>
      <c r="R581" s="35" t="s">
        <v>62</v>
      </c>
      <c r="S581" s="38"/>
      <c r="T581" s="78">
        <v>1</v>
      </c>
      <c r="U581" s="78" t="s">
        <v>34</v>
      </c>
      <c r="V581" s="78"/>
      <c r="W581" s="78" t="s">
        <v>114</v>
      </c>
      <c r="X581" s="78" t="s">
        <v>3713</v>
      </c>
      <c r="Y581" s="78">
        <v>1</v>
      </c>
      <c r="Z581" s="78" t="s">
        <v>48</v>
      </c>
      <c r="AA581" s="78" t="s">
        <v>225</v>
      </c>
      <c r="AB581" s="78">
        <v>16</v>
      </c>
    </row>
    <row r="582" spans="1:28" x14ac:dyDescent="0.25">
      <c r="A582" t="str">
        <f>IF(EXACT('BOM A320 FFS'!B800,obsoleta!D582),"OK","ERROR")</f>
        <v>ERROR</v>
      </c>
      <c r="C582" s="31" t="s">
        <v>108</v>
      </c>
      <c r="D582" s="71">
        <v>1263516109001</v>
      </c>
      <c r="E582" s="71"/>
      <c r="F582" s="32" t="s">
        <v>643</v>
      </c>
      <c r="G582" s="32" t="s">
        <v>644</v>
      </c>
      <c r="H582" s="32" t="s">
        <v>515</v>
      </c>
      <c r="I582" s="32" t="s">
        <v>516</v>
      </c>
      <c r="J582" s="33">
        <v>8</v>
      </c>
      <c r="K582" s="34">
        <v>99</v>
      </c>
      <c r="L582" s="35">
        <v>792</v>
      </c>
      <c r="M582" s="36" t="s">
        <v>32</v>
      </c>
      <c r="N582" s="37">
        <v>1</v>
      </c>
      <c r="O582" s="35">
        <v>792</v>
      </c>
      <c r="P582" s="35" t="s">
        <v>33</v>
      </c>
      <c r="Q582" s="97">
        <v>45453</v>
      </c>
      <c r="R582" s="35" t="s">
        <v>62</v>
      </c>
      <c r="S582" s="38"/>
      <c r="T582" s="78">
        <v>1</v>
      </c>
      <c r="U582" s="78" t="s">
        <v>34</v>
      </c>
      <c r="V582" s="78"/>
      <c r="W582" s="78" t="s">
        <v>114</v>
      </c>
      <c r="X582" s="78" t="s">
        <v>3713</v>
      </c>
      <c r="Y582" s="78">
        <v>1</v>
      </c>
      <c r="Z582" s="78" t="s">
        <v>48</v>
      </c>
      <c r="AA582" s="78" t="s">
        <v>1670</v>
      </c>
      <c r="AB582" s="78">
        <v>8</v>
      </c>
    </row>
    <row r="583" spans="1:28" x14ac:dyDescent="0.25">
      <c r="A583" t="str">
        <f>IF(EXACT('BOM A320 FFS'!B802,obsoleta!D583),"OK","ERROR")</f>
        <v>ERROR</v>
      </c>
      <c r="C583" s="31" t="s">
        <v>108</v>
      </c>
      <c r="D583" s="71">
        <v>1263516109002</v>
      </c>
      <c r="E583" s="71"/>
      <c r="F583" s="32" t="s">
        <v>640</v>
      </c>
      <c r="G583" s="32" t="s">
        <v>641</v>
      </c>
      <c r="H583" s="32" t="s">
        <v>515</v>
      </c>
      <c r="I583" s="32" t="s">
        <v>516</v>
      </c>
      <c r="J583" s="33">
        <v>15</v>
      </c>
      <c r="K583" s="34">
        <v>99</v>
      </c>
      <c r="L583" s="35">
        <v>1485</v>
      </c>
      <c r="M583" s="36" t="s">
        <v>32</v>
      </c>
      <c r="N583" s="37">
        <v>1</v>
      </c>
      <c r="O583" s="35">
        <v>1485</v>
      </c>
      <c r="P583" s="35" t="s">
        <v>33</v>
      </c>
      <c r="Q583" s="97">
        <v>45453</v>
      </c>
      <c r="R583" s="35" t="s">
        <v>62</v>
      </c>
      <c r="S583" s="38"/>
      <c r="T583" s="78">
        <v>1</v>
      </c>
      <c r="U583" s="78" t="s">
        <v>34</v>
      </c>
      <c r="V583" s="78"/>
      <c r="W583" s="78" t="s">
        <v>114</v>
      </c>
      <c r="X583" s="78" t="s">
        <v>3713</v>
      </c>
      <c r="Y583" s="78">
        <v>1</v>
      </c>
      <c r="Z583" s="78" t="s">
        <v>48</v>
      </c>
      <c r="AA583" s="78" t="s">
        <v>225</v>
      </c>
      <c r="AB583" s="78">
        <v>15</v>
      </c>
    </row>
    <row r="584" spans="1:28" x14ac:dyDescent="0.25">
      <c r="A584" t="str">
        <f>IF(EXACT('BOM A320 FFS'!B803,obsoleta!D584),"OK","ERROR")</f>
        <v>ERROR</v>
      </c>
      <c r="C584" s="31" t="s">
        <v>108</v>
      </c>
      <c r="D584" s="71">
        <v>1263511130400</v>
      </c>
      <c r="E584" s="71"/>
      <c r="F584" s="32" t="s">
        <v>513</v>
      </c>
      <c r="G584" s="32" t="s">
        <v>514</v>
      </c>
      <c r="H584" s="32" t="s">
        <v>515</v>
      </c>
      <c r="I584" s="32" t="s">
        <v>516</v>
      </c>
      <c r="J584" s="33">
        <v>8</v>
      </c>
      <c r="K584" s="34">
        <v>250</v>
      </c>
      <c r="L584" s="35">
        <v>2000</v>
      </c>
      <c r="M584" s="36" t="s">
        <v>32</v>
      </c>
      <c r="N584" s="37">
        <v>1</v>
      </c>
      <c r="O584" s="35">
        <v>2000</v>
      </c>
      <c r="P584" s="35" t="s">
        <v>33</v>
      </c>
      <c r="Q584" s="97">
        <v>45453</v>
      </c>
      <c r="R584" s="35" t="s">
        <v>62</v>
      </c>
      <c r="S584" s="38"/>
      <c r="T584" s="78">
        <v>1</v>
      </c>
      <c r="U584" s="78" t="s">
        <v>34</v>
      </c>
      <c r="V584" s="78"/>
      <c r="W584" s="78" t="s">
        <v>114</v>
      </c>
      <c r="X584" s="78" t="s">
        <v>3713</v>
      </c>
      <c r="Y584" s="78">
        <v>1</v>
      </c>
      <c r="Z584" s="78" t="s">
        <v>48</v>
      </c>
      <c r="AA584" s="78" t="s">
        <v>225</v>
      </c>
      <c r="AB584" s="78">
        <v>8</v>
      </c>
    </row>
    <row r="585" spans="1:28" x14ac:dyDescent="0.25">
      <c r="A585" t="str">
        <f>IF(EXACT('BOM A320 FFS'!B804,obsoleta!D585),"OK","ERROR")</f>
        <v>ERROR</v>
      </c>
      <c r="C585" s="31" t="s">
        <v>108</v>
      </c>
      <c r="D585" s="71">
        <v>1263011080700</v>
      </c>
      <c r="E585" s="71"/>
      <c r="F585" s="32" t="s">
        <v>437</v>
      </c>
      <c r="G585" s="32" t="s">
        <v>438</v>
      </c>
      <c r="H585" s="32" t="s">
        <v>439</v>
      </c>
      <c r="I585" s="32"/>
      <c r="J585" s="33">
        <v>1</v>
      </c>
      <c r="K585" s="34">
        <v>450</v>
      </c>
      <c r="L585" s="35">
        <v>450</v>
      </c>
      <c r="M585" s="36" t="s">
        <v>32</v>
      </c>
      <c r="N585" s="37">
        <v>1</v>
      </c>
      <c r="O585" s="35">
        <v>450</v>
      </c>
      <c r="P585" s="35" t="s">
        <v>33</v>
      </c>
      <c r="Q585" s="97">
        <v>45453</v>
      </c>
      <c r="R585" s="35" t="s">
        <v>62</v>
      </c>
      <c r="S585" s="38"/>
      <c r="T585" s="78">
        <v>2</v>
      </c>
      <c r="U585" s="78"/>
      <c r="V585" s="78"/>
      <c r="W585" s="78" t="s">
        <v>114</v>
      </c>
      <c r="X585" s="78" t="s">
        <v>3713</v>
      </c>
      <c r="Y585" s="78">
        <v>1</v>
      </c>
      <c r="Z585" s="78" t="s">
        <v>48</v>
      </c>
      <c r="AA585" s="78" t="s">
        <v>225</v>
      </c>
      <c r="AB585" s="78">
        <v>2</v>
      </c>
    </row>
    <row r="586" spans="1:28" x14ac:dyDescent="0.25">
      <c r="A586" t="str">
        <f>IF(EXACT('BOM A320 FFS'!B805,obsoleta!D586),"OK","ERROR")</f>
        <v>ERROR</v>
      </c>
      <c r="C586" s="31" t="s">
        <v>108</v>
      </c>
      <c r="D586" s="71">
        <v>1263011604400</v>
      </c>
      <c r="E586" s="71"/>
      <c r="F586" s="32" t="s">
        <v>1107</v>
      </c>
      <c r="G586" s="32" t="s">
        <v>1108</v>
      </c>
      <c r="H586" s="32" t="s">
        <v>1109</v>
      </c>
      <c r="I586" s="32"/>
      <c r="J586" s="33">
        <v>1</v>
      </c>
      <c r="K586" s="34">
        <v>30</v>
      </c>
      <c r="L586" s="35">
        <v>30</v>
      </c>
      <c r="M586" s="36" t="s">
        <v>32</v>
      </c>
      <c r="N586" s="37">
        <v>1</v>
      </c>
      <c r="O586" s="35">
        <v>30</v>
      </c>
      <c r="P586" s="35" t="s">
        <v>33</v>
      </c>
      <c r="Q586" s="97">
        <v>45453</v>
      </c>
      <c r="R586" s="35" t="s">
        <v>62</v>
      </c>
      <c r="S586" s="38"/>
      <c r="T586" s="78">
        <v>2</v>
      </c>
      <c r="U586" s="78"/>
      <c r="V586" s="78"/>
      <c r="W586" s="78" t="s">
        <v>114</v>
      </c>
      <c r="X586" s="78" t="s">
        <v>3713</v>
      </c>
      <c r="Y586" s="78">
        <v>1</v>
      </c>
      <c r="Z586" s="78" t="s">
        <v>48</v>
      </c>
      <c r="AA586" s="78" t="s">
        <v>225</v>
      </c>
      <c r="AB586" s="78">
        <v>1</v>
      </c>
    </row>
    <row r="587" spans="1:28" x14ac:dyDescent="0.25">
      <c r="A587" t="str">
        <f>IF(EXACT('BOM A320 FFS'!B806,obsoleta!D587),"OK","ERROR")</f>
        <v>ERROR</v>
      </c>
      <c r="C587" s="31" t="s">
        <v>108</v>
      </c>
      <c r="D587" s="71">
        <v>1208000322100</v>
      </c>
      <c r="E587" s="71"/>
      <c r="F587" s="32" t="s">
        <v>1120</v>
      </c>
      <c r="G587" s="32" t="s">
        <v>1121</v>
      </c>
      <c r="H587" s="32" t="s">
        <v>1122</v>
      </c>
      <c r="I587" s="32"/>
      <c r="J587" s="33">
        <v>1</v>
      </c>
      <c r="K587" s="34">
        <v>30</v>
      </c>
      <c r="L587" s="35">
        <v>30</v>
      </c>
      <c r="M587" s="36" t="s">
        <v>32</v>
      </c>
      <c r="N587" s="37">
        <v>1</v>
      </c>
      <c r="O587" s="35">
        <v>30</v>
      </c>
      <c r="P587" s="35" t="s">
        <v>33</v>
      </c>
      <c r="Q587" s="97">
        <v>45453</v>
      </c>
      <c r="R587" s="35" t="s">
        <v>62</v>
      </c>
      <c r="S587" s="38"/>
      <c r="T587" s="78">
        <v>2</v>
      </c>
      <c r="U587" s="78"/>
      <c r="V587" s="78"/>
      <c r="W587" s="78" t="s">
        <v>114</v>
      </c>
      <c r="X587" s="78" t="s">
        <v>3713</v>
      </c>
      <c r="Y587" s="78">
        <v>1</v>
      </c>
      <c r="Z587" s="78" t="s">
        <v>48</v>
      </c>
      <c r="AA587" s="78" t="s">
        <v>225</v>
      </c>
      <c r="AB587" s="78">
        <v>1</v>
      </c>
    </row>
    <row r="588" spans="1:28" x14ac:dyDescent="0.25">
      <c r="A588" t="str">
        <f>IF(EXACT('BOM A320 FFS'!B807,obsoleta!D588),"OK","ERROR")</f>
        <v>ERROR</v>
      </c>
      <c r="C588" s="31" t="s">
        <v>108</v>
      </c>
      <c r="D588" s="71">
        <v>1263011000903</v>
      </c>
      <c r="E588" s="71"/>
      <c r="F588" s="32" t="s">
        <v>1111</v>
      </c>
      <c r="G588" s="32" t="s">
        <v>1112</v>
      </c>
      <c r="H588" s="32" t="s">
        <v>1094</v>
      </c>
      <c r="I588" s="32"/>
      <c r="J588" s="33">
        <v>1</v>
      </c>
      <c r="K588" s="34">
        <v>30</v>
      </c>
      <c r="L588" s="35">
        <v>30</v>
      </c>
      <c r="M588" s="36" t="s">
        <v>32</v>
      </c>
      <c r="N588" s="37">
        <v>1</v>
      </c>
      <c r="O588" s="35">
        <v>30</v>
      </c>
      <c r="P588" s="35" t="s">
        <v>33</v>
      </c>
      <c r="Q588" s="97">
        <v>45453</v>
      </c>
      <c r="R588" s="35" t="s">
        <v>62</v>
      </c>
      <c r="S588" s="38"/>
      <c r="T588" s="78">
        <v>2</v>
      </c>
      <c r="U588" s="78"/>
      <c r="V588" s="78"/>
      <c r="W588" s="78" t="s">
        <v>114</v>
      </c>
      <c r="X588" s="78" t="s">
        <v>3713</v>
      </c>
      <c r="Y588" s="78">
        <v>1</v>
      </c>
      <c r="Z588" s="78" t="s">
        <v>48</v>
      </c>
      <c r="AA588" s="78" t="s">
        <v>225</v>
      </c>
      <c r="AB588" s="78">
        <v>2</v>
      </c>
    </row>
    <row r="589" spans="1:28" x14ac:dyDescent="0.25">
      <c r="A589" t="str">
        <f>IF(EXACT('BOM A320 FFS'!B809,obsoleta!D589),"OK","ERROR")</f>
        <v>ERROR</v>
      </c>
      <c r="C589" s="31" t="s">
        <v>108</v>
      </c>
      <c r="D589" s="71">
        <v>1263011603300</v>
      </c>
      <c r="E589" s="71"/>
      <c r="F589" s="32" t="s">
        <v>1092</v>
      </c>
      <c r="G589" s="32" t="s">
        <v>1093</v>
      </c>
      <c r="H589" s="28" t="s">
        <v>1094</v>
      </c>
      <c r="I589" s="28"/>
      <c r="J589" s="40">
        <v>4</v>
      </c>
      <c r="K589" s="30">
        <v>30</v>
      </c>
      <c r="L589" s="30">
        <v>120</v>
      </c>
      <c r="M589" s="26" t="s">
        <v>32</v>
      </c>
      <c r="N589" s="26">
        <v>1</v>
      </c>
      <c r="O589" s="41">
        <v>120</v>
      </c>
      <c r="P589" s="41" t="s">
        <v>33</v>
      </c>
      <c r="Q589" s="98">
        <v>45453</v>
      </c>
      <c r="R589" s="41" t="s">
        <v>62</v>
      </c>
      <c r="S589" s="30"/>
      <c r="T589" s="82">
        <v>2</v>
      </c>
      <c r="U589" s="82"/>
      <c r="V589" s="82"/>
      <c r="W589" s="82" t="s">
        <v>114</v>
      </c>
      <c r="X589" s="82" t="s">
        <v>3713</v>
      </c>
      <c r="Y589" s="82">
        <v>1</v>
      </c>
      <c r="Z589" s="82" t="s">
        <v>48</v>
      </c>
      <c r="AA589" s="82" t="s">
        <v>225</v>
      </c>
      <c r="AB589" s="82">
        <v>4</v>
      </c>
    </row>
    <row r="590" spans="1:28" x14ac:dyDescent="0.25">
      <c r="A590" t="str">
        <f>IF(EXACT('BOM A320 FFS'!B810,obsoleta!D590),"OK","ERROR")</f>
        <v>ERROR</v>
      </c>
      <c r="C590" s="39"/>
      <c r="D590" s="39"/>
      <c r="E590" s="39"/>
      <c r="F590" s="28"/>
      <c r="G590" s="28"/>
      <c r="H590" s="28"/>
      <c r="I590" s="28"/>
      <c r="J590" s="40"/>
      <c r="K590" s="30"/>
      <c r="L590" s="30"/>
      <c r="M590" s="26"/>
      <c r="N590" s="26"/>
      <c r="O590" s="41"/>
      <c r="P590" s="41"/>
      <c r="Q590" s="98"/>
      <c r="R590" s="41"/>
      <c r="S590" s="30"/>
      <c r="T590" s="82"/>
      <c r="U590" s="82"/>
      <c r="V590" s="82"/>
      <c r="W590" s="82"/>
      <c r="X590" s="82"/>
      <c r="Y590" s="82"/>
      <c r="Z590" s="82"/>
      <c r="AA590" s="82" t="s">
        <v>225</v>
      </c>
      <c r="AB590" s="82"/>
    </row>
    <row r="591" spans="1:28" x14ac:dyDescent="0.25">
      <c r="A591" t="str">
        <f>IF(EXACT('BOM A320 FFS'!B811,obsoleta!D591),"OK","ERROR")</f>
        <v>ERROR</v>
      </c>
      <c r="C591" s="48"/>
      <c r="D591" s="48" t="s">
        <v>3666</v>
      </c>
      <c r="E591" s="48"/>
      <c r="F591" s="28"/>
      <c r="G591" s="28"/>
      <c r="H591" s="32"/>
      <c r="I591" s="32"/>
      <c r="J591" s="33"/>
      <c r="K591" s="34"/>
      <c r="L591" s="35"/>
      <c r="M591" s="36"/>
      <c r="N591" s="37"/>
      <c r="O591" s="35"/>
      <c r="P591" s="35"/>
      <c r="Q591" s="97"/>
      <c r="R591" s="35"/>
      <c r="S591" s="38"/>
      <c r="T591" s="78"/>
      <c r="U591" s="78"/>
      <c r="V591" s="78"/>
      <c r="W591" s="78"/>
      <c r="X591" s="78"/>
      <c r="Y591" s="78"/>
      <c r="Z591" s="78"/>
      <c r="AA591" s="78" t="s">
        <v>225</v>
      </c>
      <c r="AB591" s="78"/>
    </row>
    <row r="592" spans="1:28" ht="39" x14ac:dyDescent="0.25">
      <c r="A592" t="str">
        <f>IF(EXACT('BOM A320 FFS'!B812,obsoleta!D592),"OK","ERROR")</f>
        <v>ERROR</v>
      </c>
      <c r="C592" s="31" t="s">
        <v>108</v>
      </c>
      <c r="D592" s="71">
        <v>1220117041000</v>
      </c>
      <c r="E592" s="71"/>
      <c r="F592" s="32" t="s">
        <v>1256</v>
      </c>
      <c r="G592" s="103" t="s">
        <v>1257</v>
      </c>
      <c r="H592" s="32"/>
      <c r="I592" s="32"/>
      <c r="J592" s="33">
        <v>100</v>
      </c>
      <c r="K592" s="34">
        <v>15</v>
      </c>
      <c r="L592" s="35">
        <v>1500</v>
      </c>
      <c r="M592" s="36" t="s">
        <v>32</v>
      </c>
      <c r="N592" s="37">
        <v>1</v>
      </c>
      <c r="O592" s="35">
        <v>1500</v>
      </c>
      <c r="P592" s="35" t="s">
        <v>33</v>
      </c>
      <c r="Q592" s="97">
        <v>45453</v>
      </c>
      <c r="R592" s="35" t="s">
        <v>62</v>
      </c>
      <c r="S592" s="38" t="s">
        <v>1246</v>
      </c>
      <c r="T592" s="78">
        <v>2</v>
      </c>
      <c r="U592" s="78"/>
      <c r="V592" s="78"/>
      <c r="W592" s="78" t="s">
        <v>114</v>
      </c>
      <c r="X592" s="78"/>
      <c r="Y592" s="78"/>
      <c r="Z592" s="78"/>
      <c r="AA592" s="78" t="s">
        <v>225</v>
      </c>
      <c r="AB592" s="78"/>
    </row>
    <row r="593" spans="1:28" x14ac:dyDescent="0.25">
      <c r="A593" t="str">
        <f>IF(EXACT('BOM A320 FFS'!B813,obsoleta!D593),"OK","ERROR")</f>
        <v>ERROR</v>
      </c>
      <c r="C593" s="31" t="s">
        <v>108</v>
      </c>
      <c r="D593" s="71">
        <v>1220115356000</v>
      </c>
      <c r="E593" s="71"/>
      <c r="F593" s="32" t="s">
        <v>1300</v>
      </c>
      <c r="G593" s="32"/>
      <c r="H593" s="32"/>
      <c r="I593" s="32"/>
      <c r="J593" s="33">
        <v>100</v>
      </c>
      <c r="K593" s="34">
        <v>12</v>
      </c>
      <c r="L593" s="35">
        <v>1200</v>
      </c>
      <c r="M593" s="36" t="s">
        <v>32</v>
      </c>
      <c r="N593" s="37">
        <v>1</v>
      </c>
      <c r="O593" s="35">
        <v>1200</v>
      </c>
      <c r="P593" s="35" t="s">
        <v>33</v>
      </c>
      <c r="Q593" s="97">
        <v>45453</v>
      </c>
      <c r="R593" s="35" t="s">
        <v>62</v>
      </c>
      <c r="S593" s="38" t="s">
        <v>1246</v>
      </c>
      <c r="T593" s="78">
        <v>2</v>
      </c>
      <c r="U593" s="78"/>
      <c r="V593" s="78"/>
      <c r="W593" s="78" t="s">
        <v>114</v>
      </c>
      <c r="X593" s="78" t="s">
        <v>3713</v>
      </c>
      <c r="Y593" s="78">
        <v>1</v>
      </c>
      <c r="Z593" s="78" t="s">
        <v>48</v>
      </c>
      <c r="AA593" s="78" t="s">
        <v>225</v>
      </c>
      <c r="AB593" s="78">
        <v>100</v>
      </c>
    </row>
    <row r="594" spans="1:28" ht="39" x14ac:dyDescent="0.25">
      <c r="A594" t="str">
        <f>IF(EXACT('BOM A320 FFS'!B814,obsoleta!D594),"OK","ERROR")</f>
        <v>ERROR</v>
      </c>
      <c r="C594" s="31" t="s">
        <v>108</v>
      </c>
      <c r="D594" s="71">
        <v>1220115045000</v>
      </c>
      <c r="E594" s="71"/>
      <c r="F594" s="32" t="s">
        <v>1302</v>
      </c>
      <c r="G594" s="103" t="s">
        <v>1303</v>
      </c>
      <c r="H594" s="32"/>
      <c r="I594" s="32"/>
      <c r="J594" s="33">
        <v>100</v>
      </c>
      <c r="K594" s="34">
        <v>12</v>
      </c>
      <c r="L594" s="35">
        <v>1200</v>
      </c>
      <c r="M594" s="36" t="s">
        <v>32</v>
      </c>
      <c r="N594" s="37">
        <v>1</v>
      </c>
      <c r="O594" s="35">
        <v>1200</v>
      </c>
      <c r="P594" s="35" t="s">
        <v>33</v>
      </c>
      <c r="Q594" s="97">
        <v>45453</v>
      </c>
      <c r="R594" s="35" t="s">
        <v>62</v>
      </c>
      <c r="S594" s="38" t="s">
        <v>1246</v>
      </c>
      <c r="T594" s="78">
        <v>2</v>
      </c>
      <c r="U594" s="78"/>
      <c r="V594" s="78"/>
      <c r="W594" s="78" t="s">
        <v>114</v>
      </c>
      <c r="X594" s="78" t="s">
        <v>3713</v>
      </c>
      <c r="Y594" s="78">
        <v>1</v>
      </c>
      <c r="Z594" s="78" t="s">
        <v>48</v>
      </c>
      <c r="AA594" s="78" t="s">
        <v>225</v>
      </c>
      <c r="AB594" s="78">
        <v>100</v>
      </c>
    </row>
    <row r="595" spans="1:28" ht="26.25" x14ac:dyDescent="0.25">
      <c r="A595" t="str">
        <f>IF(EXACT('BOM A320 FFS'!B815,obsoleta!D595),"OK","ERROR")</f>
        <v>ERROR</v>
      </c>
      <c r="C595" s="31" t="s">
        <v>108</v>
      </c>
      <c r="D595" s="71">
        <v>1220115502002</v>
      </c>
      <c r="E595" s="71"/>
      <c r="F595" s="32" t="s">
        <v>1305</v>
      </c>
      <c r="G595" s="103" t="s">
        <v>1306</v>
      </c>
      <c r="H595" s="32"/>
      <c r="I595" s="32"/>
      <c r="J595" s="33">
        <v>100</v>
      </c>
      <c r="K595" s="34">
        <v>12</v>
      </c>
      <c r="L595" s="35">
        <v>1200</v>
      </c>
      <c r="M595" s="36" t="s">
        <v>32</v>
      </c>
      <c r="N595" s="37">
        <v>1</v>
      </c>
      <c r="O595" s="35">
        <v>1200</v>
      </c>
      <c r="P595" s="35" t="s">
        <v>33</v>
      </c>
      <c r="Q595" s="97">
        <v>45453</v>
      </c>
      <c r="R595" s="35" t="s">
        <v>62</v>
      </c>
      <c r="S595" s="38" t="s">
        <v>1246</v>
      </c>
      <c r="T595" s="78">
        <v>2</v>
      </c>
      <c r="U595" s="78"/>
      <c r="V595" s="78"/>
      <c r="W595" s="78" t="s">
        <v>114</v>
      </c>
      <c r="X595" s="78" t="s">
        <v>3713</v>
      </c>
      <c r="Y595" s="78">
        <v>1</v>
      </c>
      <c r="Z595" s="78" t="s">
        <v>48</v>
      </c>
      <c r="AA595" s="78" t="s">
        <v>225</v>
      </c>
      <c r="AB595" s="78">
        <v>100</v>
      </c>
    </row>
    <row r="596" spans="1:28" x14ac:dyDescent="0.25">
      <c r="A596" t="str">
        <f>IF(EXACT('BOM A320 FFS'!B816,obsoleta!D596),"OK","ERROR")</f>
        <v>ERROR</v>
      </c>
      <c r="C596" s="31" t="s">
        <v>108</v>
      </c>
      <c r="D596" s="71">
        <v>1220115502001</v>
      </c>
      <c r="E596" s="71"/>
      <c r="F596" s="32" t="s">
        <v>1298</v>
      </c>
      <c r="G596" s="32"/>
      <c r="H596" s="32"/>
      <c r="I596" s="32"/>
      <c r="J596" s="33">
        <v>200</v>
      </c>
      <c r="K596" s="34">
        <v>12</v>
      </c>
      <c r="L596" s="35">
        <v>2400</v>
      </c>
      <c r="M596" s="36" t="s">
        <v>32</v>
      </c>
      <c r="N596" s="37">
        <v>1</v>
      </c>
      <c r="O596" s="35">
        <v>2400</v>
      </c>
      <c r="P596" s="35" t="s">
        <v>33</v>
      </c>
      <c r="Q596" s="97">
        <v>45453</v>
      </c>
      <c r="R596" s="35" t="s">
        <v>62</v>
      </c>
      <c r="S596" s="38" t="s">
        <v>1246</v>
      </c>
      <c r="T596" s="78">
        <v>2</v>
      </c>
      <c r="U596" s="78"/>
      <c r="V596" s="78"/>
      <c r="W596" s="78" t="s">
        <v>114</v>
      </c>
      <c r="X596" s="78" t="s">
        <v>3713</v>
      </c>
      <c r="Y596" s="78">
        <v>1</v>
      </c>
      <c r="Z596" s="78" t="s">
        <v>48</v>
      </c>
      <c r="AA596" s="78" t="s">
        <v>225</v>
      </c>
      <c r="AB596" s="78">
        <v>200</v>
      </c>
    </row>
    <row r="597" spans="1:28" ht="64.5" x14ac:dyDescent="0.25">
      <c r="A597" t="str">
        <f>IF(EXACT('BOM A320 FFS'!B817,obsoleta!D597),"OK","ERROR")</f>
        <v>ERROR</v>
      </c>
      <c r="C597" s="72" t="s">
        <v>3768</v>
      </c>
      <c r="D597" s="71">
        <v>1220314154502</v>
      </c>
      <c r="E597" s="71"/>
      <c r="F597" s="32" t="s">
        <v>1437</v>
      </c>
      <c r="G597" s="32" t="s">
        <v>1438</v>
      </c>
      <c r="H597" s="32"/>
      <c r="I597" s="32"/>
      <c r="J597" s="33">
        <v>300</v>
      </c>
      <c r="K597" s="34">
        <v>5</v>
      </c>
      <c r="L597" s="35">
        <v>1500</v>
      </c>
      <c r="M597" s="36" t="s">
        <v>32</v>
      </c>
      <c r="N597" s="37">
        <v>1</v>
      </c>
      <c r="O597" s="35">
        <v>1500</v>
      </c>
      <c r="P597" s="35" t="s">
        <v>33</v>
      </c>
      <c r="Q597" s="97">
        <v>45453</v>
      </c>
      <c r="R597" s="35" t="s">
        <v>62</v>
      </c>
      <c r="S597" s="38" t="s">
        <v>1246</v>
      </c>
      <c r="T597" s="78">
        <v>2</v>
      </c>
      <c r="U597" s="78"/>
      <c r="V597" s="78"/>
      <c r="W597" s="78" t="s">
        <v>114</v>
      </c>
      <c r="X597" s="78" t="s">
        <v>3713</v>
      </c>
      <c r="Y597" s="78">
        <v>1</v>
      </c>
      <c r="Z597" s="78" t="s">
        <v>48</v>
      </c>
      <c r="AA597" s="78" t="s">
        <v>225</v>
      </c>
      <c r="AB597" s="78">
        <v>600</v>
      </c>
    </row>
    <row r="598" spans="1:28" x14ac:dyDescent="0.25">
      <c r="A598" t="str">
        <f>IF(EXACT('BOM A320 FFS'!B818,obsoleta!D598),"OK","ERROR")</f>
        <v>ERROR</v>
      </c>
      <c r="C598" s="31" t="s">
        <v>108</v>
      </c>
      <c r="D598" s="71">
        <v>1220314254508</v>
      </c>
      <c r="E598" s="71"/>
      <c r="F598" s="32" t="s">
        <v>1379</v>
      </c>
      <c r="G598" s="32" t="s">
        <v>1380</v>
      </c>
      <c r="H598" s="32"/>
      <c r="I598" s="32"/>
      <c r="J598" s="33">
        <v>600</v>
      </c>
      <c r="K598" s="34">
        <v>8</v>
      </c>
      <c r="L598" s="35">
        <v>4800</v>
      </c>
      <c r="M598" s="36" t="s">
        <v>32</v>
      </c>
      <c r="N598" s="37">
        <v>1</v>
      </c>
      <c r="O598" s="35">
        <v>4800</v>
      </c>
      <c r="P598" s="35" t="s">
        <v>33</v>
      </c>
      <c r="Q598" s="97">
        <v>45453</v>
      </c>
      <c r="R598" s="35" t="s">
        <v>62</v>
      </c>
      <c r="S598" s="38" t="s">
        <v>1246</v>
      </c>
      <c r="T598" s="78">
        <v>2</v>
      </c>
      <c r="U598" s="78"/>
      <c r="V598" s="78"/>
      <c r="W598" s="78" t="s">
        <v>114</v>
      </c>
      <c r="X598" s="78" t="s">
        <v>3713</v>
      </c>
      <c r="Y598" s="78">
        <v>1</v>
      </c>
      <c r="Z598" s="78" t="s">
        <v>48</v>
      </c>
      <c r="AA598" s="78" t="s">
        <v>225</v>
      </c>
      <c r="AB598" s="78">
        <v>500</v>
      </c>
    </row>
    <row r="599" spans="1:28" x14ac:dyDescent="0.25">
      <c r="A599" t="str">
        <f>IF(EXACT('BOM A320 FFS'!B819,obsoleta!D599),"OK","ERROR")</f>
        <v>ERROR</v>
      </c>
      <c r="C599" s="31" t="s">
        <v>108</v>
      </c>
      <c r="D599" s="71">
        <v>1220314404100</v>
      </c>
      <c r="E599" s="71"/>
      <c r="F599" s="32" t="s">
        <v>1321</v>
      </c>
      <c r="G599" s="32" t="s">
        <v>1322</v>
      </c>
      <c r="H599" s="32"/>
      <c r="I599" s="32"/>
      <c r="J599" s="33">
        <v>300</v>
      </c>
      <c r="K599" s="34">
        <v>10</v>
      </c>
      <c r="L599" s="35">
        <v>3000</v>
      </c>
      <c r="M599" s="36" t="s">
        <v>32</v>
      </c>
      <c r="N599" s="37">
        <v>1</v>
      </c>
      <c r="O599" s="35">
        <v>3000</v>
      </c>
      <c r="P599" s="35" t="s">
        <v>33</v>
      </c>
      <c r="Q599" s="97">
        <v>45453</v>
      </c>
      <c r="R599" s="35" t="s">
        <v>62</v>
      </c>
      <c r="S599" s="38" t="s">
        <v>1246</v>
      </c>
      <c r="T599" s="78">
        <v>2</v>
      </c>
      <c r="U599" s="78"/>
      <c r="V599" s="78"/>
      <c r="W599" s="78" t="s">
        <v>114</v>
      </c>
      <c r="X599" s="78" t="s">
        <v>3713</v>
      </c>
      <c r="Y599" s="78">
        <v>1</v>
      </c>
      <c r="Z599" s="78" t="s">
        <v>48</v>
      </c>
      <c r="AA599" s="78" t="s">
        <v>225</v>
      </c>
      <c r="AB599" s="78">
        <v>300</v>
      </c>
    </row>
    <row r="600" spans="1:28" ht="26.25" x14ac:dyDescent="0.25">
      <c r="A600" t="str">
        <f>IF(EXACT('BOM A320 FFS'!B821,obsoleta!D600),"OK","ERROR")</f>
        <v>ERROR</v>
      </c>
      <c r="C600" s="31" t="s">
        <v>108</v>
      </c>
      <c r="D600" s="71">
        <v>1220314254505</v>
      </c>
      <c r="E600" s="71"/>
      <c r="F600" s="32" t="s">
        <v>1287</v>
      </c>
      <c r="G600" s="103" t="s">
        <v>1288</v>
      </c>
      <c r="H600" s="32"/>
      <c r="I600" s="32"/>
      <c r="J600" s="33">
        <v>200</v>
      </c>
      <c r="K600" s="34">
        <v>13</v>
      </c>
      <c r="L600" s="35">
        <v>2600</v>
      </c>
      <c r="M600" s="36" t="s">
        <v>32</v>
      </c>
      <c r="N600" s="37">
        <v>1</v>
      </c>
      <c r="O600" s="35">
        <v>2600</v>
      </c>
      <c r="P600" s="35" t="s">
        <v>33</v>
      </c>
      <c r="Q600" s="97">
        <v>45453</v>
      </c>
      <c r="R600" s="35" t="s">
        <v>62</v>
      </c>
      <c r="S600" s="38" t="s">
        <v>1246</v>
      </c>
      <c r="T600" s="78">
        <v>2</v>
      </c>
      <c r="U600" s="78"/>
      <c r="V600" s="78"/>
      <c r="W600" s="78" t="s">
        <v>114</v>
      </c>
      <c r="X600" s="78" t="s">
        <v>3713</v>
      </c>
      <c r="Y600" s="78">
        <v>1</v>
      </c>
      <c r="Z600" s="78" t="s">
        <v>48</v>
      </c>
      <c r="AA600" s="78" t="s">
        <v>225</v>
      </c>
      <c r="AB600" s="78">
        <v>200</v>
      </c>
    </row>
    <row r="601" spans="1:28" x14ac:dyDescent="0.25">
      <c r="A601" t="str">
        <f>IF(EXACT('BOM A320 FFS'!B822,obsoleta!D601),"OK","ERROR")</f>
        <v>ERROR</v>
      </c>
      <c r="C601" s="31" t="s">
        <v>108</v>
      </c>
      <c r="D601" s="71">
        <v>1220315404000</v>
      </c>
      <c r="E601" s="71"/>
      <c r="F601" s="32" t="s">
        <v>1244</v>
      </c>
      <c r="G601" s="32" t="s">
        <v>1245</v>
      </c>
      <c r="H601" s="32"/>
      <c r="I601" s="32"/>
      <c r="J601" s="33">
        <v>200</v>
      </c>
      <c r="K601" s="34">
        <v>16</v>
      </c>
      <c r="L601" s="35">
        <v>3200</v>
      </c>
      <c r="M601" s="36" t="s">
        <v>32</v>
      </c>
      <c r="N601" s="37">
        <v>1</v>
      </c>
      <c r="O601" s="35">
        <v>3200</v>
      </c>
      <c r="P601" s="35" t="s">
        <v>33</v>
      </c>
      <c r="Q601" s="97">
        <v>45453</v>
      </c>
      <c r="R601" s="35" t="s">
        <v>62</v>
      </c>
      <c r="S601" s="38" t="s">
        <v>1246</v>
      </c>
      <c r="T601" s="78">
        <v>2</v>
      </c>
      <c r="U601" s="78"/>
      <c r="V601" s="78"/>
      <c r="W601" s="78" t="s">
        <v>114</v>
      </c>
      <c r="X601" s="78" t="s">
        <v>3713</v>
      </c>
      <c r="Y601" s="78">
        <v>1</v>
      </c>
      <c r="Z601" s="78" t="s">
        <v>48</v>
      </c>
      <c r="AA601" s="78" t="s">
        <v>225</v>
      </c>
      <c r="AB601" s="78">
        <v>200</v>
      </c>
    </row>
    <row r="602" spans="1:28" x14ac:dyDescent="0.25">
      <c r="A602" t="str">
        <f>IF(EXACT('BOM A320 FFS'!B823,obsoleta!D602),"OK","ERROR")</f>
        <v>ERROR</v>
      </c>
      <c r="C602" s="31" t="s">
        <v>108</v>
      </c>
      <c r="D602" s="71" t="s">
        <v>70</v>
      </c>
      <c r="E602" s="71"/>
      <c r="F602" s="32" t="s">
        <v>1453</v>
      </c>
      <c r="G602" s="32" t="s">
        <v>1454</v>
      </c>
      <c r="H602" s="32"/>
      <c r="I602" s="32"/>
      <c r="J602" s="33">
        <v>3</v>
      </c>
      <c r="K602" s="34">
        <v>5</v>
      </c>
      <c r="L602" s="35">
        <v>15</v>
      </c>
      <c r="M602" s="36" t="s">
        <v>32</v>
      </c>
      <c r="N602" s="37">
        <v>1</v>
      </c>
      <c r="O602" s="35">
        <v>15</v>
      </c>
      <c r="P602" s="35" t="s">
        <v>33</v>
      </c>
      <c r="Q602" s="97">
        <v>45453</v>
      </c>
      <c r="R602" s="35" t="s">
        <v>62</v>
      </c>
      <c r="S602" s="38" t="s">
        <v>1246</v>
      </c>
      <c r="T602" s="78">
        <v>2</v>
      </c>
      <c r="U602" s="78"/>
      <c r="V602" s="78"/>
      <c r="W602" s="78" t="s">
        <v>114</v>
      </c>
      <c r="X602" s="78"/>
      <c r="Y602" s="78"/>
      <c r="Z602" s="78"/>
      <c r="AA602" s="78" t="s">
        <v>225</v>
      </c>
      <c r="AB602" s="78"/>
    </row>
    <row r="603" spans="1:28" x14ac:dyDescent="0.25">
      <c r="A603" t="str">
        <f>IF(EXACT('BOM A320 FFS'!B824,obsoleta!D603),"OK","ERROR")</f>
        <v>ERROR</v>
      </c>
      <c r="C603" s="31" t="s">
        <v>108</v>
      </c>
      <c r="D603" s="31" t="s">
        <v>70</v>
      </c>
      <c r="E603" s="31"/>
      <c r="F603" s="32" t="s">
        <v>1416</v>
      </c>
      <c r="G603" s="32" t="s">
        <v>1417</v>
      </c>
      <c r="H603" s="32"/>
      <c r="I603" s="32"/>
      <c r="J603" s="33">
        <v>2</v>
      </c>
      <c r="K603" s="34">
        <v>7</v>
      </c>
      <c r="L603" s="35">
        <v>14</v>
      </c>
      <c r="M603" s="36" t="s">
        <v>32</v>
      </c>
      <c r="N603" s="37">
        <v>1</v>
      </c>
      <c r="O603" s="35">
        <v>14</v>
      </c>
      <c r="P603" s="35" t="s">
        <v>33</v>
      </c>
      <c r="Q603" s="97">
        <v>45453</v>
      </c>
      <c r="R603" s="35" t="s">
        <v>62</v>
      </c>
      <c r="S603" s="38" t="s">
        <v>1246</v>
      </c>
      <c r="T603" s="78">
        <v>2</v>
      </c>
      <c r="U603" s="78"/>
      <c r="V603" s="78"/>
      <c r="W603" s="78" t="s">
        <v>114</v>
      </c>
      <c r="X603" s="78"/>
      <c r="Y603" s="78"/>
      <c r="Z603" s="78"/>
      <c r="AA603" s="78" t="s">
        <v>225</v>
      </c>
      <c r="AB603" s="78"/>
    </row>
    <row r="604" spans="1:28" ht="26.25" x14ac:dyDescent="0.25">
      <c r="A604" t="str">
        <f>IF(EXACT('BOM A320 FFS'!B825,obsoleta!D604),"OK","ERROR")</f>
        <v>ERROR</v>
      </c>
      <c r="C604" s="31" t="s">
        <v>108</v>
      </c>
      <c r="D604" s="71">
        <v>1220115100000</v>
      </c>
      <c r="E604" s="71"/>
      <c r="F604" s="32" t="s">
        <v>1382</v>
      </c>
      <c r="G604" s="103" t="s">
        <v>1383</v>
      </c>
      <c r="H604" s="32"/>
      <c r="I604" s="32"/>
      <c r="J604" s="33">
        <v>100</v>
      </c>
      <c r="K604" s="34">
        <v>8</v>
      </c>
      <c r="L604" s="35">
        <v>800</v>
      </c>
      <c r="M604" s="36" t="s">
        <v>32</v>
      </c>
      <c r="N604" s="37">
        <v>1</v>
      </c>
      <c r="O604" s="35">
        <v>800</v>
      </c>
      <c r="P604" s="35" t="s">
        <v>33</v>
      </c>
      <c r="Q604" s="97">
        <v>45453</v>
      </c>
      <c r="R604" s="35" t="s">
        <v>62</v>
      </c>
      <c r="S604" s="38" t="s">
        <v>1246</v>
      </c>
      <c r="T604" s="78">
        <v>2</v>
      </c>
      <c r="U604" s="78"/>
      <c r="V604" s="78"/>
      <c r="W604" s="78" t="s">
        <v>114</v>
      </c>
      <c r="X604" s="78" t="s">
        <v>3713</v>
      </c>
      <c r="Y604" s="78">
        <v>1</v>
      </c>
      <c r="Z604" s="78" t="s">
        <v>48</v>
      </c>
      <c r="AA604" s="78" t="s">
        <v>225</v>
      </c>
      <c r="AB604" s="78">
        <v>100</v>
      </c>
    </row>
    <row r="605" spans="1:28" x14ac:dyDescent="0.25">
      <c r="A605" t="str">
        <f>IF(EXACT('BOM A320 FFS'!B826,obsoleta!D605),"OK","ERROR")</f>
        <v>ERROR</v>
      </c>
      <c r="C605" s="31" t="s">
        <v>108</v>
      </c>
      <c r="D605" s="71">
        <v>1220115163700</v>
      </c>
      <c r="E605" s="71"/>
      <c r="F605" s="32" t="s">
        <v>1363</v>
      </c>
      <c r="G605" s="32" t="s">
        <v>1364</v>
      </c>
      <c r="H605" s="32"/>
      <c r="I605" s="32"/>
      <c r="J605" s="33">
        <v>100</v>
      </c>
      <c r="K605" s="34">
        <v>9</v>
      </c>
      <c r="L605" s="35">
        <v>900</v>
      </c>
      <c r="M605" s="36" t="s">
        <v>32</v>
      </c>
      <c r="N605" s="37">
        <v>1</v>
      </c>
      <c r="O605" s="35">
        <v>900</v>
      </c>
      <c r="P605" s="35" t="s">
        <v>33</v>
      </c>
      <c r="Q605" s="97">
        <v>45453</v>
      </c>
      <c r="R605" s="35" t="s">
        <v>62</v>
      </c>
      <c r="S605" s="38" t="s">
        <v>1246</v>
      </c>
      <c r="T605" s="78">
        <v>2</v>
      </c>
      <c r="U605" s="78"/>
      <c r="V605" s="78"/>
      <c r="W605" s="78" t="s">
        <v>114</v>
      </c>
      <c r="X605" s="78" t="s">
        <v>3713</v>
      </c>
      <c r="Y605" s="78">
        <v>1</v>
      </c>
      <c r="Z605" s="78" t="s">
        <v>48</v>
      </c>
      <c r="AA605" s="78" t="s">
        <v>225</v>
      </c>
      <c r="AB605" s="78">
        <v>100</v>
      </c>
    </row>
    <row r="606" spans="1:28" x14ac:dyDescent="0.25">
      <c r="A606" t="str">
        <f>IF(EXACT('BOM A320 FFS'!B827,obsoleta!D606),"OK","ERROR")</f>
        <v>ERROR</v>
      </c>
      <c r="C606" s="31" t="s">
        <v>108</v>
      </c>
      <c r="D606" s="31" t="s">
        <v>70</v>
      </c>
      <c r="E606" s="31"/>
      <c r="F606" s="32" t="s">
        <v>1498</v>
      </c>
      <c r="G606" s="32" t="s">
        <v>1499</v>
      </c>
      <c r="H606" s="32"/>
      <c r="I606" s="32"/>
      <c r="J606" s="33">
        <v>30</v>
      </c>
      <c r="K606" s="34">
        <v>4</v>
      </c>
      <c r="L606" s="35">
        <v>120</v>
      </c>
      <c r="M606" s="36" t="s">
        <v>32</v>
      </c>
      <c r="N606" s="37">
        <v>1</v>
      </c>
      <c r="O606" s="35">
        <v>120</v>
      </c>
      <c r="P606" s="35" t="s">
        <v>33</v>
      </c>
      <c r="Q606" s="97">
        <v>45453</v>
      </c>
      <c r="R606" s="35" t="s">
        <v>62</v>
      </c>
      <c r="S606" s="38" t="s">
        <v>1246</v>
      </c>
      <c r="T606" s="78">
        <v>2</v>
      </c>
      <c r="U606" s="78"/>
      <c r="V606" s="78"/>
      <c r="W606" s="78" t="s">
        <v>114</v>
      </c>
      <c r="X606" s="78"/>
      <c r="Y606" s="78"/>
      <c r="Z606" s="78"/>
      <c r="AA606" s="78" t="s">
        <v>225</v>
      </c>
      <c r="AB606" s="78"/>
    </row>
    <row r="607" spans="1:28" x14ac:dyDescent="0.25">
      <c r="A607" t="str">
        <f>IF(EXACT('BOM A320 FFS'!B828,obsoleta!D607),"OK","ERROR")</f>
        <v>ERROR</v>
      </c>
      <c r="C607" s="31" t="s">
        <v>108</v>
      </c>
      <c r="D607" s="71">
        <v>1229590001001</v>
      </c>
      <c r="E607" s="71"/>
      <c r="F607" s="32" t="s">
        <v>1496</v>
      </c>
      <c r="G607" s="32" t="s">
        <v>1497</v>
      </c>
      <c r="H607" s="32"/>
      <c r="I607" s="32"/>
      <c r="J607" s="33">
        <v>30</v>
      </c>
      <c r="K607" s="34">
        <v>4</v>
      </c>
      <c r="L607" s="35">
        <v>120</v>
      </c>
      <c r="M607" s="36" t="s">
        <v>32</v>
      </c>
      <c r="N607" s="37">
        <v>1</v>
      </c>
      <c r="O607" s="35">
        <v>120</v>
      </c>
      <c r="P607" s="35" t="s">
        <v>33</v>
      </c>
      <c r="Q607" s="97">
        <v>45453</v>
      </c>
      <c r="R607" s="35" t="s">
        <v>62</v>
      </c>
      <c r="S607" s="38" t="s">
        <v>1246</v>
      </c>
      <c r="T607" s="78">
        <v>2</v>
      </c>
      <c r="U607" s="78"/>
      <c r="V607" s="78"/>
      <c r="W607" s="78" t="s">
        <v>114</v>
      </c>
      <c r="X607" s="78" t="s">
        <v>3713</v>
      </c>
      <c r="Y607" s="78">
        <v>1</v>
      </c>
      <c r="Z607" s="78" t="s">
        <v>48</v>
      </c>
      <c r="AA607" s="78" t="s">
        <v>225</v>
      </c>
      <c r="AB607" s="78">
        <v>30</v>
      </c>
    </row>
    <row r="608" spans="1:28" x14ac:dyDescent="0.25">
      <c r="A608" t="str">
        <f>IF(EXACT('BOM A320 FFS'!B829,obsoleta!D608),"OK","ERROR")</f>
        <v>ERROR</v>
      </c>
      <c r="C608" s="31" t="s">
        <v>108</v>
      </c>
      <c r="D608" s="71">
        <v>1229591010007</v>
      </c>
      <c r="E608" s="71"/>
      <c r="F608" s="32" t="s">
        <v>1410</v>
      </c>
      <c r="G608" s="32" t="s">
        <v>1411</v>
      </c>
      <c r="H608" s="32"/>
      <c r="I608" s="32"/>
      <c r="J608" s="33">
        <v>30</v>
      </c>
      <c r="K608" s="34">
        <v>7</v>
      </c>
      <c r="L608" s="35">
        <v>210</v>
      </c>
      <c r="M608" s="36" t="s">
        <v>32</v>
      </c>
      <c r="N608" s="37">
        <v>1</v>
      </c>
      <c r="O608" s="35">
        <v>210</v>
      </c>
      <c r="P608" s="35" t="s">
        <v>33</v>
      </c>
      <c r="Q608" s="97">
        <v>45453</v>
      </c>
      <c r="R608" s="35" t="s">
        <v>62</v>
      </c>
      <c r="S608" s="38" t="s">
        <v>1246</v>
      </c>
      <c r="T608" s="78">
        <v>2</v>
      </c>
      <c r="U608" s="78"/>
      <c r="V608" s="78"/>
      <c r="W608" s="78" t="s">
        <v>114</v>
      </c>
      <c r="X608" s="78" t="s">
        <v>3713</v>
      </c>
      <c r="Y608" s="78">
        <v>1</v>
      </c>
      <c r="Z608" s="78" t="s">
        <v>48</v>
      </c>
      <c r="AA608" s="78" t="s">
        <v>225</v>
      </c>
      <c r="AB608" s="78">
        <v>30</v>
      </c>
    </row>
    <row r="609" spans="1:28" x14ac:dyDescent="0.25">
      <c r="A609" t="str">
        <f>IF(EXACT('BOM A320 FFS'!B830,obsoleta!D609),"OK","ERROR")</f>
        <v>ERROR</v>
      </c>
      <c r="C609" s="31" t="s">
        <v>108</v>
      </c>
      <c r="D609" s="71">
        <v>1208000300300</v>
      </c>
      <c r="E609" s="71"/>
      <c r="F609" s="32" t="s">
        <v>1413</v>
      </c>
      <c r="G609" s="32" t="s">
        <v>1414</v>
      </c>
      <c r="H609" s="32"/>
      <c r="I609" s="32"/>
      <c r="J609" s="33">
        <v>12</v>
      </c>
      <c r="K609" s="34">
        <v>7</v>
      </c>
      <c r="L609" s="35">
        <v>84</v>
      </c>
      <c r="M609" s="36" t="s">
        <v>32</v>
      </c>
      <c r="N609" s="37">
        <v>1</v>
      </c>
      <c r="O609" s="35">
        <v>84</v>
      </c>
      <c r="P609" s="35" t="s">
        <v>33</v>
      </c>
      <c r="Q609" s="97">
        <v>45453</v>
      </c>
      <c r="R609" s="35" t="s">
        <v>62</v>
      </c>
      <c r="S609" s="38"/>
      <c r="T609" s="78">
        <v>2</v>
      </c>
      <c r="U609" s="78"/>
      <c r="V609" s="78"/>
      <c r="W609" s="78" t="s">
        <v>114</v>
      </c>
      <c r="X609" s="78" t="s">
        <v>3713</v>
      </c>
      <c r="Y609" s="78">
        <v>1</v>
      </c>
      <c r="Z609" s="78" t="s">
        <v>48</v>
      </c>
      <c r="AA609" s="78" t="s">
        <v>225</v>
      </c>
      <c r="AB609" s="78">
        <v>15</v>
      </c>
    </row>
    <row r="610" spans="1:28" x14ac:dyDescent="0.25">
      <c r="A610" t="str">
        <f>IF(EXACT('BOM A320 FFS'!B831,obsoleta!D610),"OK","ERROR")</f>
        <v>ERROR</v>
      </c>
      <c r="C610" s="31" t="s">
        <v>108</v>
      </c>
      <c r="D610" s="71">
        <v>1237790902100</v>
      </c>
      <c r="E610" s="71"/>
      <c r="F610" s="32" t="s">
        <v>1526</v>
      </c>
      <c r="G610" s="32" t="s">
        <v>1527</v>
      </c>
      <c r="H610" s="32"/>
      <c r="I610" s="32"/>
      <c r="J610" s="33">
        <v>50</v>
      </c>
      <c r="K610" s="34">
        <v>4</v>
      </c>
      <c r="L610" s="35">
        <v>200</v>
      </c>
      <c r="M610" s="36" t="s">
        <v>32</v>
      </c>
      <c r="N610" s="37">
        <v>1</v>
      </c>
      <c r="O610" s="35">
        <v>200</v>
      </c>
      <c r="P610" s="35" t="s">
        <v>33</v>
      </c>
      <c r="Q610" s="97">
        <v>45453</v>
      </c>
      <c r="R610" s="35" t="s">
        <v>62</v>
      </c>
      <c r="S610" s="38"/>
      <c r="T610" s="78">
        <v>2</v>
      </c>
      <c r="U610" s="78"/>
      <c r="V610" s="78"/>
      <c r="W610" s="78" t="s">
        <v>114</v>
      </c>
      <c r="X610" s="78"/>
      <c r="Y610" s="78"/>
      <c r="Z610" s="78"/>
      <c r="AA610" s="78" t="s">
        <v>225</v>
      </c>
      <c r="AB610" s="78"/>
    </row>
    <row r="611" spans="1:28" x14ac:dyDescent="0.25">
      <c r="A611" t="str">
        <f>IF(EXACT('BOM A320 FFS'!B832,obsoleta!D611),"OK","ERROR")</f>
        <v>ERROR</v>
      </c>
      <c r="C611" s="31" t="s">
        <v>108</v>
      </c>
      <c r="D611" s="71">
        <v>1237790900000</v>
      </c>
      <c r="E611" s="71"/>
      <c r="F611" s="32" t="s">
        <v>1477</v>
      </c>
      <c r="G611" s="32" t="s">
        <v>1478</v>
      </c>
      <c r="H611" s="32"/>
      <c r="I611" s="32"/>
      <c r="J611" s="33">
        <v>50</v>
      </c>
      <c r="K611" s="34">
        <v>4</v>
      </c>
      <c r="L611" s="35">
        <v>200</v>
      </c>
      <c r="M611" s="36" t="s">
        <v>32</v>
      </c>
      <c r="N611" s="37">
        <v>1</v>
      </c>
      <c r="O611" s="35">
        <v>200</v>
      </c>
      <c r="P611" s="35" t="s">
        <v>33</v>
      </c>
      <c r="Q611" s="97">
        <v>45453</v>
      </c>
      <c r="R611" s="35" t="s">
        <v>62</v>
      </c>
      <c r="S611" s="38"/>
      <c r="T611" s="78">
        <v>2</v>
      </c>
      <c r="U611" s="78"/>
      <c r="V611" s="78"/>
      <c r="W611" s="78" t="s">
        <v>114</v>
      </c>
      <c r="X611" s="78"/>
      <c r="Y611" s="78"/>
      <c r="Z611" s="78"/>
      <c r="AA611" s="78" t="s">
        <v>225</v>
      </c>
      <c r="AB611" s="78"/>
    </row>
    <row r="612" spans="1:28" x14ac:dyDescent="0.25">
      <c r="A612" t="str">
        <f>IF(EXACT('BOM A320 FFS'!B833,obsoleta!D612),"OK","ERROR")</f>
        <v>ERROR</v>
      </c>
      <c r="C612" s="31" t="s">
        <v>108</v>
      </c>
      <c r="D612" s="71">
        <v>1238015500102</v>
      </c>
      <c r="E612" s="71"/>
      <c r="F612" s="32" t="s">
        <v>1480</v>
      </c>
      <c r="G612" s="32" t="s">
        <v>1481</v>
      </c>
      <c r="H612" s="32"/>
      <c r="I612" s="32"/>
      <c r="J612" s="33">
        <v>50</v>
      </c>
      <c r="K612" s="34">
        <v>4</v>
      </c>
      <c r="L612" s="35">
        <v>200</v>
      </c>
      <c r="M612" s="36" t="s">
        <v>32</v>
      </c>
      <c r="N612" s="37">
        <v>1</v>
      </c>
      <c r="O612" s="35">
        <v>200</v>
      </c>
      <c r="P612" s="35" t="s">
        <v>33</v>
      </c>
      <c r="Q612" s="97">
        <v>45453</v>
      </c>
      <c r="R612" s="35" t="s">
        <v>62</v>
      </c>
      <c r="S612" s="38"/>
      <c r="T612" s="78">
        <v>2</v>
      </c>
      <c r="U612" s="78"/>
      <c r="V612" s="78"/>
      <c r="W612" s="78" t="s">
        <v>114</v>
      </c>
      <c r="X612" s="78" t="s">
        <v>3713</v>
      </c>
      <c r="Y612" s="78">
        <v>1</v>
      </c>
      <c r="Z612" s="78" t="s">
        <v>48</v>
      </c>
      <c r="AA612" s="78" t="s">
        <v>225</v>
      </c>
      <c r="AB612" s="78">
        <v>50</v>
      </c>
    </row>
    <row r="613" spans="1:28" x14ac:dyDescent="0.25">
      <c r="A613" t="str">
        <f>IF(EXACT('BOM A320 FFS'!B834,obsoleta!D613),"OK","ERROR")</f>
        <v>ERROR</v>
      </c>
      <c r="C613" s="31" t="s">
        <v>108</v>
      </c>
      <c r="D613" s="71">
        <v>1238015350100</v>
      </c>
      <c r="E613" s="71"/>
      <c r="F613" s="32" t="s">
        <v>1523</v>
      </c>
      <c r="G613" s="32" t="s">
        <v>1524</v>
      </c>
      <c r="H613" s="32"/>
      <c r="I613" s="32"/>
      <c r="J613" s="33">
        <v>2</v>
      </c>
      <c r="K613" s="34">
        <v>4</v>
      </c>
      <c r="L613" s="35">
        <v>8</v>
      </c>
      <c r="M613" s="36" t="s">
        <v>32</v>
      </c>
      <c r="N613" s="37">
        <v>1</v>
      </c>
      <c r="O613" s="35">
        <v>8</v>
      </c>
      <c r="P613" s="35" t="s">
        <v>33</v>
      </c>
      <c r="Q613" s="97">
        <v>45453</v>
      </c>
      <c r="R613" s="35" t="s">
        <v>62</v>
      </c>
      <c r="S613" s="38"/>
      <c r="T613" s="78">
        <v>2</v>
      </c>
      <c r="U613" s="78"/>
      <c r="V613" s="78"/>
      <c r="W613" s="78" t="s">
        <v>114</v>
      </c>
      <c r="X613" s="78" t="s">
        <v>3713</v>
      </c>
      <c r="Y613" s="78">
        <v>1</v>
      </c>
      <c r="Z613" s="78" t="s">
        <v>48</v>
      </c>
      <c r="AA613" s="78" t="s">
        <v>225</v>
      </c>
      <c r="AB613" s="78">
        <v>50</v>
      </c>
    </row>
    <row r="614" spans="1:28" x14ac:dyDescent="0.25">
      <c r="A614" t="str">
        <f>IF(EXACT('BOM A320 FFS'!B838,obsoleta!D614),"OK","ERROR")</f>
        <v>ERROR</v>
      </c>
      <c r="C614" s="31" t="s">
        <v>108</v>
      </c>
      <c r="D614" s="71">
        <v>1238514350100</v>
      </c>
      <c r="E614" s="71"/>
      <c r="F614" s="32" t="s">
        <v>1577</v>
      </c>
      <c r="G614" s="32" t="s">
        <v>1578</v>
      </c>
      <c r="H614" s="32"/>
      <c r="I614" s="32"/>
      <c r="J614" s="33">
        <v>2</v>
      </c>
      <c r="K614" s="34">
        <v>3</v>
      </c>
      <c r="L614" s="35">
        <v>6</v>
      </c>
      <c r="M614" s="36" t="s">
        <v>32</v>
      </c>
      <c r="N614" s="37">
        <v>1</v>
      </c>
      <c r="O614" s="35">
        <v>6</v>
      </c>
      <c r="P614" s="35" t="s">
        <v>33</v>
      </c>
      <c r="Q614" s="97">
        <v>45453</v>
      </c>
      <c r="R614" s="35" t="s">
        <v>62</v>
      </c>
      <c r="S614" s="38"/>
      <c r="T614" s="78">
        <v>2</v>
      </c>
      <c r="U614" s="78"/>
      <c r="V614" s="78"/>
      <c r="W614" s="78" t="s">
        <v>114</v>
      </c>
      <c r="X614" s="78" t="s">
        <v>3713</v>
      </c>
      <c r="Y614" s="78">
        <v>1</v>
      </c>
      <c r="Z614" s="78" t="s">
        <v>48</v>
      </c>
      <c r="AA614" s="78" t="s">
        <v>225</v>
      </c>
      <c r="AB614" s="78">
        <v>50</v>
      </c>
    </row>
    <row r="615" spans="1:28" x14ac:dyDescent="0.25">
      <c r="A615" t="str">
        <f>IF(EXACT('BOM A320 FFS'!B839,obsoleta!D615),"OK","ERROR")</f>
        <v>ERROR</v>
      </c>
      <c r="C615" s="31" t="s">
        <v>108</v>
      </c>
      <c r="D615" s="31" t="s">
        <v>70</v>
      </c>
      <c r="E615" s="31"/>
      <c r="F615" s="32" t="s">
        <v>1764</v>
      </c>
      <c r="G615" s="32" t="s">
        <v>1484</v>
      </c>
      <c r="H615" s="32"/>
      <c r="I615" s="32"/>
      <c r="J615" s="33">
        <v>100</v>
      </c>
      <c r="K615" s="34">
        <v>1</v>
      </c>
      <c r="L615" s="35">
        <v>100</v>
      </c>
      <c r="M615" s="36" t="s">
        <v>32</v>
      </c>
      <c r="N615" s="37">
        <v>1</v>
      </c>
      <c r="O615" s="35">
        <v>100</v>
      </c>
      <c r="P615" s="35" t="s">
        <v>33</v>
      </c>
      <c r="Q615" s="97">
        <v>45453</v>
      </c>
      <c r="R615" s="35" t="s">
        <v>62</v>
      </c>
      <c r="S615" s="38"/>
      <c r="T615" s="78">
        <v>2</v>
      </c>
      <c r="U615" s="78"/>
      <c r="V615" s="78"/>
      <c r="W615" s="78" t="s">
        <v>114</v>
      </c>
      <c r="X615" s="78"/>
      <c r="Y615" s="78"/>
      <c r="Z615" s="78"/>
      <c r="AA615" s="78" t="s">
        <v>225</v>
      </c>
      <c r="AB615" s="78"/>
    </row>
    <row r="616" spans="1:28" x14ac:dyDescent="0.25">
      <c r="A616" t="str">
        <f>IF(EXACT('BOM A320 FFS'!B840,obsoleta!D616),"OK","ERROR")</f>
        <v>ERROR</v>
      </c>
      <c r="C616" s="31" t="s">
        <v>108</v>
      </c>
      <c r="D616" s="71">
        <v>1238500100409</v>
      </c>
      <c r="E616" s="71"/>
      <c r="F616" s="32" t="s">
        <v>1762</v>
      </c>
      <c r="G616" s="32" t="s">
        <v>1763</v>
      </c>
      <c r="H616" s="32"/>
      <c r="I616" s="32"/>
      <c r="J616" s="33">
        <v>100</v>
      </c>
      <c r="K616" s="34">
        <v>1</v>
      </c>
      <c r="L616" s="35">
        <v>100</v>
      </c>
      <c r="M616" s="36" t="s">
        <v>32</v>
      </c>
      <c r="N616" s="37">
        <v>1</v>
      </c>
      <c r="O616" s="35">
        <v>100</v>
      </c>
      <c r="P616" s="35" t="s">
        <v>33</v>
      </c>
      <c r="Q616" s="97">
        <v>45453</v>
      </c>
      <c r="R616" s="35" t="s">
        <v>62</v>
      </c>
      <c r="S616" s="38"/>
      <c r="T616" s="78">
        <v>2</v>
      </c>
      <c r="U616" s="78"/>
      <c r="V616" s="78"/>
      <c r="W616" s="78" t="s">
        <v>114</v>
      </c>
      <c r="X616" s="78" t="s">
        <v>3713</v>
      </c>
      <c r="Y616" s="78">
        <v>1</v>
      </c>
      <c r="Z616" s="78" t="s">
        <v>48</v>
      </c>
      <c r="AA616" s="78" t="s">
        <v>225</v>
      </c>
      <c r="AB616" s="78">
        <v>100</v>
      </c>
    </row>
    <row r="617" spans="1:28" x14ac:dyDescent="0.25">
      <c r="A617" t="str">
        <f>IF(EXACT('BOM A320 FFS'!B841,obsoleta!D617),"OK","ERROR")</f>
        <v>ERROR</v>
      </c>
      <c r="C617" s="31" t="s">
        <v>108</v>
      </c>
      <c r="D617" s="31" t="s">
        <v>70</v>
      </c>
      <c r="E617" s="31"/>
      <c r="F617" s="32" t="s">
        <v>1768</v>
      </c>
      <c r="G617" s="32" t="s">
        <v>1769</v>
      </c>
      <c r="H617" s="32"/>
      <c r="I617" s="32"/>
      <c r="J617" s="33">
        <v>50</v>
      </c>
      <c r="K617" s="34">
        <v>1</v>
      </c>
      <c r="L617" s="35">
        <v>50</v>
      </c>
      <c r="M617" s="36" t="s">
        <v>32</v>
      </c>
      <c r="N617" s="37">
        <v>1</v>
      </c>
      <c r="O617" s="35">
        <v>50</v>
      </c>
      <c r="P617" s="35" t="s">
        <v>33</v>
      </c>
      <c r="Q617" s="97">
        <v>45453</v>
      </c>
      <c r="R617" s="35" t="s">
        <v>62</v>
      </c>
      <c r="S617" s="38"/>
      <c r="T617" s="78">
        <v>2</v>
      </c>
      <c r="U617" s="78"/>
      <c r="V617" s="78"/>
      <c r="W617" s="78" t="s">
        <v>114</v>
      </c>
      <c r="X617" s="78"/>
      <c r="Y617" s="78"/>
      <c r="Z617" s="78"/>
      <c r="AA617" s="78" t="s">
        <v>225</v>
      </c>
      <c r="AB617" s="78"/>
    </row>
    <row r="618" spans="1:28" x14ac:dyDescent="0.25">
      <c r="A618" t="str">
        <f>IF(EXACT('BOM A320 FFS'!B842,obsoleta!D618),"OK","ERROR")</f>
        <v>ERROR</v>
      </c>
      <c r="C618" s="31" t="s">
        <v>108</v>
      </c>
      <c r="D618" s="71">
        <v>1238000070300</v>
      </c>
      <c r="E618" s="71"/>
      <c r="F618" s="32" t="s">
        <v>1768</v>
      </c>
      <c r="G618" s="32" t="s">
        <v>1777</v>
      </c>
      <c r="H618" s="32"/>
      <c r="I618" s="32"/>
      <c r="J618" s="33">
        <v>25</v>
      </c>
      <c r="K618" s="34">
        <v>1</v>
      </c>
      <c r="L618" s="35">
        <v>25</v>
      </c>
      <c r="M618" s="36" t="s">
        <v>32</v>
      </c>
      <c r="N618" s="37">
        <v>1</v>
      </c>
      <c r="O618" s="35">
        <v>25</v>
      </c>
      <c r="P618" s="35" t="s">
        <v>33</v>
      </c>
      <c r="Q618" s="97">
        <v>45453</v>
      </c>
      <c r="R618" s="35" t="s">
        <v>62</v>
      </c>
      <c r="S618" s="38"/>
      <c r="T618" s="78">
        <v>2</v>
      </c>
      <c r="U618" s="78"/>
      <c r="V618" s="78"/>
      <c r="W618" s="78" t="s">
        <v>114</v>
      </c>
      <c r="X618" s="78" t="s">
        <v>3713</v>
      </c>
      <c r="Y618" s="78">
        <v>1</v>
      </c>
      <c r="Z618" s="78" t="s">
        <v>48</v>
      </c>
      <c r="AA618" s="78" t="s">
        <v>225</v>
      </c>
      <c r="AB618" s="78">
        <v>100</v>
      </c>
    </row>
    <row r="619" spans="1:28" x14ac:dyDescent="0.25">
      <c r="A619" t="str">
        <f>IF(EXACT('BOM A320 FFS'!B843,obsoleta!D619),"OK","ERROR")</f>
        <v>ERROR</v>
      </c>
      <c r="C619" s="31" t="s">
        <v>108</v>
      </c>
      <c r="D619" s="71">
        <v>1237790902000</v>
      </c>
      <c r="E619" s="71"/>
      <c r="F619" s="32" t="s">
        <v>1771</v>
      </c>
      <c r="G619" s="32" t="s">
        <v>1772</v>
      </c>
      <c r="H619" s="32"/>
      <c r="I619" s="32"/>
      <c r="J619" s="33">
        <v>50</v>
      </c>
      <c r="K619" s="34">
        <v>1</v>
      </c>
      <c r="L619" s="35">
        <v>50</v>
      </c>
      <c r="M619" s="36" t="s">
        <v>32</v>
      </c>
      <c r="N619" s="37">
        <v>1</v>
      </c>
      <c r="O619" s="35">
        <v>50</v>
      </c>
      <c r="P619" s="35" t="s">
        <v>33</v>
      </c>
      <c r="Q619" s="97">
        <v>45453</v>
      </c>
      <c r="R619" s="35" t="s">
        <v>62</v>
      </c>
      <c r="S619" s="38"/>
      <c r="T619" s="78">
        <v>2</v>
      </c>
      <c r="U619" s="78"/>
      <c r="V619" s="78"/>
      <c r="W619" s="78" t="s">
        <v>114</v>
      </c>
      <c r="X619" s="78"/>
      <c r="Y619" s="78"/>
      <c r="Z619" s="78"/>
      <c r="AA619" s="78" t="s">
        <v>225</v>
      </c>
      <c r="AB619" s="78"/>
    </row>
    <row r="620" spans="1:28" x14ac:dyDescent="0.25">
      <c r="A620" t="str">
        <f>IF(EXACT('BOM A320 FFS'!B844,obsoleta!D620),"OK","ERROR")</f>
        <v>ERROR</v>
      </c>
      <c r="C620" s="31" t="s">
        <v>108</v>
      </c>
      <c r="D620" s="71">
        <v>1238025102000</v>
      </c>
      <c r="E620" s="71"/>
      <c r="F620" s="32" t="s">
        <v>1774</v>
      </c>
      <c r="G620" s="32" t="s">
        <v>1775</v>
      </c>
      <c r="H620" s="32"/>
      <c r="I620" s="52"/>
      <c r="J620" s="33">
        <v>50</v>
      </c>
      <c r="K620" s="38">
        <v>1</v>
      </c>
      <c r="L620" s="35">
        <v>50</v>
      </c>
      <c r="M620" s="36" t="s">
        <v>32</v>
      </c>
      <c r="N620" s="37">
        <v>1</v>
      </c>
      <c r="O620" s="35">
        <v>50</v>
      </c>
      <c r="P620" s="35" t="s">
        <v>33</v>
      </c>
      <c r="Q620" s="97">
        <v>45453</v>
      </c>
      <c r="R620" s="35" t="s">
        <v>62</v>
      </c>
      <c r="S620" s="38"/>
      <c r="T620" s="78">
        <v>2</v>
      </c>
      <c r="U620" s="78"/>
      <c r="V620" s="78"/>
      <c r="W620" s="78" t="s">
        <v>114</v>
      </c>
      <c r="X620" s="78" t="s">
        <v>3713</v>
      </c>
      <c r="Y620" s="78">
        <v>1</v>
      </c>
      <c r="Z620" s="78" t="s">
        <v>48</v>
      </c>
      <c r="AA620" s="78" t="s">
        <v>225</v>
      </c>
      <c r="AB620" s="78">
        <v>50</v>
      </c>
    </row>
    <row r="621" spans="1:28" x14ac:dyDescent="0.25">
      <c r="A621" t="e">
        <f>IF(EXACT('BOM A320 FFS'!#REF!,obsoleta!D621),"OK","ERROR")</f>
        <v>#REF!</v>
      </c>
      <c r="C621" s="31" t="s">
        <v>108</v>
      </c>
      <c r="D621" s="71">
        <v>1238000022000</v>
      </c>
      <c r="E621" s="71"/>
      <c r="F621" s="32" t="s">
        <v>1981</v>
      </c>
      <c r="G621" s="32" t="s">
        <v>1982</v>
      </c>
      <c r="H621" s="32"/>
      <c r="I621" s="52" t="s">
        <v>1133</v>
      </c>
      <c r="J621" s="33">
        <v>100</v>
      </c>
      <c r="K621" s="34">
        <v>0.44</v>
      </c>
      <c r="L621" s="35">
        <v>44</v>
      </c>
      <c r="M621" s="36" t="s">
        <v>32</v>
      </c>
      <c r="N621" s="37">
        <v>1</v>
      </c>
      <c r="O621" s="35">
        <v>44</v>
      </c>
      <c r="P621" s="35" t="s">
        <v>33</v>
      </c>
      <c r="Q621" s="97">
        <v>45453</v>
      </c>
      <c r="R621" s="35" t="s">
        <v>62</v>
      </c>
      <c r="S621" s="38"/>
      <c r="T621" s="78">
        <v>2</v>
      </c>
      <c r="U621" s="78"/>
      <c r="V621" s="78"/>
      <c r="W621" s="78" t="s">
        <v>114</v>
      </c>
      <c r="X621" s="78" t="s">
        <v>3713</v>
      </c>
      <c r="Y621" s="78">
        <v>1</v>
      </c>
      <c r="Z621" s="78" t="s">
        <v>48</v>
      </c>
      <c r="AA621" s="78" t="s">
        <v>225</v>
      </c>
      <c r="AB621" s="78">
        <v>100</v>
      </c>
    </row>
    <row r="622" spans="1:28" x14ac:dyDescent="0.25">
      <c r="A622" t="str">
        <f>IF(EXACT('BOM A320 FFS'!B845,obsoleta!D622),"OK","ERROR")</f>
        <v>ERROR</v>
      </c>
      <c r="C622" s="31" t="s">
        <v>108</v>
      </c>
      <c r="D622" s="71">
        <v>1238015350400</v>
      </c>
      <c r="E622" s="71"/>
      <c r="F622" s="32" t="s">
        <v>1995</v>
      </c>
      <c r="G622" s="32" t="s">
        <v>1996</v>
      </c>
      <c r="H622" s="32"/>
      <c r="I622" s="32" t="s">
        <v>1133</v>
      </c>
      <c r="J622" s="33">
        <v>10</v>
      </c>
      <c r="K622" s="34">
        <v>0.42</v>
      </c>
      <c r="L622" s="35">
        <v>4.2</v>
      </c>
      <c r="M622" s="36" t="s">
        <v>32</v>
      </c>
      <c r="N622" s="37">
        <v>1</v>
      </c>
      <c r="O622" s="35">
        <v>4.2</v>
      </c>
      <c r="P622" s="35" t="s">
        <v>33</v>
      </c>
      <c r="Q622" s="97">
        <v>45453</v>
      </c>
      <c r="R622" s="35" t="s">
        <v>62</v>
      </c>
      <c r="S622" s="38"/>
      <c r="T622" s="78">
        <v>2</v>
      </c>
      <c r="U622" s="78"/>
      <c r="V622" s="78"/>
      <c r="W622" s="78" t="s">
        <v>114</v>
      </c>
      <c r="X622" s="78" t="s">
        <v>3713</v>
      </c>
      <c r="Y622" s="78">
        <v>1</v>
      </c>
      <c r="Z622" s="78" t="s">
        <v>48</v>
      </c>
      <c r="AA622" s="78" t="s">
        <v>225</v>
      </c>
      <c r="AB622" s="78">
        <v>50</v>
      </c>
    </row>
    <row r="623" spans="1:28" x14ac:dyDescent="0.25">
      <c r="A623" t="str">
        <f>IF(EXACT('BOM A320 FFS'!B846,obsoleta!D623),"OK","ERROR")</f>
        <v>ERROR</v>
      </c>
      <c r="C623" s="31" t="s">
        <v>108</v>
      </c>
      <c r="D623" s="71">
        <v>1238015500100</v>
      </c>
      <c r="E623" s="71"/>
      <c r="F623" s="32" t="s">
        <v>1908</v>
      </c>
      <c r="G623" s="32" t="s">
        <v>1909</v>
      </c>
      <c r="H623" s="28"/>
      <c r="I623" s="28" t="s">
        <v>1133</v>
      </c>
      <c r="J623" s="40">
        <v>50</v>
      </c>
      <c r="K623" s="30">
        <v>0.56000000000000005</v>
      </c>
      <c r="L623" s="30">
        <v>28</v>
      </c>
      <c r="M623" s="26" t="s">
        <v>32</v>
      </c>
      <c r="N623" s="26">
        <v>1</v>
      </c>
      <c r="O623" s="41">
        <v>28</v>
      </c>
      <c r="P623" s="41" t="s">
        <v>33</v>
      </c>
      <c r="Q623" s="98">
        <v>45453</v>
      </c>
      <c r="R623" s="41" t="s">
        <v>62</v>
      </c>
      <c r="S623" s="30"/>
      <c r="T623" s="83">
        <v>2</v>
      </c>
      <c r="U623" s="83"/>
      <c r="V623" s="83"/>
      <c r="W623" s="83" t="s">
        <v>114</v>
      </c>
      <c r="X623" s="83" t="s">
        <v>3713</v>
      </c>
      <c r="Y623" s="83">
        <v>1</v>
      </c>
      <c r="Z623" s="83" t="s">
        <v>48</v>
      </c>
      <c r="AA623" s="83" t="s">
        <v>225</v>
      </c>
      <c r="AB623" s="83">
        <v>50</v>
      </c>
    </row>
    <row r="624" spans="1:28" x14ac:dyDescent="0.25">
      <c r="A624" t="str">
        <f>IF(EXACT('BOM A320 FFS'!B847,obsoleta!D624),"OK","ERROR")</f>
        <v>ERROR</v>
      </c>
      <c r="C624" s="39"/>
      <c r="D624" s="39"/>
      <c r="E624" s="39"/>
      <c r="F624" s="28"/>
      <c r="G624" s="28"/>
      <c r="H624" s="21"/>
      <c r="I624" s="21"/>
      <c r="J624" s="22"/>
      <c r="K624" s="25"/>
      <c r="L624" s="25"/>
      <c r="M624" s="24"/>
      <c r="N624" s="24"/>
      <c r="O624" s="49"/>
      <c r="P624" s="49"/>
      <c r="Q624" s="100"/>
      <c r="R624" s="49"/>
      <c r="S624" s="25"/>
      <c r="T624" s="25"/>
      <c r="U624" s="25"/>
      <c r="V624" s="25"/>
      <c r="W624" s="25"/>
      <c r="X624" s="25"/>
      <c r="Y624" s="25"/>
      <c r="Z624" s="25"/>
      <c r="AA624" s="25" t="s">
        <v>225</v>
      </c>
      <c r="AB624" s="25"/>
    </row>
    <row r="625" spans="1:28" ht="18.75" x14ac:dyDescent="0.3">
      <c r="A625" t="str">
        <f>IF(EXACT('BOM A320 FFS'!B848,obsoleta!D625),"OK","ERROR")</f>
        <v>ERROR</v>
      </c>
      <c r="C625" s="19"/>
      <c r="D625" s="19" t="s">
        <v>3667</v>
      </c>
      <c r="E625" s="19"/>
      <c r="F625" s="20"/>
      <c r="G625" s="21"/>
      <c r="H625" s="28"/>
      <c r="I625" s="28"/>
      <c r="J625" s="40"/>
      <c r="K625" s="30"/>
      <c r="L625" s="30"/>
      <c r="M625" s="26"/>
      <c r="N625" s="26"/>
      <c r="O625" s="41"/>
      <c r="P625" s="41"/>
      <c r="Q625" s="98"/>
      <c r="R625" s="41"/>
      <c r="S625" s="30"/>
      <c r="T625" s="82"/>
      <c r="U625" s="82"/>
      <c r="V625" s="82"/>
      <c r="W625" s="82"/>
      <c r="X625" s="82"/>
      <c r="Y625" s="82"/>
      <c r="Z625" s="82"/>
      <c r="AA625" s="82" t="s">
        <v>225</v>
      </c>
      <c r="AB625" s="82"/>
    </row>
    <row r="626" spans="1:28" x14ac:dyDescent="0.25">
      <c r="A626" t="str">
        <f>IF(EXACT('BOM A320 FFS'!B849,obsoleta!D626),"OK","ERROR")</f>
        <v>ERROR</v>
      </c>
      <c r="C626" s="48"/>
      <c r="D626" s="48" t="s">
        <v>3668</v>
      </c>
      <c r="E626" s="48"/>
      <c r="F626" s="28"/>
      <c r="G626" s="28"/>
      <c r="H626" s="32"/>
      <c r="I626" s="32"/>
      <c r="J626" s="33"/>
      <c r="K626" s="34"/>
      <c r="L626" s="35"/>
      <c r="M626" s="36"/>
      <c r="N626" s="37"/>
      <c r="O626" s="35"/>
      <c r="P626" s="35"/>
      <c r="Q626" s="97"/>
      <c r="R626" s="35"/>
      <c r="S626" s="38"/>
      <c r="T626" s="78"/>
      <c r="U626" s="78"/>
      <c r="V626" s="78"/>
      <c r="W626" s="78"/>
      <c r="X626" s="78"/>
      <c r="Y626" s="78"/>
      <c r="Z626" s="78"/>
      <c r="AA626" s="78" t="s">
        <v>225</v>
      </c>
      <c r="AB626" s="78"/>
    </row>
    <row r="627" spans="1:28" x14ac:dyDescent="0.25">
      <c r="A627" t="str">
        <f>IF(EXACT('BOM A320 FFS'!B850,obsoleta!D627),"OK","ERROR")</f>
        <v>ERROR</v>
      </c>
      <c r="C627" s="31" t="s">
        <v>314</v>
      </c>
      <c r="D627" s="71">
        <v>1229591600704</v>
      </c>
      <c r="E627" s="71"/>
      <c r="F627" s="32" t="s">
        <v>2559</v>
      </c>
      <c r="G627" s="32" t="s">
        <v>2560</v>
      </c>
      <c r="H627" s="32"/>
      <c r="I627" s="32" t="s">
        <v>2325</v>
      </c>
      <c r="J627" s="33">
        <v>14</v>
      </c>
      <c r="K627" s="34"/>
      <c r="L627" s="35">
        <v>0</v>
      </c>
      <c r="M627" s="36" t="s">
        <v>32</v>
      </c>
      <c r="N627" s="37">
        <v>1</v>
      </c>
      <c r="O627" s="35">
        <v>0</v>
      </c>
      <c r="P627" s="35" t="s">
        <v>130</v>
      </c>
      <c r="Q627" s="97">
        <v>45458</v>
      </c>
      <c r="R627" s="35" t="s">
        <v>62</v>
      </c>
      <c r="S627" s="38"/>
      <c r="T627" s="78">
        <v>2</v>
      </c>
      <c r="U627" s="78"/>
      <c r="V627" s="78"/>
      <c r="W627" s="78"/>
      <c r="X627" s="78"/>
      <c r="Y627" s="78"/>
      <c r="Z627" s="78"/>
      <c r="AA627" s="78" t="s">
        <v>225</v>
      </c>
      <c r="AB627" s="78"/>
    </row>
    <row r="628" spans="1:28" x14ac:dyDescent="0.25">
      <c r="A628" t="str">
        <f>IF(EXACT('BOM A320 FFS'!B851,obsoleta!D628),"OK","ERROR")</f>
        <v>ERROR</v>
      </c>
      <c r="C628" s="31" t="s">
        <v>314</v>
      </c>
      <c r="D628" s="71">
        <v>1229591600705</v>
      </c>
      <c r="E628" s="71"/>
      <c r="F628" s="32" t="s">
        <v>2550</v>
      </c>
      <c r="G628" s="32" t="s">
        <v>2551</v>
      </c>
      <c r="H628" s="32"/>
      <c r="I628" s="32" t="s">
        <v>2325</v>
      </c>
      <c r="J628" s="33">
        <v>8</v>
      </c>
      <c r="K628" s="34"/>
      <c r="L628" s="35">
        <v>0</v>
      </c>
      <c r="M628" s="36" t="s">
        <v>32</v>
      </c>
      <c r="N628" s="37">
        <v>1</v>
      </c>
      <c r="O628" s="35">
        <v>0</v>
      </c>
      <c r="P628" s="35" t="s">
        <v>130</v>
      </c>
      <c r="Q628" s="97">
        <v>45458</v>
      </c>
      <c r="R628" s="35" t="s">
        <v>62</v>
      </c>
      <c r="S628" s="38"/>
      <c r="T628" s="78">
        <v>2</v>
      </c>
      <c r="U628" s="78"/>
      <c r="V628" s="78"/>
      <c r="W628" s="78"/>
      <c r="X628" s="78"/>
      <c r="Y628" s="78"/>
      <c r="Z628" s="78"/>
      <c r="AA628" s="78" t="s">
        <v>225</v>
      </c>
      <c r="AB628" s="78"/>
    </row>
    <row r="629" spans="1:28" x14ac:dyDescent="0.25">
      <c r="A629" t="str">
        <f>IF(EXACT('BOM A320 FFS'!B852,obsoleta!D629),"OK","ERROR")</f>
        <v>ERROR</v>
      </c>
      <c r="C629" s="31" t="s">
        <v>314</v>
      </c>
      <c r="D629" s="71">
        <v>1229591600812</v>
      </c>
      <c r="E629" s="71"/>
      <c r="F629" s="32" t="s">
        <v>2547</v>
      </c>
      <c r="G629" s="32" t="s">
        <v>2548</v>
      </c>
      <c r="H629" s="32"/>
      <c r="I629" s="32" t="s">
        <v>2325</v>
      </c>
      <c r="J629" s="33">
        <v>3</v>
      </c>
      <c r="K629" s="34"/>
      <c r="L629" s="35">
        <v>0</v>
      </c>
      <c r="M629" s="36" t="s">
        <v>32</v>
      </c>
      <c r="N629" s="37">
        <v>1</v>
      </c>
      <c r="O629" s="35">
        <v>0</v>
      </c>
      <c r="P629" s="35" t="s">
        <v>130</v>
      </c>
      <c r="Q629" s="97">
        <v>45458</v>
      </c>
      <c r="R629" s="35" t="s">
        <v>62</v>
      </c>
      <c r="S629" s="38"/>
      <c r="T629" s="78">
        <v>2</v>
      </c>
      <c r="U629" s="78"/>
      <c r="V629" s="78"/>
      <c r="W629" s="78"/>
      <c r="X629" s="78"/>
      <c r="Y629" s="78"/>
      <c r="Z629" s="78"/>
      <c r="AA629" s="78" t="s">
        <v>225</v>
      </c>
      <c r="AB629" s="78"/>
    </row>
    <row r="630" spans="1:28" x14ac:dyDescent="0.25">
      <c r="A630" t="str">
        <f>IF(EXACT('BOM A320 FFS'!B853,obsoleta!D630),"OK","ERROR")</f>
        <v>ERROR</v>
      </c>
      <c r="C630" s="31" t="s">
        <v>314</v>
      </c>
      <c r="D630" s="71">
        <v>1229591600706</v>
      </c>
      <c r="E630" s="71"/>
      <c r="F630" s="32" t="s">
        <v>2544</v>
      </c>
      <c r="G630" s="32" t="s">
        <v>2545</v>
      </c>
      <c r="H630" s="32"/>
      <c r="I630" s="32" t="s">
        <v>2325</v>
      </c>
      <c r="J630" s="33">
        <v>2</v>
      </c>
      <c r="K630" s="34"/>
      <c r="L630" s="35">
        <v>0</v>
      </c>
      <c r="M630" s="36" t="s">
        <v>32</v>
      </c>
      <c r="N630" s="37">
        <v>1</v>
      </c>
      <c r="O630" s="35">
        <v>0</v>
      </c>
      <c r="P630" s="35" t="s">
        <v>130</v>
      </c>
      <c r="Q630" s="97">
        <v>45458</v>
      </c>
      <c r="R630" s="35" t="s">
        <v>62</v>
      </c>
      <c r="S630" s="38"/>
      <c r="T630" s="78">
        <v>2</v>
      </c>
      <c r="U630" s="78"/>
      <c r="V630" s="78"/>
      <c r="W630" s="78"/>
      <c r="X630" s="78"/>
      <c r="Y630" s="78"/>
      <c r="Z630" s="78"/>
      <c r="AA630" s="78" t="s">
        <v>225</v>
      </c>
      <c r="AB630" s="78"/>
    </row>
    <row r="631" spans="1:28" x14ac:dyDescent="0.25">
      <c r="A631" t="str">
        <f>IF(EXACT('BOM A320 FFS'!B854,obsoleta!D631),"OK","ERROR")</f>
        <v>ERROR</v>
      </c>
      <c r="C631" s="31" t="s">
        <v>314</v>
      </c>
      <c r="D631" s="71">
        <v>3210104723404</v>
      </c>
      <c r="E631" s="71"/>
      <c r="F631" s="32" t="s">
        <v>3034</v>
      </c>
      <c r="G631" s="32" t="s">
        <v>3035</v>
      </c>
      <c r="H631" s="32"/>
      <c r="I631" s="32" t="s">
        <v>2325</v>
      </c>
      <c r="J631" s="33">
        <v>1</v>
      </c>
      <c r="K631" s="34"/>
      <c r="L631" s="35">
        <v>0</v>
      </c>
      <c r="M631" s="36" t="s">
        <v>32</v>
      </c>
      <c r="N631" s="37">
        <v>1</v>
      </c>
      <c r="O631" s="35">
        <v>0</v>
      </c>
      <c r="P631" s="35" t="s">
        <v>130</v>
      </c>
      <c r="Q631" s="97">
        <v>45458</v>
      </c>
      <c r="R631" s="35" t="s">
        <v>62</v>
      </c>
      <c r="S631" s="38"/>
      <c r="T631" s="78">
        <v>2</v>
      </c>
      <c r="U631" s="78"/>
      <c r="V631" s="78"/>
      <c r="W631" s="78"/>
      <c r="X631" s="78"/>
      <c r="Y631" s="78"/>
      <c r="Z631" s="78"/>
      <c r="AA631" s="78" t="s">
        <v>225</v>
      </c>
      <c r="AB631" s="78"/>
    </row>
    <row r="632" spans="1:28" x14ac:dyDescent="0.25">
      <c r="A632" t="str">
        <f>IF(EXACT('BOM A320 FFS'!B855,obsoleta!D632),"OK","ERROR")</f>
        <v>ERROR</v>
      </c>
      <c r="C632" s="31" t="s">
        <v>314</v>
      </c>
      <c r="D632" s="71">
        <v>1229591600707</v>
      </c>
      <c r="E632" s="71"/>
      <c r="F632" s="32" t="s">
        <v>2565</v>
      </c>
      <c r="G632" s="32" t="s">
        <v>2566</v>
      </c>
      <c r="H632" s="32"/>
      <c r="I632" s="32" t="s">
        <v>2325</v>
      </c>
      <c r="J632" s="33">
        <v>1</v>
      </c>
      <c r="K632" s="34"/>
      <c r="L632" s="35">
        <v>0</v>
      </c>
      <c r="M632" s="36" t="s">
        <v>32</v>
      </c>
      <c r="N632" s="37">
        <v>1</v>
      </c>
      <c r="O632" s="35">
        <v>0</v>
      </c>
      <c r="P632" s="35" t="s">
        <v>130</v>
      </c>
      <c r="Q632" s="97">
        <v>45458</v>
      </c>
      <c r="R632" s="35" t="s">
        <v>62</v>
      </c>
      <c r="S632" s="38"/>
      <c r="T632" s="78">
        <v>2</v>
      </c>
      <c r="U632" s="78"/>
      <c r="V632" s="78"/>
      <c r="W632" s="78"/>
      <c r="X632" s="78"/>
      <c r="Y632" s="78"/>
      <c r="Z632" s="78"/>
      <c r="AA632" s="78" t="s">
        <v>225</v>
      </c>
      <c r="AB632" s="78"/>
    </row>
    <row r="633" spans="1:28" x14ac:dyDescent="0.25">
      <c r="A633" t="str">
        <f>IF(EXACT('BOM A320 FFS'!B856,obsoleta!D633),"OK","ERROR")</f>
        <v>ERROR</v>
      </c>
      <c r="C633" s="31" t="s">
        <v>314</v>
      </c>
      <c r="D633" s="71">
        <v>1229591601100</v>
      </c>
      <c r="E633" s="71"/>
      <c r="F633" s="32" t="s">
        <v>2562</v>
      </c>
      <c r="G633" s="32" t="s">
        <v>2563</v>
      </c>
      <c r="H633" s="32"/>
      <c r="I633" s="32" t="s">
        <v>2325</v>
      </c>
      <c r="J633" s="33">
        <v>4</v>
      </c>
      <c r="K633" s="34"/>
      <c r="L633" s="35">
        <v>0</v>
      </c>
      <c r="M633" s="36" t="s">
        <v>32</v>
      </c>
      <c r="N633" s="37">
        <v>1</v>
      </c>
      <c r="O633" s="35">
        <v>0</v>
      </c>
      <c r="P633" s="35" t="s">
        <v>130</v>
      </c>
      <c r="Q633" s="97">
        <v>45458</v>
      </c>
      <c r="R633" s="35" t="s">
        <v>62</v>
      </c>
      <c r="S633" s="38"/>
      <c r="T633" s="78">
        <v>2</v>
      </c>
      <c r="U633" s="78"/>
      <c r="V633" s="78"/>
      <c r="W633" s="78"/>
      <c r="X633" s="78"/>
      <c r="Y633" s="78"/>
      <c r="Z633" s="78"/>
      <c r="AA633" s="78" t="s">
        <v>225</v>
      </c>
      <c r="AB633" s="78"/>
    </row>
    <row r="634" spans="1:28" x14ac:dyDescent="0.25">
      <c r="A634" t="str">
        <f>IF(EXACT('BOM A320 FFS'!B857,obsoleta!D634),"OK","ERROR")</f>
        <v>ERROR</v>
      </c>
      <c r="C634" s="31" t="s">
        <v>314</v>
      </c>
      <c r="D634" s="71">
        <v>1229590008201</v>
      </c>
      <c r="E634" s="71"/>
      <c r="F634" s="32" t="s">
        <v>2556</v>
      </c>
      <c r="G634" s="32" t="s">
        <v>2557</v>
      </c>
      <c r="H634" s="32"/>
      <c r="I634" s="32" t="s">
        <v>2325</v>
      </c>
      <c r="J634" s="33">
        <v>1</v>
      </c>
      <c r="K634" s="34"/>
      <c r="L634" s="35">
        <v>0</v>
      </c>
      <c r="M634" s="36" t="s">
        <v>32</v>
      </c>
      <c r="N634" s="37">
        <v>1</v>
      </c>
      <c r="O634" s="35">
        <v>0</v>
      </c>
      <c r="P634" s="35" t="s">
        <v>130</v>
      </c>
      <c r="Q634" s="97">
        <v>45458</v>
      </c>
      <c r="R634" s="35" t="s">
        <v>62</v>
      </c>
      <c r="S634" s="38"/>
      <c r="T634" s="78">
        <v>2</v>
      </c>
      <c r="U634" s="78"/>
      <c r="V634" s="78"/>
      <c r="W634" s="78"/>
      <c r="X634" s="78"/>
      <c r="Y634" s="78"/>
      <c r="Z634" s="78"/>
      <c r="AA634" s="78" t="s">
        <v>225</v>
      </c>
      <c r="AB634" s="78"/>
    </row>
    <row r="635" spans="1:28" x14ac:dyDescent="0.25">
      <c r="A635" t="str">
        <f>IF(EXACT('BOM A320 FFS'!B858,obsoleta!D635),"OK","ERROR")</f>
        <v>ERROR</v>
      </c>
      <c r="C635" s="31" t="s">
        <v>314</v>
      </c>
      <c r="D635" s="71">
        <v>1229590008202</v>
      </c>
      <c r="E635" s="71"/>
      <c r="F635" s="32" t="s">
        <v>2553</v>
      </c>
      <c r="G635" s="32" t="s">
        <v>2554</v>
      </c>
      <c r="H635" s="32"/>
      <c r="I635" s="32" t="s">
        <v>2325</v>
      </c>
      <c r="J635" s="33">
        <v>1</v>
      </c>
      <c r="K635" s="34"/>
      <c r="L635" s="35">
        <v>0</v>
      </c>
      <c r="M635" s="36" t="s">
        <v>32</v>
      </c>
      <c r="N635" s="37">
        <v>1</v>
      </c>
      <c r="O635" s="35">
        <v>0</v>
      </c>
      <c r="P635" s="35" t="s">
        <v>130</v>
      </c>
      <c r="Q635" s="97">
        <v>45458</v>
      </c>
      <c r="R635" s="35" t="s">
        <v>62</v>
      </c>
      <c r="S635" s="38"/>
      <c r="T635" s="78">
        <v>2</v>
      </c>
      <c r="U635" s="78"/>
      <c r="V635" s="78"/>
      <c r="W635" s="78"/>
      <c r="X635" s="78"/>
      <c r="Y635" s="78"/>
      <c r="Z635" s="78"/>
      <c r="AA635" s="78" t="s">
        <v>225</v>
      </c>
      <c r="AB635" s="78"/>
    </row>
    <row r="636" spans="1:28" x14ac:dyDescent="0.25">
      <c r="A636" t="str">
        <f>IF(EXACT('BOM A320 FFS'!B859,obsoleta!D636),"OK","ERROR")</f>
        <v>ERROR</v>
      </c>
      <c r="C636" s="31" t="s">
        <v>314</v>
      </c>
      <c r="D636" s="71">
        <v>1229591600708</v>
      </c>
      <c r="E636" s="71"/>
      <c r="F636" s="32" t="s">
        <v>3103</v>
      </c>
      <c r="G636" s="32" t="s">
        <v>3104</v>
      </c>
      <c r="H636" s="32"/>
      <c r="I636" s="32" t="s">
        <v>2325</v>
      </c>
      <c r="J636" s="33">
        <v>16</v>
      </c>
      <c r="K636" s="34"/>
      <c r="L636" s="35">
        <v>0</v>
      </c>
      <c r="M636" s="36" t="s">
        <v>32</v>
      </c>
      <c r="N636" s="37">
        <v>1</v>
      </c>
      <c r="O636" s="35">
        <v>0</v>
      </c>
      <c r="P636" s="35" t="s">
        <v>130</v>
      </c>
      <c r="Q636" s="97">
        <v>45458</v>
      </c>
      <c r="R636" s="35" t="s">
        <v>62</v>
      </c>
      <c r="S636" s="38"/>
      <c r="T636" s="78">
        <v>2</v>
      </c>
      <c r="U636" s="78"/>
      <c r="V636" s="78"/>
      <c r="W636" s="78"/>
      <c r="X636" s="78"/>
      <c r="Y636" s="78"/>
      <c r="Z636" s="78"/>
      <c r="AA636" s="78" t="s">
        <v>225</v>
      </c>
      <c r="AB636" s="78"/>
    </row>
    <row r="637" spans="1:28" x14ac:dyDescent="0.25">
      <c r="A637" t="str">
        <f>IF(EXACT('BOM A320 FFS'!B860,obsoleta!D637),"OK","ERROR")</f>
        <v>ERROR</v>
      </c>
      <c r="C637" s="71" t="s">
        <v>314</v>
      </c>
      <c r="D637" s="71">
        <v>1229591600709</v>
      </c>
      <c r="E637" s="71"/>
      <c r="F637" s="32" t="s">
        <v>3094</v>
      </c>
      <c r="G637" s="32" t="s">
        <v>3095</v>
      </c>
      <c r="H637" s="32"/>
      <c r="I637" s="32" t="s">
        <v>2325</v>
      </c>
      <c r="J637" s="33">
        <v>14</v>
      </c>
      <c r="K637" s="34"/>
      <c r="L637" s="35">
        <v>0</v>
      </c>
      <c r="M637" s="36" t="s">
        <v>32</v>
      </c>
      <c r="N637" s="37">
        <v>1</v>
      </c>
      <c r="O637" s="35">
        <v>0</v>
      </c>
      <c r="P637" s="35" t="s">
        <v>130</v>
      </c>
      <c r="Q637" s="97">
        <v>45458</v>
      </c>
      <c r="R637" s="35" t="s">
        <v>62</v>
      </c>
      <c r="S637" s="38"/>
      <c r="T637" s="78">
        <v>2</v>
      </c>
      <c r="U637" s="78"/>
      <c r="V637" s="78"/>
      <c r="W637" s="78"/>
      <c r="X637" s="78"/>
      <c r="Y637" s="78"/>
      <c r="Z637" s="78"/>
      <c r="AA637" s="78" t="s">
        <v>225</v>
      </c>
      <c r="AB637" s="78"/>
    </row>
    <row r="638" spans="1:28" x14ac:dyDescent="0.25">
      <c r="A638" t="str">
        <f>IF(EXACT('BOM A320 FFS'!B861,obsoleta!D638),"OK","ERROR")</f>
        <v>ERROR</v>
      </c>
      <c r="C638" s="31" t="s">
        <v>314</v>
      </c>
      <c r="D638" s="71">
        <v>1229591600813</v>
      </c>
      <c r="E638" s="71"/>
      <c r="F638" s="32" t="s">
        <v>3091</v>
      </c>
      <c r="G638" s="32" t="s">
        <v>3092</v>
      </c>
      <c r="H638" s="32"/>
      <c r="I638" s="32" t="s">
        <v>2325</v>
      </c>
      <c r="J638" s="33">
        <v>2</v>
      </c>
      <c r="K638" s="34"/>
      <c r="L638" s="35">
        <v>0</v>
      </c>
      <c r="M638" s="36" t="s">
        <v>32</v>
      </c>
      <c r="N638" s="37">
        <v>1</v>
      </c>
      <c r="O638" s="35">
        <v>0</v>
      </c>
      <c r="P638" s="35" t="s">
        <v>130</v>
      </c>
      <c r="Q638" s="97">
        <v>45458</v>
      </c>
      <c r="R638" s="35" t="s">
        <v>62</v>
      </c>
      <c r="S638" s="38"/>
      <c r="T638" s="78">
        <v>2</v>
      </c>
      <c r="U638" s="78"/>
      <c r="V638" s="78"/>
      <c r="W638" s="78"/>
      <c r="X638" s="78"/>
      <c r="Y638" s="78"/>
      <c r="Z638" s="78"/>
      <c r="AA638" s="78" t="s">
        <v>225</v>
      </c>
      <c r="AB638" s="78"/>
    </row>
    <row r="639" spans="1:28" x14ac:dyDescent="0.25">
      <c r="A639" t="str">
        <f>IF(EXACT('BOM A320 FFS'!B862,obsoleta!D639),"OK","ERROR")</f>
        <v>ERROR</v>
      </c>
      <c r="C639" s="31" t="s">
        <v>314</v>
      </c>
      <c r="D639" s="71">
        <v>1229591600800</v>
      </c>
      <c r="E639" s="71"/>
      <c r="F639" s="32" t="s">
        <v>3088</v>
      </c>
      <c r="G639" s="32" t="s">
        <v>3089</v>
      </c>
      <c r="H639" s="32"/>
      <c r="I639" s="32" t="s">
        <v>2325</v>
      </c>
      <c r="J639" s="33">
        <v>4</v>
      </c>
      <c r="K639" s="34"/>
      <c r="L639" s="35">
        <v>0</v>
      </c>
      <c r="M639" s="36" t="s">
        <v>32</v>
      </c>
      <c r="N639" s="37">
        <v>1</v>
      </c>
      <c r="O639" s="35">
        <v>0</v>
      </c>
      <c r="P639" s="35" t="s">
        <v>130</v>
      </c>
      <c r="Q639" s="97">
        <v>45458</v>
      </c>
      <c r="R639" s="35" t="s">
        <v>62</v>
      </c>
      <c r="S639" s="38"/>
      <c r="T639" s="78">
        <v>2</v>
      </c>
      <c r="U639" s="78"/>
      <c r="V639" s="78"/>
      <c r="W639" s="78"/>
      <c r="X639" s="78"/>
      <c r="Y639" s="78"/>
      <c r="Z639" s="78"/>
      <c r="AA639" s="78" t="s">
        <v>225</v>
      </c>
      <c r="AB639" s="78"/>
    </row>
    <row r="640" spans="1:28" x14ac:dyDescent="0.25">
      <c r="A640" t="str">
        <f>IF(EXACT('BOM A320 FFS'!B863,obsoleta!D640),"OK","ERROR")</f>
        <v>ERROR</v>
      </c>
      <c r="C640" s="31" t="s">
        <v>314</v>
      </c>
      <c r="D640" s="71">
        <v>1229591600801</v>
      </c>
      <c r="E640" s="71"/>
      <c r="F640" s="32" t="s">
        <v>3109</v>
      </c>
      <c r="G640" s="32" t="s">
        <v>3110</v>
      </c>
      <c r="H640" s="32"/>
      <c r="I640" s="32" t="s">
        <v>2325</v>
      </c>
      <c r="J640" s="33">
        <v>3</v>
      </c>
      <c r="K640" s="34"/>
      <c r="L640" s="35">
        <v>0</v>
      </c>
      <c r="M640" s="36" t="s">
        <v>32</v>
      </c>
      <c r="N640" s="37">
        <v>1</v>
      </c>
      <c r="O640" s="35">
        <v>0</v>
      </c>
      <c r="P640" s="35" t="s">
        <v>130</v>
      </c>
      <c r="Q640" s="97">
        <v>45458</v>
      </c>
      <c r="R640" s="35" t="s">
        <v>62</v>
      </c>
      <c r="S640" s="38"/>
      <c r="T640" s="78">
        <v>2</v>
      </c>
      <c r="U640" s="78"/>
      <c r="V640" s="78"/>
      <c r="W640" s="78"/>
      <c r="X640" s="78"/>
      <c r="Y640" s="78"/>
      <c r="Z640" s="78"/>
      <c r="AA640" s="78" t="s">
        <v>225</v>
      </c>
      <c r="AB640" s="78"/>
    </row>
    <row r="641" spans="1:28" x14ac:dyDescent="0.25">
      <c r="A641" t="str">
        <f>IF(EXACT('BOM A320 FFS'!B864,obsoleta!D641),"OK","ERROR")</f>
        <v>ERROR</v>
      </c>
      <c r="C641" s="31" t="s">
        <v>314</v>
      </c>
      <c r="D641" s="71">
        <v>1229591601101</v>
      </c>
      <c r="E641" s="71"/>
      <c r="F641" s="32" t="s">
        <v>3106</v>
      </c>
      <c r="G641" s="32" t="s">
        <v>3107</v>
      </c>
      <c r="H641" s="32"/>
      <c r="I641" s="32" t="s">
        <v>2325</v>
      </c>
      <c r="J641" s="33">
        <v>4</v>
      </c>
      <c r="K641" s="34"/>
      <c r="L641" s="35">
        <v>0</v>
      </c>
      <c r="M641" s="36" t="s">
        <v>32</v>
      </c>
      <c r="N641" s="37">
        <v>1</v>
      </c>
      <c r="O641" s="35">
        <v>0</v>
      </c>
      <c r="P641" s="35" t="s">
        <v>130</v>
      </c>
      <c r="Q641" s="97">
        <v>45458</v>
      </c>
      <c r="R641" s="35" t="s">
        <v>62</v>
      </c>
      <c r="S641" s="38"/>
      <c r="T641" s="78">
        <v>2</v>
      </c>
      <c r="U641" s="78"/>
      <c r="V641" s="78"/>
      <c r="W641" s="78"/>
      <c r="X641" s="78"/>
      <c r="Y641" s="78"/>
      <c r="Z641" s="78"/>
      <c r="AA641" s="78" t="s">
        <v>225</v>
      </c>
      <c r="AB641" s="78"/>
    </row>
    <row r="642" spans="1:28" x14ac:dyDescent="0.25">
      <c r="A642" t="str">
        <f>IF(EXACT('BOM A320 FFS'!B865,obsoleta!D642),"OK","ERROR")</f>
        <v>ERROR</v>
      </c>
      <c r="C642" s="31" t="s">
        <v>314</v>
      </c>
      <c r="D642" s="71">
        <v>1229590008600</v>
      </c>
      <c r="E642" s="71"/>
      <c r="F642" s="32" t="s">
        <v>3100</v>
      </c>
      <c r="G642" s="32" t="s">
        <v>3101</v>
      </c>
      <c r="H642" s="32"/>
      <c r="I642" s="32" t="s">
        <v>2325</v>
      </c>
      <c r="J642" s="33">
        <v>1</v>
      </c>
      <c r="K642" s="34"/>
      <c r="L642" s="35">
        <v>0</v>
      </c>
      <c r="M642" s="36" t="s">
        <v>32</v>
      </c>
      <c r="N642" s="37">
        <v>1</v>
      </c>
      <c r="O642" s="35">
        <v>0</v>
      </c>
      <c r="P642" s="35" t="s">
        <v>130</v>
      </c>
      <c r="Q642" s="97">
        <v>45458</v>
      </c>
      <c r="R642" s="35" t="s">
        <v>62</v>
      </c>
      <c r="S642" s="38"/>
      <c r="T642" s="78">
        <v>2</v>
      </c>
      <c r="U642" s="78"/>
      <c r="V642" s="78"/>
      <c r="W642" s="78"/>
      <c r="X642" s="78"/>
      <c r="Y642" s="78"/>
      <c r="Z642" s="78"/>
      <c r="AA642" s="78" t="s">
        <v>225</v>
      </c>
      <c r="AB642" s="78"/>
    </row>
    <row r="643" spans="1:28" x14ac:dyDescent="0.25">
      <c r="A643" t="str">
        <f>IF(EXACT('BOM A320 FFS'!B866,obsoleta!D643),"OK","ERROR")</f>
        <v>ERROR</v>
      </c>
      <c r="C643" s="31" t="s">
        <v>314</v>
      </c>
      <c r="D643" s="71">
        <v>1229590008601</v>
      </c>
      <c r="E643" s="71"/>
      <c r="F643" s="32" t="s">
        <v>3097</v>
      </c>
      <c r="G643" s="32" t="s">
        <v>3098</v>
      </c>
      <c r="H643" s="32"/>
      <c r="I643" s="32" t="s">
        <v>2325</v>
      </c>
      <c r="J643" s="33">
        <v>1</v>
      </c>
      <c r="K643" s="34"/>
      <c r="L643" s="35">
        <v>0</v>
      </c>
      <c r="M643" s="36" t="s">
        <v>32</v>
      </c>
      <c r="N643" s="37">
        <v>1</v>
      </c>
      <c r="O643" s="35">
        <v>0</v>
      </c>
      <c r="P643" s="35" t="s">
        <v>130</v>
      </c>
      <c r="Q643" s="97">
        <v>45458</v>
      </c>
      <c r="R643" s="35" t="s">
        <v>62</v>
      </c>
      <c r="S643" s="38"/>
      <c r="T643" s="78">
        <v>2</v>
      </c>
      <c r="U643" s="78"/>
      <c r="V643" s="78"/>
      <c r="W643" s="78"/>
      <c r="X643" s="78"/>
      <c r="Y643" s="78"/>
      <c r="Z643" s="78"/>
      <c r="AA643" s="78" t="s">
        <v>225</v>
      </c>
      <c r="AB643" s="78"/>
    </row>
    <row r="644" spans="1:28" x14ac:dyDescent="0.25">
      <c r="A644" t="str">
        <f>IF(EXACT('BOM A320 FFS'!B867,obsoleta!D644),"OK","ERROR")</f>
        <v>ERROR</v>
      </c>
      <c r="C644" s="31" t="s">
        <v>314</v>
      </c>
      <c r="D644" s="71">
        <v>1229591600807</v>
      </c>
      <c r="E644" s="71"/>
      <c r="F644" s="32" t="s">
        <v>3150</v>
      </c>
      <c r="G644" s="32" t="s">
        <v>3151</v>
      </c>
      <c r="H644" s="32"/>
      <c r="I644" s="32" t="s">
        <v>2325</v>
      </c>
      <c r="J644" s="33">
        <v>5</v>
      </c>
      <c r="K644" s="34"/>
      <c r="L644" s="35">
        <v>0</v>
      </c>
      <c r="M644" s="36" t="s">
        <v>32</v>
      </c>
      <c r="N644" s="37">
        <v>1</v>
      </c>
      <c r="O644" s="35">
        <v>0</v>
      </c>
      <c r="P644" s="35" t="s">
        <v>130</v>
      </c>
      <c r="Q644" s="97">
        <v>45458</v>
      </c>
      <c r="R644" s="35" t="s">
        <v>62</v>
      </c>
      <c r="S644" s="38"/>
      <c r="T644" s="78">
        <v>2</v>
      </c>
      <c r="U644" s="78"/>
      <c r="V644" s="78"/>
      <c r="W644" s="78"/>
      <c r="X644" s="78"/>
      <c r="Y644" s="78"/>
      <c r="Z644" s="78"/>
      <c r="AA644" s="78" t="s">
        <v>225</v>
      </c>
      <c r="AB644" s="78"/>
    </row>
    <row r="645" spans="1:28" x14ac:dyDescent="0.25">
      <c r="A645" t="str">
        <f>IF(EXACT('BOM A320 FFS'!B868,obsoleta!D645),"OK","ERROR")</f>
        <v>ERROR</v>
      </c>
      <c r="C645" s="31" t="s">
        <v>314</v>
      </c>
      <c r="D645" s="71">
        <v>1229591600808</v>
      </c>
      <c r="E645" s="71"/>
      <c r="F645" s="32" t="s">
        <v>3147</v>
      </c>
      <c r="G645" s="32" t="s">
        <v>3148</v>
      </c>
      <c r="H645" s="32"/>
      <c r="I645" s="32" t="s">
        <v>2325</v>
      </c>
      <c r="J645" s="33">
        <v>1</v>
      </c>
      <c r="K645" s="34"/>
      <c r="L645" s="35">
        <v>0</v>
      </c>
      <c r="M645" s="36" t="s">
        <v>32</v>
      </c>
      <c r="N645" s="37">
        <v>1</v>
      </c>
      <c r="O645" s="35">
        <v>0</v>
      </c>
      <c r="P645" s="35" t="s">
        <v>130</v>
      </c>
      <c r="Q645" s="97">
        <v>45458</v>
      </c>
      <c r="R645" s="35" t="s">
        <v>62</v>
      </c>
      <c r="S645" s="38"/>
      <c r="T645" s="78">
        <v>2</v>
      </c>
      <c r="U645" s="78"/>
      <c r="V645" s="78"/>
      <c r="W645" s="78"/>
      <c r="X645" s="78"/>
      <c r="Y645" s="78"/>
      <c r="Z645" s="78"/>
      <c r="AA645" s="78" t="s">
        <v>225</v>
      </c>
      <c r="AB645" s="78"/>
    </row>
    <row r="646" spans="1:28" x14ac:dyDescent="0.25">
      <c r="A646" t="str">
        <f>IF(EXACT('BOM A320 FFS'!B869,obsoleta!D646),"OK","ERROR")</f>
        <v>ERROR</v>
      </c>
      <c r="C646" s="31" t="s">
        <v>314</v>
      </c>
      <c r="D646" s="71">
        <v>1229591600809</v>
      </c>
      <c r="E646" s="71"/>
      <c r="F646" s="32" t="s">
        <v>3159</v>
      </c>
      <c r="G646" s="32" t="s">
        <v>3160</v>
      </c>
      <c r="H646" s="32"/>
      <c r="I646" s="32" t="s">
        <v>2325</v>
      </c>
      <c r="J646" s="33">
        <v>1</v>
      </c>
      <c r="K646" s="34"/>
      <c r="L646" s="35">
        <v>0</v>
      </c>
      <c r="M646" s="36" t="s">
        <v>32</v>
      </c>
      <c r="N646" s="37">
        <v>1</v>
      </c>
      <c r="O646" s="35">
        <v>0</v>
      </c>
      <c r="P646" s="35" t="s">
        <v>130</v>
      </c>
      <c r="Q646" s="97">
        <v>45458</v>
      </c>
      <c r="R646" s="35" t="s">
        <v>62</v>
      </c>
      <c r="S646" s="38"/>
      <c r="T646" s="78">
        <v>2</v>
      </c>
      <c r="U646" s="78"/>
      <c r="V646" s="78"/>
      <c r="W646" s="78"/>
      <c r="X646" s="78"/>
      <c r="Y646" s="78"/>
      <c r="Z646" s="78"/>
      <c r="AA646" s="78" t="s">
        <v>225</v>
      </c>
      <c r="AB646" s="78"/>
    </row>
    <row r="647" spans="1:28" ht="39" x14ac:dyDescent="0.25">
      <c r="A647" t="str">
        <f>IF(EXACT('BOM A320 FFS'!B870,obsoleta!D647),"OK","ERROR")</f>
        <v>ERROR</v>
      </c>
      <c r="C647" s="72" t="s">
        <v>314</v>
      </c>
      <c r="D647" s="109">
        <v>1229591600810</v>
      </c>
      <c r="E647" s="109"/>
      <c r="F647" s="32" t="s">
        <v>3156</v>
      </c>
      <c r="G647" s="32" t="s">
        <v>3157</v>
      </c>
      <c r="H647" s="32"/>
      <c r="I647" s="32" t="s">
        <v>2325</v>
      </c>
      <c r="J647" s="33">
        <v>1</v>
      </c>
      <c r="K647" s="34"/>
      <c r="L647" s="35">
        <v>0</v>
      </c>
      <c r="M647" s="36" t="s">
        <v>32</v>
      </c>
      <c r="N647" s="37">
        <v>1</v>
      </c>
      <c r="O647" s="35">
        <v>0</v>
      </c>
      <c r="P647" s="35" t="s">
        <v>130</v>
      </c>
      <c r="Q647" s="97">
        <v>45458</v>
      </c>
      <c r="R647" s="35" t="s">
        <v>62</v>
      </c>
      <c r="S647" s="38"/>
      <c r="T647" s="78">
        <v>2</v>
      </c>
      <c r="U647" s="78"/>
      <c r="V647" s="78"/>
      <c r="W647" s="78"/>
      <c r="X647" s="78"/>
      <c r="Y647" s="78"/>
      <c r="Z647" s="78"/>
      <c r="AA647" s="78" t="s">
        <v>225</v>
      </c>
      <c r="AB647" s="78"/>
    </row>
    <row r="648" spans="1:28" x14ac:dyDescent="0.25">
      <c r="A648" t="str">
        <f>IF(EXACT('BOM A320 FFS'!B871,obsoleta!D648),"OK","ERROR")</f>
        <v>ERROR</v>
      </c>
      <c r="C648" s="31" t="s">
        <v>314</v>
      </c>
      <c r="D648" s="71">
        <v>1229590008401</v>
      </c>
      <c r="E648" s="71"/>
      <c r="F648" s="32" t="s">
        <v>3153</v>
      </c>
      <c r="G648" s="32" t="s">
        <v>3154</v>
      </c>
      <c r="H648" s="32"/>
      <c r="I648" s="32" t="s">
        <v>2325</v>
      </c>
      <c r="J648" s="33">
        <v>1</v>
      </c>
      <c r="K648" s="34"/>
      <c r="L648" s="35">
        <v>0</v>
      </c>
      <c r="M648" s="36" t="s">
        <v>32</v>
      </c>
      <c r="N648" s="37">
        <v>1</v>
      </c>
      <c r="O648" s="35">
        <v>0</v>
      </c>
      <c r="P648" s="35" t="s">
        <v>130</v>
      </c>
      <c r="Q648" s="97">
        <v>45458</v>
      </c>
      <c r="R648" s="35" t="s">
        <v>62</v>
      </c>
      <c r="S648" s="38"/>
      <c r="T648" s="78">
        <v>2</v>
      </c>
      <c r="U648" s="78"/>
      <c r="V648" s="78"/>
      <c r="W648" s="78"/>
      <c r="X648" s="78"/>
      <c r="Y648" s="78"/>
      <c r="Z648" s="78"/>
      <c r="AA648" s="78" t="s">
        <v>225</v>
      </c>
      <c r="AB648" s="78"/>
    </row>
    <row r="649" spans="1:28" x14ac:dyDescent="0.25">
      <c r="A649" t="str">
        <f>IF(EXACT('BOM A320 FFS'!B874,obsoleta!D649),"OK","ERROR")</f>
        <v>ERROR</v>
      </c>
      <c r="C649" s="31" t="s">
        <v>314</v>
      </c>
      <c r="D649" s="71">
        <v>1229591600904</v>
      </c>
      <c r="E649" s="71"/>
      <c r="F649" s="32" t="s">
        <v>3058</v>
      </c>
      <c r="G649" s="32" t="s">
        <v>3059</v>
      </c>
      <c r="H649" s="32"/>
      <c r="I649" s="32" t="s">
        <v>2325</v>
      </c>
      <c r="J649" s="33">
        <v>26</v>
      </c>
      <c r="K649" s="34"/>
      <c r="L649" s="35">
        <v>0</v>
      </c>
      <c r="M649" s="36" t="s">
        <v>32</v>
      </c>
      <c r="N649" s="37">
        <v>1</v>
      </c>
      <c r="O649" s="35">
        <v>0</v>
      </c>
      <c r="P649" s="35" t="s">
        <v>130</v>
      </c>
      <c r="Q649" s="97">
        <v>45458</v>
      </c>
      <c r="R649" s="35" t="s">
        <v>62</v>
      </c>
      <c r="S649" s="38"/>
      <c r="T649" s="78">
        <v>2</v>
      </c>
      <c r="U649" s="78"/>
      <c r="V649" s="78"/>
      <c r="W649" s="78"/>
      <c r="X649" s="78"/>
      <c r="Y649" s="78"/>
      <c r="Z649" s="78"/>
      <c r="AA649" s="78" t="s">
        <v>225</v>
      </c>
      <c r="AB649" s="78"/>
    </row>
    <row r="650" spans="1:28" x14ac:dyDescent="0.25">
      <c r="A650" t="str">
        <f>IF(EXACT('BOM A320 FFS'!B875,obsoleta!D650),"OK","ERROR")</f>
        <v>ERROR</v>
      </c>
      <c r="C650" s="31" t="s">
        <v>314</v>
      </c>
      <c r="D650" s="71">
        <v>1229591600905</v>
      </c>
      <c r="E650" s="71"/>
      <c r="F650" s="32" t="s">
        <v>3052</v>
      </c>
      <c r="G650" s="32" t="s">
        <v>3053</v>
      </c>
      <c r="H650" s="32"/>
      <c r="I650" s="32" t="s">
        <v>2325</v>
      </c>
      <c r="J650" s="33">
        <v>7</v>
      </c>
      <c r="K650" s="34"/>
      <c r="L650" s="35">
        <v>0</v>
      </c>
      <c r="M650" s="36" t="s">
        <v>32</v>
      </c>
      <c r="N650" s="37">
        <v>1</v>
      </c>
      <c r="O650" s="35">
        <v>0</v>
      </c>
      <c r="P650" s="35" t="s">
        <v>130</v>
      </c>
      <c r="Q650" s="97">
        <v>45458</v>
      </c>
      <c r="R650" s="35" t="s">
        <v>62</v>
      </c>
      <c r="S650" s="38"/>
      <c r="T650" s="78">
        <v>2</v>
      </c>
      <c r="U650" s="78"/>
      <c r="V650" s="78"/>
      <c r="W650" s="78"/>
      <c r="X650" s="78"/>
      <c r="Y650" s="78"/>
      <c r="Z650" s="78"/>
      <c r="AA650" s="78" t="s">
        <v>225</v>
      </c>
      <c r="AB650" s="78"/>
    </row>
    <row r="651" spans="1:28" x14ac:dyDescent="0.25">
      <c r="A651" t="str">
        <f>IF(EXACT('BOM A320 FFS'!B876,obsoleta!D651),"OK","ERROR")</f>
        <v>ERROR</v>
      </c>
      <c r="C651" s="31" t="s">
        <v>314</v>
      </c>
      <c r="D651" s="71">
        <v>1229591601102</v>
      </c>
      <c r="E651" s="71"/>
      <c r="F651" s="32" t="s">
        <v>3070</v>
      </c>
      <c r="G651" s="32" t="s">
        <v>3071</v>
      </c>
      <c r="H651" s="32"/>
      <c r="I651" s="32" t="s">
        <v>2325</v>
      </c>
      <c r="J651" s="33">
        <v>6</v>
      </c>
      <c r="K651" s="34"/>
      <c r="L651" s="35">
        <v>0</v>
      </c>
      <c r="M651" s="36" t="s">
        <v>32</v>
      </c>
      <c r="N651" s="37">
        <v>1</v>
      </c>
      <c r="O651" s="35">
        <v>0</v>
      </c>
      <c r="P651" s="35" t="s">
        <v>130</v>
      </c>
      <c r="Q651" s="97">
        <v>45458</v>
      </c>
      <c r="R651" s="35" t="s">
        <v>62</v>
      </c>
      <c r="S651" s="38" t="s">
        <v>1246</v>
      </c>
      <c r="T651" s="78">
        <v>2</v>
      </c>
      <c r="U651" s="78"/>
      <c r="V651" s="78"/>
      <c r="W651" s="78"/>
      <c r="X651" s="78"/>
      <c r="Y651" s="78"/>
      <c r="Z651" s="78"/>
      <c r="AA651" s="78" t="s">
        <v>225</v>
      </c>
      <c r="AB651" s="78"/>
    </row>
    <row r="652" spans="1:28" x14ac:dyDescent="0.25">
      <c r="A652" t="str">
        <f>IF(EXACT('BOM A320 FFS'!B880,obsoleta!D652),"OK","ERROR")</f>
        <v>ERROR</v>
      </c>
      <c r="C652" s="31" t="s">
        <v>314</v>
      </c>
      <c r="D652" s="71">
        <v>1229591600814</v>
      </c>
      <c r="E652" s="71"/>
      <c r="F652" s="32" t="s">
        <v>3046</v>
      </c>
      <c r="G652" s="32" t="s">
        <v>3047</v>
      </c>
      <c r="H652" s="32"/>
      <c r="I652" s="32" t="s">
        <v>2325</v>
      </c>
      <c r="J652" s="33">
        <v>2</v>
      </c>
      <c r="K652" s="34"/>
      <c r="L652" s="35">
        <v>0</v>
      </c>
      <c r="M652" s="36" t="s">
        <v>32</v>
      </c>
      <c r="N652" s="37">
        <v>1</v>
      </c>
      <c r="O652" s="35">
        <v>0</v>
      </c>
      <c r="P652" s="35" t="s">
        <v>130</v>
      </c>
      <c r="Q652" s="97">
        <v>45458</v>
      </c>
      <c r="R652" s="35" t="s">
        <v>62</v>
      </c>
      <c r="S652" s="38" t="s">
        <v>1246</v>
      </c>
      <c r="T652" s="78">
        <v>2</v>
      </c>
      <c r="U652" s="78"/>
      <c r="V652" s="78"/>
      <c r="W652" s="78"/>
      <c r="X652" s="78"/>
      <c r="Y652" s="78"/>
      <c r="Z652" s="78"/>
      <c r="AA652" s="78" t="s">
        <v>225</v>
      </c>
      <c r="AB652" s="78"/>
    </row>
    <row r="653" spans="1:28" x14ac:dyDescent="0.25">
      <c r="A653" t="str">
        <f>IF(EXACT('BOM A320 FFS'!B881,obsoleta!D653),"OK","ERROR")</f>
        <v>ERROR</v>
      </c>
      <c r="C653" s="31" t="s">
        <v>314</v>
      </c>
      <c r="D653" s="71">
        <v>1229591600906</v>
      </c>
      <c r="E653" s="71"/>
      <c r="F653" s="32" t="s">
        <v>3040</v>
      </c>
      <c r="G653" s="32" t="s">
        <v>3041</v>
      </c>
      <c r="H653" s="32"/>
      <c r="I653" s="32" t="s">
        <v>2325</v>
      </c>
      <c r="J653" s="33">
        <v>2</v>
      </c>
      <c r="K653" s="34"/>
      <c r="L653" s="35">
        <v>0</v>
      </c>
      <c r="M653" s="36" t="s">
        <v>32</v>
      </c>
      <c r="N653" s="37">
        <v>1</v>
      </c>
      <c r="O653" s="35">
        <v>0</v>
      </c>
      <c r="P653" s="35" t="s">
        <v>130</v>
      </c>
      <c r="Q653" s="97">
        <v>45458</v>
      </c>
      <c r="R653" s="35" t="s">
        <v>62</v>
      </c>
      <c r="S653" s="38" t="s">
        <v>1246</v>
      </c>
      <c r="T653" s="78">
        <v>2</v>
      </c>
      <c r="U653" s="78"/>
      <c r="V653" s="78"/>
      <c r="W653" s="78"/>
      <c r="X653" s="78"/>
      <c r="Y653" s="78"/>
      <c r="Z653" s="78"/>
      <c r="AA653" s="78" t="s">
        <v>225</v>
      </c>
      <c r="AB653" s="78"/>
    </row>
    <row r="654" spans="1:28" x14ac:dyDescent="0.25">
      <c r="A654" t="str">
        <f>IF(EXACT('BOM A320 FFS'!B882,obsoleta!D654),"OK","ERROR")</f>
        <v>ERROR</v>
      </c>
      <c r="C654" s="31" t="s">
        <v>314</v>
      </c>
      <c r="D654" s="31">
        <v>1229591600815</v>
      </c>
      <c r="E654" s="31"/>
      <c r="F654" s="32" t="s">
        <v>3064</v>
      </c>
      <c r="G654" s="32" t="s">
        <v>3065</v>
      </c>
      <c r="H654" s="32"/>
      <c r="I654" s="32" t="s">
        <v>2325</v>
      </c>
      <c r="J654" s="33">
        <v>3</v>
      </c>
      <c r="K654" s="34"/>
      <c r="L654" s="35">
        <v>0</v>
      </c>
      <c r="M654" s="36" t="s">
        <v>32</v>
      </c>
      <c r="N654" s="37">
        <v>1</v>
      </c>
      <c r="O654" s="35">
        <v>0</v>
      </c>
      <c r="P654" s="35" t="s">
        <v>130</v>
      </c>
      <c r="Q654" s="97">
        <v>45458</v>
      </c>
      <c r="R654" s="35" t="s">
        <v>62</v>
      </c>
      <c r="S654" s="38" t="s">
        <v>1246</v>
      </c>
      <c r="T654" s="78">
        <v>2</v>
      </c>
      <c r="U654" s="78"/>
      <c r="V654" s="78"/>
      <c r="W654" s="78"/>
      <c r="X654" s="78"/>
      <c r="Y654" s="78"/>
      <c r="Z654" s="78"/>
      <c r="AA654" s="78" t="s">
        <v>225</v>
      </c>
      <c r="AB654" s="78"/>
    </row>
    <row r="655" spans="1:28" x14ac:dyDescent="0.25">
      <c r="A655" t="str">
        <f>IF(EXACT('BOM A320 FFS'!B883,obsoleta!D655),"OK","ERROR")</f>
        <v>ERROR</v>
      </c>
      <c r="C655" s="31" t="s">
        <v>314</v>
      </c>
      <c r="D655" s="71">
        <v>1229591601103</v>
      </c>
      <c r="E655" s="71"/>
      <c r="F655" s="32" t="s">
        <v>2761</v>
      </c>
      <c r="G655" s="32" t="s">
        <v>2762</v>
      </c>
      <c r="H655" s="32"/>
      <c r="I655" s="32" t="s">
        <v>2325</v>
      </c>
      <c r="J655" s="33">
        <v>1</v>
      </c>
      <c r="K655" s="34"/>
      <c r="L655" s="35">
        <v>0</v>
      </c>
      <c r="M655" s="36" t="s">
        <v>32</v>
      </c>
      <c r="N655" s="37">
        <v>1</v>
      </c>
      <c r="O655" s="35">
        <v>0</v>
      </c>
      <c r="P655" s="35" t="s">
        <v>130</v>
      </c>
      <c r="Q655" s="97">
        <v>45458</v>
      </c>
      <c r="R655" s="35" t="s">
        <v>62</v>
      </c>
      <c r="S655" s="38" t="s">
        <v>1246</v>
      </c>
      <c r="T655" s="78">
        <v>2</v>
      </c>
      <c r="U655" s="78"/>
      <c r="V655" s="78"/>
      <c r="W655" s="78"/>
      <c r="X655" s="78"/>
      <c r="Y655" s="78"/>
      <c r="Z655" s="78"/>
      <c r="AA655" s="78" t="s">
        <v>225</v>
      </c>
      <c r="AB655" s="78"/>
    </row>
    <row r="656" spans="1:28" x14ac:dyDescent="0.25">
      <c r="A656" t="str">
        <f>IF(EXACT('BOM A320 FFS'!B884,obsoleta!D656),"OK","ERROR")</f>
        <v>ERROR</v>
      </c>
      <c r="C656" s="31" t="s">
        <v>314</v>
      </c>
      <c r="D656" s="71">
        <v>1229591600702</v>
      </c>
      <c r="E656" s="71"/>
      <c r="F656" s="32" t="s">
        <v>2758</v>
      </c>
      <c r="G656" s="32" t="s">
        <v>2759</v>
      </c>
      <c r="H656" s="32"/>
      <c r="I656" s="32" t="s">
        <v>2325</v>
      </c>
      <c r="J656" s="33">
        <v>3</v>
      </c>
      <c r="K656" s="34"/>
      <c r="L656" s="35">
        <v>0</v>
      </c>
      <c r="M656" s="36" t="s">
        <v>32</v>
      </c>
      <c r="N656" s="37">
        <v>1</v>
      </c>
      <c r="O656" s="35">
        <v>0</v>
      </c>
      <c r="P656" s="35" t="s">
        <v>130</v>
      </c>
      <c r="Q656" s="97">
        <v>45458</v>
      </c>
      <c r="R656" s="35" t="s">
        <v>62</v>
      </c>
      <c r="S656" s="38" t="s">
        <v>1246</v>
      </c>
      <c r="T656" s="78">
        <v>2</v>
      </c>
      <c r="U656" s="78"/>
      <c r="V656" s="78"/>
      <c r="W656" s="78"/>
      <c r="X656" s="78"/>
      <c r="Y656" s="78"/>
      <c r="Z656" s="78"/>
      <c r="AA656" s="78" t="s">
        <v>225</v>
      </c>
      <c r="AB656" s="78"/>
    </row>
    <row r="657" spans="1:28" x14ac:dyDescent="0.25">
      <c r="A657" t="str">
        <f>IF(EXACT('BOM A320 FFS'!B885,obsoleta!D657),"OK","ERROR")</f>
        <v>ERROR</v>
      </c>
      <c r="C657" s="31" t="s">
        <v>314</v>
      </c>
      <c r="D657" s="71">
        <v>1229591600703</v>
      </c>
      <c r="E657" s="71"/>
      <c r="F657" s="32" t="s">
        <v>2764</v>
      </c>
      <c r="G657" s="32" t="s">
        <v>2765</v>
      </c>
      <c r="H657" s="32"/>
      <c r="I657" s="32" t="s">
        <v>2325</v>
      </c>
      <c r="J657" s="33">
        <v>3</v>
      </c>
      <c r="K657" s="34"/>
      <c r="L657" s="35">
        <v>0</v>
      </c>
      <c r="M657" s="36" t="s">
        <v>32</v>
      </c>
      <c r="N657" s="37">
        <v>1</v>
      </c>
      <c r="O657" s="35">
        <v>0</v>
      </c>
      <c r="P657" s="35" t="s">
        <v>130</v>
      </c>
      <c r="Q657" s="97">
        <v>45458</v>
      </c>
      <c r="R657" s="35" t="s">
        <v>62</v>
      </c>
      <c r="S657" s="38"/>
      <c r="T657" s="78">
        <v>2</v>
      </c>
      <c r="U657" s="78"/>
      <c r="V657" s="78"/>
      <c r="W657" s="78"/>
      <c r="X657" s="78"/>
      <c r="Y657" s="78"/>
      <c r="Z657" s="78"/>
      <c r="AA657" s="78" t="s">
        <v>225</v>
      </c>
      <c r="AB657" s="78"/>
    </row>
    <row r="658" spans="1:28" x14ac:dyDescent="0.25">
      <c r="A658" t="str">
        <f>IF(EXACT('BOM A320 FFS'!B886,obsoleta!D658),"OK","ERROR")</f>
        <v>ERROR</v>
      </c>
      <c r="C658" s="31" t="s">
        <v>314</v>
      </c>
      <c r="D658" s="71">
        <v>1229591600908</v>
      </c>
      <c r="E658" s="71"/>
      <c r="F658" s="32" t="s">
        <v>2541</v>
      </c>
      <c r="G658" s="32" t="s">
        <v>2542</v>
      </c>
      <c r="H658" s="32"/>
      <c r="I658" s="32" t="s">
        <v>2325</v>
      </c>
      <c r="J658" s="33">
        <v>4</v>
      </c>
      <c r="K658" s="34"/>
      <c r="L658" s="35">
        <v>0</v>
      </c>
      <c r="M658" s="36" t="s">
        <v>32</v>
      </c>
      <c r="N658" s="37">
        <v>1</v>
      </c>
      <c r="O658" s="35">
        <v>0</v>
      </c>
      <c r="P658" s="35" t="s">
        <v>130</v>
      </c>
      <c r="Q658" s="97">
        <v>45458</v>
      </c>
      <c r="R658" s="35" t="s">
        <v>62</v>
      </c>
      <c r="S658" s="38"/>
      <c r="T658" s="78">
        <v>2</v>
      </c>
      <c r="U658" s="78"/>
      <c r="V658" s="78"/>
      <c r="W658" s="78"/>
      <c r="X658" s="78"/>
      <c r="Y658" s="78"/>
      <c r="Z658" s="78"/>
      <c r="AA658" s="78" t="s">
        <v>225</v>
      </c>
      <c r="AB658" s="78"/>
    </row>
    <row r="659" spans="1:28" x14ac:dyDescent="0.25">
      <c r="A659" t="str">
        <f>IF(EXACT('BOM A320 FFS'!B887,obsoleta!D659),"OK","ERROR")</f>
        <v>ERROR</v>
      </c>
      <c r="C659" s="31" t="s">
        <v>314</v>
      </c>
      <c r="D659" s="71">
        <v>1229591600909</v>
      </c>
      <c r="E659" s="71"/>
      <c r="F659" s="32" t="s">
        <v>2538</v>
      </c>
      <c r="G659" s="32" t="s">
        <v>2539</v>
      </c>
      <c r="H659" s="32"/>
      <c r="I659" s="32" t="s">
        <v>2325</v>
      </c>
      <c r="J659" s="33">
        <v>4</v>
      </c>
      <c r="K659" s="34"/>
      <c r="L659" s="35">
        <v>0</v>
      </c>
      <c r="M659" s="36" t="s">
        <v>32</v>
      </c>
      <c r="N659" s="37">
        <v>1</v>
      </c>
      <c r="O659" s="35">
        <v>0</v>
      </c>
      <c r="P659" s="35" t="s">
        <v>130</v>
      </c>
      <c r="Q659" s="97">
        <v>45458</v>
      </c>
      <c r="R659" s="35" t="s">
        <v>62</v>
      </c>
      <c r="S659" s="38"/>
      <c r="T659" s="78">
        <v>2</v>
      </c>
      <c r="U659" s="78"/>
      <c r="V659" s="78"/>
      <c r="W659" s="78"/>
      <c r="X659" s="78"/>
      <c r="Y659" s="78"/>
      <c r="Z659" s="78"/>
      <c r="AA659" s="78" t="s">
        <v>225</v>
      </c>
      <c r="AB659" s="78"/>
    </row>
    <row r="660" spans="1:28" x14ac:dyDescent="0.25">
      <c r="A660" t="str">
        <f>IF(EXACT('BOM A320 FFS'!B888,obsoleta!D660),"OK","ERROR")</f>
        <v>ERROR</v>
      </c>
      <c r="C660" s="31" t="s">
        <v>314</v>
      </c>
      <c r="D660" s="71">
        <v>1229591601000</v>
      </c>
      <c r="E660" s="71"/>
      <c r="F660" s="32" t="s">
        <v>2535</v>
      </c>
      <c r="G660" s="32" t="s">
        <v>2536</v>
      </c>
      <c r="H660" s="32"/>
      <c r="I660" s="32" t="s">
        <v>2325</v>
      </c>
      <c r="J660" s="33">
        <v>1</v>
      </c>
      <c r="K660" s="34"/>
      <c r="L660" s="35">
        <v>0</v>
      </c>
      <c r="M660" s="36" t="s">
        <v>32</v>
      </c>
      <c r="N660" s="37">
        <v>1</v>
      </c>
      <c r="O660" s="35">
        <v>0</v>
      </c>
      <c r="P660" s="35" t="s">
        <v>130</v>
      </c>
      <c r="Q660" s="97">
        <v>45458</v>
      </c>
      <c r="R660" s="35" t="s">
        <v>62</v>
      </c>
      <c r="S660" s="38"/>
      <c r="T660" s="78">
        <v>2</v>
      </c>
      <c r="U660" s="78"/>
      <c r="V660" s="78"/>
      <c r="W660" s="78"/>
      <c r="X660" s="78"/>
      <c r="Y660" s="78"/>
      <c r="Z660" s="78"/>
      <c r="AA660" s="78" t="s">
        <v>225</v>
      </c>
      <c r="AB660" s="78"/>
    </row>
    <row r="661" spans="1:28" x14ac:dyDescent="0.25">
      <c r="A661" t="str">
        <f>IF(EXACT('BOM A320 FFS'!B889,obsoleta!D661),"OK","ERROR")</f>
        <v>ERROR</v>
      </c>
      <c r="C661" s="31" t="s">
        <v>314</v>
      </c>
      <c r="D661" s="71">
        <v>1229591601107</v>
      </c>
      <c r="E661" s="71"/>
      <c r="F661" s="32" t="s">
        <v>2333</v>
      </c>
      <c r="G661" s="32" t="s">
        <v>2334</v>
      </c>
      <c r="H661" s="32"/>
      <c r="I661" s="32" t="s">
        <v>2325</v>
      </c>
      <c r="J661" s="33">
        <v>2</v>
      </c>
      <c r="K661" s="34"/>
      <c r="L661" s="35">
        <v>0</v>
      </c>
      <c r="M661" s="36" t="s">
        <v>32</v>
      </c>
      <c r="N661" s="37">
        <v>1</v>
      </c>
      <c r="O661" s="35">
        <v>0</v>
      </c>
      <c r="P661" s="35" t="s">
        <v>130</v>
      </c>
      <c r="Q661" s="97">
        <v>45458</v>
      </c>
      <c r="R661" s="35" t="s">
        <v>62</v>
      </c>
      <c r="S661" s="38"/>
      <c r="T661" s="78">
        <v>2</v>
      </c>
      <c r="U661" s="78"/>
      <c r="V661" s="78"/>
      <c r="W661" s="78"/>
      <c r="X661" s="78"/>
      <c r="Y661" s="78"/>
      <c r="Z661" s="78"/>
      <c r="AA661" s="78" t="s">
        <v>225</v>
      </c>
      <c r="AB661" s="78"/>
    </row>
    <row r="662" spans="1:28" x14ac:dyDescent="0.25">
      <c r="A662" t="str">
        <f>IF(EXACT('BOM A320 FFS'!B890,obsoleta!D662),"OK","ERROR")</f>
        <v>ERROR</v>
      </c>
      <c r="C662" s="31" t="s">
        <v>314</v>
      </c>
      <c r="D662" s="71">
        <v>1229591601006</v>
      </c>
      <c r="E662" s="71"/>
      <c r="F662" s="32" t="s">
        <v>2330</v>
      </c>
      <c r="G662" s="32" t="s">
        <v>2331</v>
      </c>
      <c r="H662" s="32"/>
      <c r="I662" s="32" t="s">
        <v>2325</v>
      </c>
      <c r="J662" s="33">
        <v>1</v>
      </c>
      <c r="K662" s="34"/>
      <c r="L662" s="35">
        <v>0</v>
      </c>
      <c r="M662" s="36" t="s">
        <v>32</v>
      </c>
      <c r="N662" s="37">
        <v>1</v>
      </c>
      <c r="O662" s="35">
        <v>0</v>
      </c>
      <c r="P662" s="35" t="s">
        <v>130</v>
      </c>
      <c r="Q662" s="97">
        <v>45458</v>
      </c>
      <c r="R662" s="35" t="s">
        <v>62</v>
      </c>
      <c r="S662" s="38"/>
      <c r="T662" s="78">
        <v>2</v>
      </c>
      <c r="U662" s="78"/>
      <c r="V662" s="78"/>
      <c r="W662" s="78"/>
      <c r="X662" s="78"/>
      <c r="Y662" s="78"/>
      <c r="Z662" s="78"/>
      <c r="AA662" s="78" t="s">
        <v>225</v>
      </c>
      <c r="AB662" s="78"/>
    </row>
    <row r="663" spans="1:28" x14ac:dyDescent="0.25">
      <c r="A663" t="str">
        <f>IF(EXACT('BOM A320 FFS'!B891,obsoleta!D663),"OK","ERROR")</f>
        <v>ERROR</v>
      </c>
      <c r="C663" s="31" t="s">
        <v>314</v>
      </c>
      <c r="D663" s="71">
        <v>1229591601007</v>
      </c>
      <c r="E663" s="71"/>
      <c r="F663" s="32" t="s">
        <v>2327</v>
      </c>
      <c r="G663" s="32" t="s">
        <v>2328</v>
      </c>
      <c r="H663" s="32"/>
      <c r="I663" s="32" t="s">
        <v>2325</v>
      </c>
      <c r="J663" s="33">
        <v>7</v>
      </c>
      <c r="K663" s="34"/>
      <c r="L663" s="35">
        <v>0</v>
      </c>
      <c r="M663" s="36" t="s">
        <v>32</v>
      </c>
      <c r="N663" s="37">
        <v>1</v>
      </c>
      <c r="O663" s="35">
        <v>0</v>
      </c>
      <c r="P663" s="35" t="s">
        <v>130</v>
      </c>
      <c r="Q663" s="97">
        <v>45458</v>
      </c>
      <c r="R663" s="35" t="s">
        <v>62</v>
      </c>
      <c r="S663" s="38"/>
      <c r="T663" s="78">
        <v>2</v>
      </c>
      <c r="U663" s="78"/>
      <c r="V663" s="78"/>
      <c r="W663" s="78"/>
      <c r="X663" s="78"/>
      <c r="Y663" s="78"/>
      <c r="Z663" s="78"/>
      <c r="AA663" s="78" t="s">
        <v>225</v>
      </c>
      <c r="AB663" s="78"/>
    </row>
    <row r="664" spans="1:28" x14ac:dyDescent="0.25">
      <c r="A664" t="str">
        <f>IF(EXACT('BOM A320 FFS'!B893,obsoleta!D664),"OK","ERROR")</f>
        <v>ERROR</v>
      </c>
      <c r="C664" s="31" t="s">
        <v>314</v>
      </c>
      <c r="D664" s="71">
        <v>1229591601008</v>
      </c>
      <c r="E664" s="71"/>
      <c r="F664" s="32" t="s">
        <v>2323</v>
      </c>
      <c r="G664" s="32" t="s">
        <v>2324</v>
      </c>
      <c r="H664" s="32"/>
      <c r="I664" s="32" t="s">
        <v>2325</v>
      </c>
      <c r="J664" s="33">
        <v>2</v>
      </c>
      <c r="K664" s="34"/>
      <c r="L664" s="35">
        <v>0</v>
      </c>
      <c r="M664" s="36" t="s">
        <v>32</v>
      </c>
      <c r="N664" s="37">
        <v>1</v>
      </c>
      <c r="O664" s="35">
        <v>0</v>
      </c>
      <c r="P664" s="35" t="s">
        <v>130</v>
      </c>
      <c r="Q664" s="97">
        <v>45458</v>
      </c>
      <c r="R664" s="35" t="s">
        <v>62</v>
      </c>
      <c r="S664" s="38"/>
      <c r="T664" s="78">
        <v>2</v>
      </c>
      <c r="U664" s="78"/>
      <c r="V664" s="78"/>
      <c r="W664" s="78"/>
      <c r="X664" s="78"/>
      <c r="Y664" s="78"/>
      <c r="Z664" s="78"/>
      <c r="AA664" s="78" t="s">
        <v>225</v>
      </c>
      <c r="AB664" s="78"/>
    </row>
    <row r="665" spans="1:28" x14ac:dyDescent="0.25">
      <c r="A665" t="str">
        <f>IF(EXACT('BOM A320 FFS'!B894,obsoleta!D665),"OK","ERROR")</f>
        <v>ERROR</v>
      </c>
      <c r="C665" s="31" t="s">
        <v>314</v>
      </c>
      <c r="D665" s="71">
        <v>1229591600802</v>
      </c>
      <c r="E665" s="71"/>
      <c r="F665" s="32" t="s">
        <v>2342</v>
      </c>
      <c r="G665" s="32" t="s">
        <v>2343</v>
      </c>
      <c r="H665" s="32"/>
      <c r="I665" s="32" t="s">
        <v>2325</v>
      </c>
      <c r="J665" s="33">
        <v>2</v>
      </c>
      <c r="K665" s="34"/>
      <c r="L665" s="35">
        <v>0</v>
      </c>
      <c r="M665" s="36" t="s">
        <v>32</v>
      </c>
      <c r="N665" s="37">
        <v>1</v>
      </c>
      <c r="O665" s="35">
        <v>0</v>
      </c>
      <c r="P665" s="35" t="s">
        <v>130</v>
      </c>
      <c r="Q665" s="97">
        <v>45458</v>
      </c>
      <c r="R665" s="35" t="s">
        <v>62</v>
      </c>
      <c r="S665" s="38"/>
      <c r="T665" s="78">
        <v>2</v>
      </c>
      <c r="U665" s="78"/>
      <c r="V665" s="78"/>
      <c r="W665" s="78"/>
      <c r="X665" s="78"/>
      <c r="Y665" s="78"/>
      <c r="Z665" s="78"/>
      <c r="AA665" s="78" t="s">
        <v>225</v>
      </c>
      <c r="AB665" s="78"/>
    </row>
    <row r="666" spans="1:28" x14ac:dyDescent="0.25">
      <c r="A666" t="str">
        <f>IF(EXACT('BOM A320 FFS'!B895,obsoleta!D666),"OK","ERROR")</f>
        <v>ERROR</v>
      </c>
      <c r="C666" s="31" t="s">
        <v>314</v>
      </c>
      <c r="D666" s="71">
        <v>1229591600803</v>
      </c>
      <c r="E666" s="71"/>
      <c r="F666" s="32" t="s">
        <v>2339</v>
      </c>
      <c r="G666" s="32" t="s">
        <v>2340</v>
      </c>
      <c r="H666" s="32"/>
      <c r="I666" s="32" t="s">
        <v>2325</v>
      </c>
      <c r="J666" s="33">
        <v>2</v>
      </c>
      <c r="K666" s="34"/>
      <c r="L666" s="35">
        <v>0</v>
      </c>
      <c r="M666" s="36" t="s">
        <v>32</v>
      </c>
      <c r="N666" s="37">
        <v>1</v>
      </c>
      <c r="O666" s="35">
        <v>0</v>
      </c>
      <c r="P666" s="35" t="s">
        <v>130</v>
      </c>
      <c r="Q666" s="97">
        <v>45458</v>
      </c>
      <c r="R666" s="35" t="s">
        <v>62</v>
      </c>
      <c r="S666" s="38"/>
      <c r="T666" s="78">
        <v>2</v>
      </c>
      <c r="U666" s="78"/>
      <c r="V666" s="78"/>
      <c r="W666" s="78"/>
      <c r="X666" s="78"/>
      <c r="Y666" s="78"/>
      <c r="Z666" s="78"/>
      <c r="AA666" s="78" t="s">
        <v>225</v>
      </c>
      <c r="AB666" s="78"/>
    </row>
    <row r="667" spans="1:28" x14ac:dyDescent="0.25">
      <c r="A667" t="str">
        <f>IF(EXACT('BOM A320 FFS'!B896,obsoleta!D667),"OK","ERROR")</f>
        <v>ERROR</v>
      </c>
      <c r="C667" s="31" t="s">
        <v>314</v>
      </c>
      <c r="D667" s="71">
        <v>1229591600804</v>
      </c>
      <c r="E667" s="71"/>
      <c r="F667" s="32" t="s">
        <v>2336</v>
      </c>
      <c r="G667" s="32" t="s">
        <v>2337</v>
      </c>
      <c r="H667" s="32"/>
      <c r="I667" s="32" t="s">
        <v>2325</v>
      </c>
      <c r="J667" s="33">
        <v>5</v>
      </c>
      <c r="K667" s="34"/>
      <c r="L667" s="35">
        <v>0</v>
      </c>
      <c r="M667" s="36" t="s">
        <v>32</v>
      </c>
      <c r="N667" s="37">
        <v>1</v>
      </c>
      <c r="O667" s="35">
        <v>0</v>
      </c>
      <c r="P667" s="35" t="s">
        <v>130</v>
      </c>
      <c r="Q667" s="97">
        <v>45458</v>
      </c>
      <c r="R667" s="35" t="s">
        <v>62</v>
      </c>
      <c r="S667" s="38"/>
      <c r="T667" s="78">
        <v>2</v>
      </c>
      <c r="U667" s="78"/>
      <c r="V667" s="78"/>
      <c r="W667" s="78"/>
      <c r="X667" s="78"/>
      <c r="Y667" s="78"/>
      <c r="Z667" s="78"/>
      <c r="AA667" s="78" t="s">
        <v>225</v>
      </c>
      <c r="AB667" s="78"/>
    </row>
    <row r="668" spans="1:28" x14ac:dyDescent="0.25">
      <c r="A668" t="str">
        <f>IF(EXACT('BOM A320 FFS'!B897,obsoleta!D668),"OK","ERROR")</f>
        <v>ERROR</v>
      </c>
      <c r="C668" s="31" t="s">
        <v>314</v>
      </c>
      <c r="D668" s="71">
        <v>1229591601104</v>
      </c>
      <c r="E668" s="71"/>
      <c r="F668" s="32" t="s">
        <v>2678</v>
      </c>
      <c r="G668" s="32" t="s">
        <v>2679</v>
      </c>
      <c r="H668" s="32"/>
      <c r="I668" s="32" t="s">
        <v>2325</v>
      </c>
      <c r="J668" s="33">
        <v>2</v>
      </c>
      <c r="K668" s="34"/>
      <c r="L668" s="35">
        <v>0</v>
      </c>
      <c r="M668" s="36" t="s">
        <v>32</v>
      </c>
      <c r="N668" s="37">
        <v>1</v>
      </c>
      <c r="O668" s="35">
        <v>0</v>
      </c>
      <c r="P668" s="35" t="s">
        <v>130</v>
      </c>
      <c r="Q668" s="97">
        <v>45458</v>
      </c>
      <c r="R668" s="35" t="s">
        <v>62</v>
      </c>
      <c r="S668" s="38"/>
      <c r="T668" s="78">
        <v>2</v>
      </c>
      <c r="U668" s="78"/>
      <c r="V668" s="78"/>
      <c r="W668" s="78"/>
      <c r="X668" s="78"/>
      <c r="Y668" s="78"/>
      <c r="Z668" s="78"/>
      <c r="AA668" s="78" t="s">
        <v>225</v>
      </c>
      <c r="AB668" s="78"/>
    </row>
    <row r="669" spans="1:28" x14ac:dyDescent="0.25">
      <c r="A669" t="str">
        <f>IF(EXACT('BOM A320 FFS'!B898,obsoleta!D669),"OK","ERROR")</f>
        <v>ERROR</v>
      </c>
      <c r="C669" s="31" t="s">
        <v>314</v>
      </c>
      <c r="D669" s="71">
        <v>1229591601108</v>
      </c>
      <c r="E669" s="71"/>
      <c r="F669" s="32" t="s">
        <v>2675</v>
      </c>
      <c r="G669" s="32" t="s">
        <v>2676</v>
      </c>
      <c r="H669" s="32"/>
      <c r="I669" s="32" t="s">
        <v>2325</v>
      </c>
      <c r="J669" s="33">
        <v>2</v>
      </c>
      <c r="K669" s="34"/>
      <c r="L669" s="35">
        <v>0</v>
      </c>
      <c r="M669" s="36" t="s">
        <v>32</v>
      </c>
      <c r="N669" s="37">
        <v>1</v>
      </c>
      <c r="O669" s="35">
        <v>0</v>
      </c>
      <c r="P669" s="35" t="s">
        <v>130</v>
      </c>
      <c r="Q669" s="97">
        <v>45458</v>
      </c>
      <c r="R669" s="35" t="s">
        <v>62</v>
      </c>
      <c r="S669" s="38"/>
      <c r="T669" s="78">
        <v>2</v>
      </c>
      <c r="U669" s="78"/>
      <c r="V669" s="78"/>
      <c r="W669" s="78"/>
      <c r="X669" s="78"/>
      <c r="Y669" s="78"/>
      <c r="Z669" s="78"/>
      <c r="AA669" s="78" t="s">
        <v>225</v>
      </c>
      <c r="AB669" s="78"/>
    </row>
    <row r="670" spans="1:28" x14ac:dyDescent="0.25">
      <c r="A670" t="str">
        <f>IF(EXACT('BOM A320 FFS'!B899,obsoleta!D670),"OK","ERROR")</f>
        <v>ERROR</v>
      </c>
      <c r="C670" s="31" t="s">
        <v>314</v>
      </c>
      <c r="D670" s="71">
        <v>1229591600811</v>
      </c>
      <c r="E670" s="71"/>
      <c r="F670" s="32" t="s">
        <v>2672</v>
      </c>
      <c r="G670" s="32" t="s">
        <v>2673</v>
      </c>
      <c r="H670" s="32"/>
      <c r="I670" s="32" t="s">
        <v>2325</v>
      </c>
      <c r="J670" s="33">
        <v>2</v>
      </c>
      <c r="K670" s="34"/>
      <c r="L670" s="35">
        <v>0</v>
      </c>
      <c r="M670" s="36" t="s">
        <v>32</v>
      </c>
      <c r="N670" s="37">
        <v>1</v>
      </c>
      <c r="O670" s="35">
        <v>0</v>
      </c>
      <c r="P670" s="35" t="s">
        <v>130</v>
      </c>
      <c r="Q670" s="97">
        <v>45458</v>
      </c>
      <c r="R670" s="35" t="s">
        <v>62</v>
      </c>
      <c r="S670" s="38"/>
      <c r="T670" s="78">
        <v>2</v>
      </c>
      <c r="U670" s="78"/>
      <c r="V670" s="78"/>
      <c r="W670" s="78"/>
      <c r="X670" s="78"/>
      <c r="Y670" s="78"/>
      <c r="Z670" s="78"/>
      <c r="AA670" s="78" t="s">
        <v>225</v>
      </c>
      <c r="AB670" s="78"/>
    </row>
    <row r="671" spans="1:28" ht="39" x14ac:dyDescent="0.25">
      <c r="A671" t="e">
        <f>IF(EXACT('BOM A320 FFS'!#REF!,obsoleta!D671),"OK","ERROR")</f>
        <v>#REF!</v>
      </c>
      <c r="C671" s="72" t="s">
        <v>314</v>
      </c>
      <c r="D671" s="109">
        <v>1229591601105</v>
      </c>
      <c r="E671" s="109"/>
      <c r="F671" s="32" t="s">
        <v>3769</v>
      </c>
      <c r="G671" s="32" t="s">
        <v>3770</v>
      </c>
      <c r="H671" s="32"/>
      <c r="I671" s="32" t="s">
        <v>2325</v>
      </c>
      <c r="J671" s="33">
        <v>6</v>
      </c>
      <c r="K671" s="34"/>
      <c r="L671" s="35">
        <v>0</v>
      </c>
      <c r="M671" s="36" t="s">
        <v>32</v>
      </c>
      <c r="N671" s="37">
        <v>1</v>
      </c>
      <c r="O671" s="35">
        <v>0</v>
      </c>
      <c r="P671" s="35" t="s">
        <v>130</v>
      </c>
      <c r="Q671" s="97">
        <v>45458</v>
      </c>
      <c r="R671" s="35" t="s">
        <v>62</v>
      </c>
      <c r="S671" s="38"/>
      <c r="T671" s="78">
        <v>2</v>
      </c>
      <c r="U671" s="78"/>
      <c r="V671" s="78"/>
      <c r="W671" s="78"/>
      <c r="X671" s="78"/>
      <c r="Y671" s="78"/>
      <c r="Z671" s="78"/>
      <c r="AA671" s="78" t="s">
        <v>225</v>
      </c>
      <c r="AB671" s="78"/>
    </row>
    <row r="672" spans="1:28" x14ac:dyDescent="0.25">
      <c r="A672" t="e">
        <f>IF(EXACT('BOM A320 FFS'!#REF!,obsoleta!D672),"OK","ERROR")</f>
        <v>#REF!</v>
      </c>
      <c r="C672" s="31" t="s">
        <v>314</v>
      </c>
      <c r="D672" s="71">
        <v>1229591601106</v>
      </c>
      <c r="E672" s="71"/>
      <c r="F672" s="32" t="s">
        <v>3771</v>
      </c>
      <c r="G672" s="32" t="s">
        <v>3772</v>
      </c>
      <c r="H672" s="32"/>
      <c r="I672" s="32" t="s">
        <v>2325</v>
      </c>
      <c r="J672" s="33">
        <v>1</v>
      </c>
      <c r="K672" s="34"/>
      <c r="L672" s="35">
        <v>0</v>
      </c>
      <c r="M672" s="36" t="s">
        <v>32</v>
      </c>
      <c r="N672" s="37">
        <v>1</v>
      </c>
      <c r="O672" s="35">
        <v>0</v>
      </c>
      <c r="P672" s="35" t="s">
        <v>130</v>
      </c>
      <c r="Q672" s="97">
        <v>45458</v>
      </c>
      <c r="R672" s="35" t="s">
        <v>62</v>
      </c>
      <c r="S672" s="38"/>
      <c r="T672" s="78">
        <v>2</v>
      </c>
      <c r="U672" s="78"/>
      <c r="V672" s="78"/>
      <c r="W672" s="78"/>
      <c r="X672" s="78"/>
      <c r="Y672" s="78"/>
      <c r="Z672" s="78"/>
      <c r="AA672" s="78" t="s">
        <v>225</v>
      </c>
      <c r="AB672" s="78"/>
    </row>
    <row r="673" spans="1:28" x14ac:dyDescent="0.25">
      <c r="A673" t="str">
        <f>IF(EXACT('BOM A320 FFS'!B900,obsoleta!D673),"OK","ERROR")</f>
        <v>ERROR</v>
      </c>
      <c r="C673" s="31" t="s">
        <v>314</v>
      </c>
      <c r="D673" s="71">
        <v>3210104723405</v>
      </c>
      <c r="E673" s="71"/>
      <c r="F673" s="32" t="s">
        <v>3067</v>
      </c>
      <c r="G673" s="32" t="s">
        <v>3068</v>
      </c>
      <c r="H673" s="32" t="s">
        <v>2325</v>
      </c>
      <c r="I673" s="32" t="s">
        <v>2325</v>
      </c>
      <c r="J673" s="33">
        <v>8</v>
      </c>
      <c r="K673" s="34"/>
      <c r="L673" s="35">
        <v>0</v>
      </c>
      <c r="M673" s="36" t="s">
        <v>32</v>
      </c>
      <c r="N673" s="37">
        <v>1</v>
      </c>
      <c r="O673" s="35">
        <v>0</v>
      </c>
      <c r="P673" s="35" t="s">
        <v>130</v>
      </c>
      <c r="Q673" s="97">
        <v>45458</v>
      </c>
      <c r="R673" s="35" t="s">
        <v>62</v>
      </c>
      <c r="S673" s="38"/>
      <c r="T673" s="78">
        <v>2</v>
      </c>
      <c r="U673" s="78"/>
      <c r="V673" s="78"/>
      <c r="W673" s="78"/>
      <c r="X673" s="78"/>
      <c r="Y673" s="78"/>
      <c r="Z673" s="78"/>
      <c r="AA673" s="78" t="s">
        <v>225</v>
      </c>
      <c r="AB673" s="78"/>
    </row>
    <row r="674" spans="1:28" x14ac:dyDescent="0.25">
      <c r="A674" t="str">
        <f>IF(EXACT('BOM A320 FFS'!B901,obsoleta!D674),"OK","ERROR")</f>
        <v>ERROR</v>
      </c>
      <c r="C674" s="31" t="s">
        <v>314</v>
      </c>
      <c r="D674" s="71">
        <v>3210104723411</v>
      </c>
      <c r="E674" s="71"/>
      <c r="F674" s="32" t="s">
        <v>3061</v>
      </c>
      <c r="G674" s="32" t="s">
        <v>3062</v>
      </c>
      <c r="H674" s="32" t="s">
        <v>2325</v>
      </c>
      <c r="I674" s="32" t="s">
        <v>2325</v>
      </c>
      <c r="J674" s="33">
        <v>8</v>
      </c>
      <c r="K674" s="34"/>
      <c r="L674" s="35">
        <v>0</v>
      </c>
      <c r="M674" s="36" t="s">
        <v>32</v>
      </c>
      <c r="N674" s="37">
        <v>1</v>
      </c>
      <c r="O674" s="35">
        <v>0</v>
      </c>
      <c r="P674" s="35" t="s">
        <v>130</v>
      </c>
      <c r="Q674" s="97">
        <v>45458</v>
      </c>
      <c r="R674" s="35" t="s">
        <v>62</v>
      </c>
      <c r="S674" s="38"/>
      <c r="T674" s="78">
        <v>2</v>
      </c>
      <c r="U674" s="78"/>
      <c r="V674" s="78"/>
      <c r="W674" s="78"/>
      <c r="X674" s="78"/>
      <c r="Y674" s="78"/>
      <c r="Z674" s="78"/>
      <c r="AA674" s="78" t="s">
        <v>225</v>
      </c>
      <c r="AB674" s="78"/>
    </row>
    <row r="675" spans="1:28" x14ac:dyDescent="0.25">
      <c r="A675" t="str">
        <f>IF(EXACT('BOM A320 FFS'!B902,obsoleta!D675),"OK","ERROR")</f>
        <v>ERROR</v>
      </c>
      <c r="C675" s="31" t="s">
        <v>314</v>
      </c>
      <c r="D675" s="71">
        <v>3210104723401</v>
      </c>
      <c r="E675" s="71"/>
      <c r="F675" s="32" t="s">
        <v>3055</v>
      </c>
      <c r="G675" s="32" t="s">
        <v>3056</v>
      </c>
      <c r="H675" s="32" t="s">
        <v>2325</v>
      </c>
      <c r="I675" s="32" t="s">
        <v>2325</v>
      </c>
      <c r="J675" s="33">
        <v>5</v>
      </c>
      <c r="K675" s="34"/>
      <c r="L675" s="35">
        <v>0</v>
      </c>
      <c r="M675" s="36" t="s">
        <v>32</v>
      </c>
      <c r="N675" s="37">
        <v>1</v>
      </c>
      <c r="O675" s="35">
        <v>0</v>
      </c>
      <c r="P675" s="35" t="s">
        <v>130</v>
      </c>
      <c r="Q675" s="97">
        <v>45458</v>
      </c>
      <c r="R675" s="35" t="s">
        <v>62</v>
      </c>
      <c r="S675" s="38"/>
      <c r="T675" s="78">
        <v>2</v>
      </c>
      <c r="U675" s="78"/>
      <c r="V675" s="78"/>
      <c r="W675" s="78"/>
      <c r="X675" s="78"/>
      <c r="Y675" s="78"/>
      <c r="Z675" s="78"/>
      <c r="AA675" s="78" t="s">
        <v>225</v>
      </c>
      <c r="AB675" s="78"/>
    </row>
    <row r="676" spans="1:28" x14ac:dyDescent="0.25">
      <c r="A676" t="str">
        <f>IF(EXACT('BOM A320 FFS'!B903,obsoleta!D676),"OK","ERROR")</f>
        <v>ERROR</v>
      </c>
      <c r="C676" s="31" t="s">
        <v>314</v>
      </c>
      <c r="D676" s="71">
        <v>3210104723502</v>
      </c>
      <c r="E676" s="71"/>
      <c r="F676" s="32" t="s">
        <v>3049</v>
      </c>
      <c r="G676" s="32" t="s">
        <v>3050</v>
      </c>
      <c r="H676" s="32" t="s">
        <v>2325</v>
      </c>
      <c r="I676" s="32" t="s">
        <v>2325</v>
      </c>
      <c r="J676" s="33">
        <v>2</v>
      </c>
      <c r="K676" s="34"/>
      <c r="L676" s="35">
        <v>0</v>
      </c>
      <c r="M676" s="36" t="s">
        <v>32</v>
      </c>
      <c r="N676" s="37">
        <v>1</v>
      </c>
      <c r="O676" s="35">
        <v>0</v>
      </c>
      <c r="P676" s="35" t="s">
        <v>130</v>
      </c>
      <c r="Q676" s="97">
        <v>45458</v>
      </c>
      <c r="R676" s="35" t="s">
        <v>62</v>
      </c>
      <c r="S676" s="38" t="s">
        <v>1246</v>
      </c>
      <c r="T676" s="78">
        <v>2</v>
      </c>
      <c r="U676" s="78"/>
      <c r="V676" s="78"/>
      <c r="W676" s="78"/>
      <c r="X676" s="78"/>
      <c r="Y676" s="78"/>
      <c r="Z676" s="78"/>
      <c r="AA676" s="78" t="s">
        <v>225</v>
      </c>
      <c r="AB676" s="78"/>
    </row>
    <row r="677" spans="1:28" x14ac:dyDescent="0.25">
      <c r="A677" t="e">
        <f>IF(EXACT('BOM A320 FFS'!#REF!,obsoleta!D677),"OK","ERROR")</f>
        <v>#REF!</v>
      </c>
      <c r="C677" s="31" t="s">
        <v>314</v>
      </c>
      <c r="D677" s="71">
        <v>3210104723503</v>
      </c>
      <c r="E677" s="71"/>
      <c r="F677" s="32" t="s">
        <v>3773</v>
      </c>
      <c r="G677" s="32" t="s">
        <v>2600</v>
      </c>
      <c r="H677" s="32" t="s">
        <v>2325</v>
      </c>
      <c r="I677" s="32" t="s">
        <v>2325</v>
      </c>
      <c r="J677" s="33">
        <v>14</v>
      </c>
      <c r="K677" s="34"/>
      <c r="L677" s="35">
        <v>0</v>
      </c>
      <c r="M677" s="36" t="s">
        <v>32</v>
      </c>
      <c r="N677" s="37">
        <v>1</v>
      </c>
      <c r="O677" s="35">
        <v>0</v>
      </c>
      <c r="P677" s="35" t="s">
        <v>130</v>
      </c>
      <c r="Q677" s="97">
        <v>45458</v>
      </c>
      <c r="R677" s="35" t="s">
        <v>62</v>
      </c>
      <c r="S677" s="38" t="s">
        <v>1246</v>
      </c>
      <c r="T677" s="78">
        <v>2</v>
      </c>
      <c r="U677" s="78"/>
      <c r="V677" s="78"/>
      <c r="W677" s="78"/>
      <c r="X677" s="78"/>
      <c r="Y677" s="78"/>
      <c r="Z677" s="78"/>
      <c r="AA677" s="78" t="s">
        <v>225</v>
      </c>
      <c r="AB677" s="78"/>
    </row>
    <row r="678" spans="1:28" x14ac:dyDescent="0.25">
      <c r="A678" t="str">
        <f>IF(EXACT('BOM A320 FFS'!B904,obsoleta!D678),"OK","ERROR")</f>
        <v>ERROR</v>
      </c>
      <c r="C678" s="31" t="s">
        <v>27</v>
      </c>
      <c r="D678" s="71">
        <v>3210104723400</v>
      </c>
      <c r="E678" s="71"/>
      <c r="F678" s="32" t="s">
        <v>3043</v>
      </c>
      <c r="G678" s="32" t="s">
        <v>3044</v>
      </c>
      <c r="H678" s="32" t="s">
        <v>2325</v>
      </c>
      <c r="I678" s="32" t="s">
        <v>2325</v>
      </c>
      <c r="J678" s="33">
        <v>5</v>
      </c>
      <c r="K678" s="34"/>
      <c r="L678" s="35">
        <v>0</v>
      </c>
      <c r="M678" s="36" t="s">
        <v>32</v>
      </c>
      <c r="N678" s="37">
        <v>1</v>
      </c>
      <c r="O678" s="35">
        <v>0</v>
      </c>
      <c r="P678" s="35" t="s">
        <v>33</v>
      </c>
      <c r="Q678" s="97">
        <v>45457</v>
      </c>
      <c r="R678" s="35" t="s">
        <v>62</v>
      </c>
      <c r="S678" s="38" t="s">
        <v>1246</v>
      </c>
      <c r="T678" s="78">
        <v>2</v>
      </c>
      <c r="U678" s="78"/>
      <c r="V678" s="78"/>
      <c r="W678" s="78" t="s">
        <v>81</v>
      </c>
      <c r="X678" s="78" t="s">
        <v>104</v>
      </c>
      <c r="Y678" s="78">
        <v>2</v>
      </c>
      <c r="Z678" s="78" t="s">
        <v>48</v>
      </c>
      <c r="AA678" s="78" t="s">
        <v>225</v>
      </c>
      <c r="AB678" s="78">
        <v>5</v>
      </c>
    </row>
    <row r="679" spans="1:28" x14ac:dyDescent="0.25">
      <c r="A679" t="str">
        <f>IF(EXACT('BOM A320 FFS'!B905,obsoleta!D679),"OK","ERROR")</f>
        <v>ERROR</v>
      </c>
      <c r="C679" s="31" t="s">
        <v>314</v>
      </c>
      <c r="D679" s="71">
        <v>3210104723403</v>
      </c>
      <c r="E679" s="71"/>
      <c r="F679" s="32" t="s">
        <v>3037</v>
      </c>
      <c r="G679" s="32" t="s">
        <v>3038</v>
      </c>
      <c r="H679" s="32" t="s">
        <v>2325</v>
      </c>
      <c r="I679" s="32" t="s">
        <v>2325</v>
      </c>
      <c r="J679" s="33">
        <v>2</v>
      </c>
      <c r="K679" s="34"/>
      <c r="L679" s="35">
        <v>0</v>
      </c>
      <c r="M679" s="36" t="s">
        <v>32</v>
      </c>
      <c r="N679" s="37">
        <v>1</v>
      </c>
      <c r="O679" s="35">
        <v>0</v>
      </c>
      <c r="P679" s="35" t="s">
        <v>130</v>
      </c>
      <c r="Q679" s="97">
        <v>45458</v>
      </c>
      <c r="R679" s="35" t="s">
        <v>62</v>
      </c>
      <c r="S679" s="38" t="s">
        <v>1246</v>
      </c>
      <c r="T679" s="78">
        <v>2</v>
      </c>
      <c r="U679" s="78"/>
      <c r="V679" s="78"/>
      <c r="W679" s="78"/>
      <c r="X679" s="78"/>
      <c r="Y679" s="78"/>
      <c r="Z679" s="78"/>
      <c r="AA679" s="78" t="s">
        <v>225</v>
      </c>
      <c r="AB679" s="78"/>
    </row>
    <row r="680" spans="1:28" x14ac:dyDescent="0.25">
      <c r="A680" t="str">
        <f>IF(EXACT('BOM A320 FFS'!B906,obsoleta!D680),"OK","ERROR")</f>
        <v>ERROR</v>
      </c>
      <c r="C680" s="31" t="s">
        <v>314</v>
      </c>
      <c r="D680" s="31" t="s">
        <v>70</v>
      </c>
      <c r="E680" s="31"/>
      <c r="F680" s="32" t="s">
        <v>2997</v>
      </c>
      <c r="G680" s="32" t="s">
        <v>2998</v>
      </c>
      <c r="H680" s="32"/>
      <c r="I680" s="32"/>
      <c r="J680" s="33">
        <v>5</v>
      </c>
      <c r="K680" s="34"/>
      <c r="L680" s="35">
        <v>0</v>
      </c>
      <c r="M680" s="36" t="s">
        <v>32</v>
      </c>
      <c r="N680" s="37">
        <v>1</v>
      </c>
      <c r="O680" s="35">
        <v>0</v>
      </c>
      <c r="P680" s="35" t="s">
        <v>130</v>
      </c>
      <c r="Q680" s="97">
        <v>45458</v>
      </c>
      <c r="R680" s="35" t="s">
        <v>62</v>
      </c>
      <c r="S680" s="38" t="s">
        <v>1246</v>
      </c>
      <c r="T680" s="78">
        <v>2</v>
      </c>
      <c r="U680" s="78"/>
      <c r="V680" s="78"/>
      <c r="W680" s="78"/>
      <c r="X680" s="78"/>
      <c r="Y680" s="78"/>
      <c r="Z680" s="78"/>
      <c r="AA680" s="78" t="s">
        <v>225</v>
      </c>
      <c r="AB680" s="78"/>
    </row>
    <row r="681" spans="1:28" x14ac:dyDescent="0.25">
      <c r="A681" t="str">
        <f>IF(EXACT('BOM A320 FFS'!B907,obsoleta!D681),"OK","ERROR")</f>
        <v>ERROR</v>
      </c>
      <c r="C681" s="31" t="s">
        <v>314</v>
      </c>
      <c r="D681" s="71">
        <v>1229500300007</v>
      </c>
      <c r="E681" s="71"/>
      <c r="F681" s="32" t="s">
        <v>2992</v>
      </c>
      <c r="G681" s="32" t="s">
        <v>2993</v>
      </c>
      <c r="H681" s="32"/>
      <c r="I681" s="32"/>
      <c r="J681" s="33">
        <v>4</v>
      </c>
      <c r="K681" s="34"/>
      <c r="L681" s="35">
        <v>0</v>
      </c>
      <c r="M681" s="36" t="s">
        <v>32</v>
      </c>
      <c r="N681" s="37">
        <v>1</v>
      </c>
      <c r="O681" s="35">
        <v>0</v>
      </c>
      <c r="P681" s="35" t="s">
        <v>130</v>
      </c>
      <c r="Q681" s="97">
        <v>45458</v>
      </c>
      <c r="R681" s="35" t="s">
        <v>62</v>
      </c>
      <c r="S681" s="38" t="s">
        <v>1246</v>
      </c>
      <c r="T681" s="78">
        <v>2</v>
      </c>
      <c r="U681" s="78"/>
      <c r="V681" s="78"/>
      <c r="W681" s="78"/>
      <c r="X681" s="78"/>
      <c r="Y681" s="78"/>
      <c r="Z681" s="78"/>
      <c r="AA681" s="78" t="s">
        <v>225</v>
      </c>
      <c r="AB681" s="78"/>
    </row>
    <row r="682" spans="1:28" x14ac:dyDescent="0.25">
      <c r="A682" t="str">
        <f>IF(EXACT('BOM A320 FFS'!B908,obsoleta!D682),"OK","ERROR")</f>
        <v>ERROR</v>
      </c>
      <c r="C682" s="31" t="s">
        <v>314</v>
      </c>
      <c r="D682" s="71">
        <v>1229500300002</v>
      </c>
      <c r="E682" s="71"/>
      <c r="F682" s="32" t="s">
        <v>2989</v>
      </c>
      <c r="G682" s="32" t="s">
        <v>2990</v>
      </c>
      <c r="H682" s="28"/>
      <c r="I682" s="28"/>
      <c r="J682" s="40">
        <v>4</v>
      </c>
      <c r="K682" s="30"/>
      <c r="L682" s="30">
        <v>0</v>
      </c>
      <c r="M682" s="26" t="s">
        <v>32</v>
      </c>
      <c r="N682" s="26">
        <v>1</v>
      </c>
      <c r="O682" s="41">
        <v>0</v>
      </c>
      <c r="P682" s="41" t="s">
        <v>130</v>
      </c>
      <c r="Q682" s="98">
        <v>45458</v>
      </c>
      <c r="R682" s="41" t="s">
        <v>62</v>
      </c>
      <c r="S682" s="30" t="s">
        <v>1246</v>
      </c>
      <c r="T682" s="82">
        <v>2</v>
      </c>
      <c r="U682" s="82"/>
      <c r="V682" s="82"/>
      <c r="W682" s="82"/>
      <c r="X682" s="82"/>
      <c r="Y682" s="82"/>
      <c r="Z682" s="82"/>
      <c r="AA682" s="82" t="s">
        <v>225</v>
      </c>
      <c r="AB682" s="82"/>
    </row>
    <row r="683" spans="1:28" x14ac:dyDescent="0.25">
      <c r="A683" t="str">
        <f>IF(EXACT('BOM A320 FFS'!B948,obsoleta!D683),"OK","ERROR")</f>
        <v>ERROR</v>
      </c>
      <c r="C683" s="39"/>
      <c r="D683" s="39"/>
      <c r="E683" s="39"/>
      <c r="F683" s="28"/>
      <c r="G683" s="28"/>
      <c r="H683" s="28"/>
      <c r="I683" s="28"/>
      <c r="J683" s="40"/>
      <c r="K683" s="30"/>
      <c r="L683" s="30"/>
      <c r="M683" s="26"/>
      <c r="N683" s="26"/>
      <c r="O683" s="41"/>
      <c r="P683" s="41"/>
      <c r="Q683" s="98"/>
      <c r="R683" s="41"/>
      <c r="S683" s="30"/>
      <c r="T683" s="82"/>
      <c r="U683" s="82"/>
      <c r="V683" s="82"/>
      <c r="W683" s="82"/>
      <c r="X683" s="82"/>
      <c r="Y683" s="82"/>
      <c r="Z683" s="82"/>
      <c r="AA683" s="82" t="s">
        <v>225</v>
      </c>
      <c r="AB683" s="82"/>
    </row>
    <row r="684" spans="1:28" x14ac:dyDescent="0.25">
      <c r="A684" t="str">
        <f>IF(EXACT('BOM A320 FFS'!B949,obsoleta!D684),"OK","ERROR")</f>
        <v>ERROR</v>
      </c>
      <c r="C684" s="48"/>
      <c r="D684" s="48" t="s">
        <v>3669</v>
      </c>
      <c r="E684" s="48"/>
      <c r="F684" s="28"/>
      <c r="G684" s="28"/>
      <c r="H684" s="32"/>
      <c r="I684" s="32"/>
      <c r="J684" s="33"/>
      <c r="K684" s="34"/>
      <c r="L684" s="35"/>
      <c r="M684" s="36"/>
      <c r="N684" s="37"/>
      <c r="O684" s="35"/>
      <c r="P684" s="35"/>
      <c r="Q684" s="97"/>
      <c r="R684" s="35"/>
      <c r="S684" s="38"/>
      <c r="T684" s="78"/>
      <c r="U684" s="78"/>
      <c r="V684" s="78"/>
      <c r="W684" s="78"/>
      <c r="X684" s="78"/>
      <c r="Y684" s="78"/>
      <c r="Z684" s="78"/>
      <c r="AA684" s="78" t="s">
        <v>225</v>
      </c>
      <c r="AB684" s="78"/>
    </row>
    <row r="685" spans="1:28" x14ac:dyDescent="0.25">
      <c r="A685" t="str">
        <f>IF(EXACT('BOM A320 FFS'!B950,obsoleta!D685),"OK","ERROR")</f>
        <v>ERROR</v>
      </c>
      <c r="C685" s="31" t="s">
        <v>314</v>
      </c>
      <c r="D685" s="71" t="s">
        <v>1388</v>
      </c>
      <c r="E685" s="71"/>
      <c r="F685" s="32" t="s">
        <v>1389</v>
      </c>
      <c r="G685" s="32">
        <v>322402</v>
      </c>
      <c r="H685" s="32"/>
      <c r="I685" s="32"/>
      <c r="J685" s="33">
        <v>300</v>
      </c>
      <c r="K685" s="34">
        <v>7.87</v>
      </c>
      <c r="L685" s="35">
        <v>2361</v>
      </c>
      <c r="M685" s="36" t="s">
        <v>32</v>
      </c>
      <c r="N685" s="37">
        <v>1</v>
      </c>
      <c r="O685" s="35">
        <v>2361</v>
      </c>
      <c r="P685" s="35" t="s">
        <v>33</v>
      </c>
      <c r="Q685" s="97">
        <v>45453</v>
      </c>
      <c r="R685" s="35" t="s">
        <v>62</v>
      </c>
      <c r="S685" s="38"/>
      <c r="T685" s="78">
        <v>2</v>
      </c>
      <c r="U685" s="78"/>
      <c r="V685" s="78"/>
      <c r="W685" s="78" t="s">
        <v>303</v>
      </c>
      <c r="X685" s="78" t="s">
        <v>839</v>
      </c>
      <c r="Y685" s="78">
        <v>1</v>
      </c>
      <c r="Z685" s="78" t="s">
        <v>48</v>
      </c>
      <c r="AA685" s="78" t="s">
        <v>225</v>
      </c>
      <c r="AB685" s="78">
        <v>300</v>
      </c>
    </row>
    <row r="686" spans="1:28" x14ac:dyDescent="0.25">
      <c r="A686" t="str">
        <f>IF(EXACT('BOM A320 FFS'!B951,obsoleta!D686),"OK","ERROR")</f>
        <v>ERROR</v>
      </c>
      <c r="C686" s="31" t="s">
        <v>314</v>
      </c>
      <c r="D686" s="71">
        <v>1220100243230</v>
      </c>
      <c r="E686" s="71"/>
      <c r="F686" s="32" t="s">
        <v>1894</v>
      </c>
      <c r="G686" s="32" t="s">
        <v>1895</v>
      </c>
      <c r="H686" s="32" t="s">
        <v>1540</v>
      </c>
      <c r="I686" s="32"/>
      <c r="J686" s="33">
        <v>1000</v>
      </c>
      <c r="K686" s="34">
        <v>0.59</v>
      </c>
      <c r="L686" s="35">
        <v>590</v>
      </c>
      <c r="M686" s="36" t="s">
        <v>32</v>
      </c>
      <c r="N686" s="37">
        <v>1</v>
      </c>
      <c r="O686" s="35">
        <v>590</v>
      </c>
      <c r="P686" s="35" t="s">
        <v>33</v>
      </c>
      <c r="Q686" s="97">
        <v>45453</v>
      </c>
      <c r="R686" s="35" t="s">
        <v>62</v>
      </c>
      <c r="S686" s="38"/>
      <c r="T686" s="78">
        <v>2</v>
      </c>
      <c r="U686" s="78"/>
      <c r="V686" s="78"/>
      <c r="W686" s="78" t="s">
        <v>303</v>
      </c>
      <c r="X686" s="78" t="s">
        <v>839</v>
      </c>
      <c r="Y686" s="78">
        <v>1</v>
      </c>
      <c r="Z686" s="78" t="s">
        <v>48</v>
      </c>
      <c r="AA686" s="78" t="s">
        <v>225</v>
      </c>
      <c r="AB686" s="78">
        <v>1000</v>
      </c>
    </row>
    <row r="687" spans="1:28" x14ac:dyDescent="0.25">
      <c r="A687" t="str">
        <f>IF(EXACT('BOM A320 FFS'!B952,obsoleta!D687),"OK","ERROR")</f>
        <v>ERROR</v>
      </c>
      <c r="C687" s="31" t="s">
        <v>314</v>
      </c>
      <c r="D687" s="71">
        <v>1229991069524</v>
      </c>
      <c r="E687" s="71"/>
      <c r="F687" s="32" t="s">
        <v>1888</v>
      </c>
      <c r="G687" s="32" t="s">
        <v>1889</v>
      </c>
      <c r="H687" s="32" t="s">
        <v>1540</v>
      </c>
      <c r="I687" s="32"/>
      <c r="J687" s="33">
        <v>1000</v>
      </c>
      <c r="K687" s="34">
        <v>0.6</v>
      </c>
      <c r="L687" s="35">
        <v>600</v>
      </c>
      <c r="M687" s="36" t="s">
        <v>32</v>
      </c>
      <c r="N687" s="37">
        <v>1</v>
      </c>
      <c r="O687" s="35">
        <v>600</v>
      </c>
      <c r="P687" s="35" t="s">
        <v>33</v>
      </c>
      <c r="Q687" s="97">
        <v>45453</v>
      </c>
      <c r="R687" s="35" t="s">
        <v>62</v>
      </c>
      <c r="S687" s="38"/>
      <c r="T687" s="78">
        <v>2</v>
      </c>
      <c r="U687" s="78"/>
      <c r="V687" s="78"/>
      <c r="W687" s="78" t="s">
        <v>303</v>
      </c>
      <c r="X687" s="78" t="s">
        <v>839</v>
      </c>
      <c r="Y687" s="78">
        <v>1</v>
      </c>
      <c r="Z687" s="78" t="s">
        <v>48</v>
      </c>
      <c r="AA687" s="78" t="s">
        <v>225</v>
      </c>
      <c r="AB687" s="78">
        <v>1000</v>
      </c>
    </row>
    <row r="688" spans="1:28" x14ac:dyDescent="0.25">
      <c r="A688" t="str">
        <f>IF(EXACT('BOM A320 FFS'!B953,obsoleta!D688),"OK","ERROR")</f>
        <v>ERROR</v>
      </c>
      <c r="C688" s="31" t="s">
        <v>314</v>
      </c>
      <c r="D688" s="71">
        <v>1220100203230</v>
      </c>
      <c r="E688" s="71"/>
      <c r="F688" s="32" t="s">
        <v>2098</v>
      </c>
      <c r="G688" s="32" t="s">
        <v>2099</v>
      </c>
      <c r="H688" s="32" t="s">
        <v>1540</v>
      </c>
      <c r="I688" s="32"/>
      <c r="J688" s="33">
        <v>600</v>
      </c>
      <c r="K688" s="34">
        <v>0.22</v>
      </c>
      <c r="L688" s="35">
        <v>132</v>
      </c>
      <c r="M688" s="36" t="s">
        <v>32</v>
      </c>
      <c r="N688" s="37">
        <v>1</v>
      </c>
      <c r="O688" s="35">
        <v>132</v>
      </c>
      <c r="P688" s="35" t="s">
        <v>33</v>
      </c>
      <c r="Q688" s="97">
        <v>45453</v>
      </c>
      <c r="R688" s="35" t="s">
        <v>62</v>
      </c>
      <c r="S688" s="38"/>
      <c r="T688" s="78">
        <v>2</v>
      </c>
      <c r="U688" s="78"/>
      <c r="V688" s="78"/>
      <c r="W688" s="78" t="s">
        <v>303</v>
      </c>
      <c r="X688" s="78" t="s">
        <v>839</v>
      </c>
      <c r="Y688" s="78">
        <v>1</v>
      </c>
      <c r="Z688" s="78" t="s">
        <v>48</v>
      </c>
      <c r="AA688" s="78" t="s">
        <v>225</v>
      </c>
      <c r="AB688" s="78">
        <v>600</v>
      </c>
    </row>
    <row r="689" spans="1:28" x14ac:dyDescent="0.25">
      <c r="A689" t="str">
        <f>IF(EXACT('BOM A320 FFS'!B954,obsoleta!D689),"OK","ERROR")</f>
        <v>ERROR</v>
      </c>
      <c r="C689" s="31" t="s">
        <v>314</v>
      </c>
      <c r="D689" s="71">
        <v>1221100182200</v>
      </c>
      <c r="E689" s="71"/>
      <c r="F689" s="32" t="s">
        <v>1756</v>
      </c>
      <c r="G689" s="32" t="s">
        <v>1757</v>
      </c>
      <c r="H689" s="32" t="s">
        <v>1540</v>
      </c>
      <c r="I689" s="32"/>
      <c r="J689" s="33">
        <v>300</v>
      </c>
      <c r="K689" s="34">
        <v>1.06</v>
      </c>
      <c r="L689" s="35">
        <v>318</v>
      </c>
      <c r="M689" s="36" t="s">
        <v>32</v>
      </c>
      <c r="N689" s="37">
        <v>1</v>
      </c>
      <c r="O689" s="35">
        <v>318</v>
      </c>
      <c r="P689" s="35" t="s">
        <v>33</v>
      </c>
      <c r="Q689" s="97">
        <v>45453</v>
      </c>
      <c r="R689" s="35" t="s">
        <v>62</v>
      </c>
      <c r="S689" s="38"/>
      <c r="T689" s="78">
        <v>2</v>
      </c>
      <c r="U689" s="78"/>
      <c r="V689" s="78"/>
      <c r="W689" s="78" t="s">
        <v>303</v>
      </c>
      <c r="X689" s="78" t="s">
        <v>839</v>
      </c>
      <c r="Y689" s="78">
        <v>1</v>
      </c>
      <c r="Z689" s="78" t="s">
        <v>48</v>
      </c>
      <c r="AA689" s="78" t="s">
        <v>225</v>
      </c>
      <c r="AB689" s="78">
        <v>300</v>
      </c>
    </row>
    <row r="690" spans="1:28" x14ac:dyDescent="0.25">
      <c r="A690" t="str">
        <f>IF(EXACT('BOM A320 FFS'!B955,obsoleta!D690),"OK","ERROR")</f>
        <v>ERROR</v>
      </c>
      <c r="C690" s="31" t="s">
        <v>314</v>
      </c>
      <c r="D690" s="71">
        <v>1220100163200</v>
      </c>
      <c r="E690" s="71"/>
      <c r="F690" s="32" t="s">
        <v>1891</v>
      </c>
      <c r="G690" s="32" t="s">
        <v>1892</v>
      </c>
      <c r="H690" s="32" t="s">
        <v>1540</v>
      </c>
      <c r="I690" s="32"/>
      <c r="J690" s="33">
        <v>300</v>
      </c>
      <c r="K690" s="34">
        <v>0.6</v>
      </c>
      <c r="L690" s="35">
        <v>180</v>
      </c>
      <c r="M690" s="36" t="s">
        <v>32</v>
      </c>
      <c r="N690" s="37">
        <v>1</v>
      </c>
      <c r="O690" s="35">
        <v>180</v>
      </c>
      <c r="P690" s="35" t="s">
        <v>33</v>
      </c>
      <c r="Q690" s="97">
        <v>45453</v>
      </c>
      <c r="R690" s="35" t="s">
        <v>62</v>
      </c>
      <c r="S690" s="38"/>
      <c r="T690" s="78">
        <v>2</v>
      </c>
      <c r="U690" s="78"/>
      <c r="V690" s="78"/>
      <c r="W690" s="78" t="s">
        <v>303</v>
      </c>
      <c r="X690" s="78" t="s">
        <v>839</v>
      </c>
      <c r="Y690" s="78">
        <v>1</v>
      </c>
      <c r="Z690" s="78" t="s">
        <v>48</v>
      </c>
      <c r="AA690" s="78" t="s">
        <v>225</v>
      </c>
      <c r="AB690" s="78">
        <v>300</v>
      </c>
    </row>
    <row r="691" spans="1:28" x14ac:dyDescent="0.25">
      <c r="A691" t="str">
        <f>IF(EXACT('BOM A320 FFS'!B956,obsoleta!D691),"OK","ERROR")</f>
        <v>ERROR</v>
      </c>
      <c r="C691" s="31" t="s">
        <v>314</v>
      </c>
      <c r="D691" s="71">
        <v>1229991069512</v>
      </c>
      <c r="E691" s="71"/>
      <c r="F691" s="32" t="s">
        <v>1829</v>
      </c>
      <c r="G691" s="32" t="s">
        <v>1830</v>
      </c>
      <c r="H691" s="32" t="s">
        <v>1540</v>
      </c>
      <c r="I691" s="32"/>
      <c r="J691" s="33">
        <v>300</v>
      </c>
      <c r="K691" s="34">
        <v>0.81</v>
      </c>
      <c r="L691" s="35">
        <v>243</v>
      </c>
      <c r="M691" s="36" t="s">
        <v>32</v>
      </c>
      <c r="N691" s="37">
        <v>1</v>
      </c>
      <c r="O691" s="35">
        <v>243</v>
      </c>
      <c r="P691" s="35" t="s">
        <v>33</v>
      </c>
      <c r="Q691" s="97">
        <v>45453</v>
      </c>
      <c r="R691" s="35" t="s">
        <v>62</v>
      </c>
      <c r="S691" s="38"/>
      <c r="T691" s="78">
        <v>2</v>
      </c>
      <c r="U691" s="78"/>
      <c r="V691" s="78"/>
      <c r="W691" s="78" t="s">
        <v>303</v>
      </c>
      <c r="X691" s="78" t="s">
        <v>839</v>
      </c>
      <c r="Y691" s="78">
        <v>1</v>
      </c>
      <c r="Z691" s="78" t="s">
        <v>48</v>
      </c>
      <c r="AA691" s="78" t="s">
        <v>225</v>
      </c>
      <c r="AB691" s="78">
        <v>300</v>
      </c>
    </row>
    <row r="692" spans="1:28" x14ac:dyDescent="0.25">
      <c r="A692" t="str">
        <f>IF(EXACT('BOM A320 FFS'!B958,obsoleta!D692),"OK","ERROR")</f>
        <v>ERROR</v>
      </c>
      <c r="C692" s="31" t="s">
        <v>314</v>
      </c>
      <c r="D692" s="71">
        <v>1220100243930</v>
      </c>
      <c r="E692" s="71"/>
      <c r="F692" s="32" t="s">
        <v>2117</v>
      </c>
      <c r="G692" s="32" t="s">
        <v>2118</v>
      </c>
      <c r="H692" s="32" t="s">
        <v>1540</v>
      </c>
      <c r="I692" s="32"/>
      <c r="J692" s="33">
        <v>2500</v>
      </c>
      <c r="K692" s="34">
        <v>0.19</v>
      </c>
      <c r="L692" s="35">
        <v>475</v>
      </c>
      <c r="M692" s="36" t="s">
        <v>32</v>
      </c>
      <c r="N692" s="37">
        <v>1</v>
      </c>
      <c r="O692" s="35">
        <v>475</v>
      </c>
      <c r="P692" s="35" t="s">
        <v>33</v>
      </c>
      <c r="Q692" s="97">
        <v>45453</v>
      </c>
      <c r="R692" s="35" t="s">
        <v>62</v>
      </c>
      <c r="S692" s="38"/>
      <c r="T692" s="78">
        <v>2</v>
      </c>
      <c r="U692" s="78"/>
      <c r="V692" s="78"/>
      <c r="W692" s="78" t="s">
        <v>303</v>
      </c>
      <c r="X692" s="78" t="s">
        <v>839</v>
      </c>
      <c r="Y692" s="78">
        <v>1</v>
      </c>
      <c r="Z692" s="78" t="s">
        <v>48</v>
      </c>
      <c r="AA692" s="78" t="s">
        <v>225</v>
      </c>
      <c r="AB692" s="78">
        <v>2500</v>
      </c>
    </row>
    <row r="693" spans="1:28" x14ac:dyDescent="0.25">
      <c r="A693" t="str">
        <f>IF(EXACT('BOM A320 FFS'!B959,obsoleta!D693),"OK","ERROR")</f>
        <v>ERROR</v>
      </c>
      <c r="C693" s="31" t="s">
        <v>314</v>
      </c>
      <c r="D693" s="71">
        <v>1220100223930</v>
      </c>
      <c r="E693" s="71"/>
      <c r="F693" s="32" t="s">
        <v>2130</v>
      </c>
      <c r="G693" s="32" t="s">
        <v>2131</v>
      </c>
      <c r="H693" s="32" t="s">
        <v>1540</v>
      </c>
      <c r="I693" s="32"/>
      <c r="J693" s="33">
        <v>4000</v>
      </c>
      <c r="K693" s="34">
        <v>0.18</v>
      </c>
      <c r="L693" s="35">
        <v>720</v>
      </c>
      <c r="M693" s="36" t="s">
        <v>32</v>
      </c>
      <c r="N693" s="37">
        <v>1</v>
      </c>
      <c r="O693" s="35">
        <v>720</v>
      </c>
      <c r="P693" s="35" t="s">
        <v>33</v>
      </c>
      <c r="Q693" s="97">
        <v>45453</v>
      </c>
      <c r="R693" s="35" t="s">
        <v>62</v>
      </c>
      <c r="S693" s="38"/>
      <c r="T693" s="78">
        <v>2</v>
      </c>
      <c r="U693" s="78"/>
      <c r="V693" s="78"/>
      <c r="W693" s="78" t="s">
        <v>303</v>
      </c>
      <c r="X693" s="78" t="s">
        <v>839</v>
      </c>
      <c r="Y693" s="78">
        <v>1</v>
      </c>
      <c r="Z693" s="78" t="s">
        <v>48</v>
      </c>
      <c r="AA693" s="78" t="s">
        <v>225</v>
      </c>
      <c r="AB693" s="78">
        <v>4000</v>
      </c>
    </row>
    <row r="694" spans="1:28" x14ac:dyDescent="0.25">
      <c r="A694" t="str">
        <f>IF(EXACT('BOM A320 FFS'!B960,obsoleta!D694),"OK","ERROR")</f>
        <v>ERROR</v>
      </c>
      <c r="C694" s="31" t="s">
        <v>314</v>
      </c>
      <c r="D694" s="71">
        <v>1220100202905</v>
      </c>
      <c r="E694" s="71">
        <v>1220100203930</v>
      </c>
      <c r="F694" s="32" t="s">
        <v>1998</v>
      </c>
      <c r="G694" s="32" t="s">
        <v>1999</v>
      </c>
      <c r="H694" s="32" t="s">
        <v>1540</v>
      </c>
      <c r="I694" s="32"/>
      <c r="J694" s="33">
        <v>5000</v>
      </c>
      <c r="K694" s="34">
        <v>0.42</v>
      </c>
      <c r="L694" s="35">
        <v>2100</v>
      </c>
      <c r="M694" s="36" t="s">
        <v>32</v>
      </c>
      <c r="N694" s="37">
        <v>1</v>
      </c>
      <c r="O694" s="35">
        <v>2100</v>
      </c>
      <c r="P694" s="35" t="s">
        <v>33</v>
      </c>
      <c r="Q694" s="97">
        <v>45453</v>
      </c>
      <c r="R694" s="35" t="s">
        <v>62</v>
      </c>
      <c r="S694" s="38"/>
      <c r="T694" s="78">
        <v>2</v>
      </c>
      <c r="U694" s="78"/>
      <c r="V694" s="78"/>
      <c r="W694" s="78" t="s">
        <v>303</v>
      </c>
      <c r="X694" s="78" t="s">
        <v>839</v>
      </c>
      <c r="Y694" s="78">
        <v>1</v>
      </c>
      <c r="Z694" s="78" t="s">
        <v>48</v>
      </c>
      <c r="AA694" s="78" t="s">
        <v>225</v>
      </c>
      <c r="AB694" s="78">
        <v>5000</v>
      </c>
    </row>
    <row r="695" spans="1:28" x14ac:dyDescent="0.25">
      <c r="A695" t="str">
        <f>IF(EXACT('BOM A320 FFS'!B961,obsoleta!D695),"OK","ERROR")</f>
        <v>ERROR</v>
      </c>
      <c r="C695" s="31" t="s">
        <v>314</v>
      </c>
      <c r="D695" s="71">
        <v>1220100183930</v>
      </c>
      <c r="E695" s="71"/>
      <c r="F695" s="32" t="s">
        <v>2018</v>
      </c>
      <c r="G695" s="32" t="s">
        <v>2019</v>
      </c>
      <c r="H695" s="32" t="s">
        <v>1540</v>
      </c>
      <c r="I695" s="32"/>
      <c r="J695" s="33">
        <v>300</v>
      </c>
      <c r="K695" s="34">
        <v>0.37</v>
      </c>
      <c r="L695" s="35">
        <v>111</v>
      </c>
      <c r="M695" s="36" t="s">
        <v>32</v>
      </c>
      <c r="N695" s="37">
        <v>1</v>
      </c>
      <c r="O695" s="35">
        <v>111</v>
      </c>
      <c r="P695" s="35" t="s">
        <v>33</v>
      </c>
      <c r="Q695" s="97">
        <v>45453</v>
      </c>
      <c r="R695" s="35" t="s">
        <v>62</v>
      </c>
      <c r="S695" s="38"/>
      <c r="T695" s="78">
        <v>2</v>
      </c>
      <c r="U695" s="78"/>
      <c r="V695" s="78"/>
      <c r="W695" s="78" t="s">
        <v>303</v>
      </c>
      <c r="X695" s="78" t="s">
        <v>839</v>
      </c>
      <c r="Y695" s="78">
        <v>1</v>
      </c>
      <c r="Z695" s="78" t="s">
        <v>48</v>
      </c>
      <c r="AA695" s="78" t="s">
        <v>225</v>
      </c>
      <c r="AB695" s="78">
        <v>300</v>
      </c>
    </row>
    <row r="696" spans="1:28" x14ac:dyDescent="0.25">
      <c r="A696" t="str">
        <f>IF(EXACT('BOM A320 FFS'!B962,obsoleta!D696),"OK","ERROR")</f>
        <v>ERROR</v>
      </c>
      <c r="C696" s="31" t="s">
        <v>314</v>
      </c>
      <c r="D696" s="71">
        <v>1220100163901</v>
      </c>
      <c r="E696" s="71">
        <v>1220100163930</v>
      </c>
      <c r="F696" s="32" t="s">
        <v>1873</v>
      </c>
      <c r="G696" s="32" t="s">
        <v>1874</v>
      </c>
      <c r="H696" s="32" t="s">
        <v>1540</v>
      </c>
      <c r="I696" s="32"/>
      <c r="J696" s="33">
        <v>200</v>
      </c>
      <c r="K696" s="34">
        <v>0.67</v>
      </c>
      <c r="L696" s="35">
        <v>134</v>
      </c>
      <c r="M696" s="36" t="s">
        <v>32</v>
      </c>
      <c r="N696" s="37">
        <v>1</v>
      </c>
      <c r="O696" s="35">
        <v>134</v>
      </c>
      <c r="P696" s="35" t="s">
        <v>33</v>
      </c>
      <c r="Q696" s="97">
        <v>45453</v>
      </c>
      <c r="R696" s="35" t="s">
        <v>62</v>
      </c>
      <c r="S696" s="38"/>
      <c r="T696" s="78">
        <v>2</v>
      </c>
      <c r="U696" s="78"/>
      <c r="V696" s="78"/>
      <c r="W696" s="78" t="s">
        <v>303</v>
      </c>
      <c r="X696" s="78" t="s">
        <v>839</v>
      </c>
      <c r="Y696" s="78">
        <v>1</v>
      </c>
      <c r="Z696" s="78" t="s">
        <v>48</v>
      </c>
      <c r="AA696" s="78" t="s">
        <v>225</v>
      </c>
      <c r="AB696" s="78">
        <v>200</v>
      </c>
    </row>
    <row r="697" spans="1:28" x14ac:dyDescent="0.25">
      <c r="A697" t="str">
        <f>IF(EXACT('BOM A320 FFS'!B964,obsoleta!D697),"OK","ERROR")</f>
        <v>ERROR</v>
      </c>
      <c r="C697" s="31" t="s">
        <v>314</v>
      </c>
      <c r="D697" s="71">
        <v>1220100123930</v>
      </c>
      <c r="E697" s="71"/>
      <c r="F697" s="32" t="s">
        <v>1816</v>
      </c>
      <c r="G697" s="32" t="s">
        <v>1817</v>
      </c>
      <c r="H697" s="32" t="s">
        <v>1540</v>
      </c>
      <c r="I697" s="32"/>
      <c r="J697" s="33">
        <v>100</v>
      </c>
      <c r="K697" s="34">
        <v>0.92</v>
      </c>
      <c r="L697" s="35">
        <v>92</v>
      </c>
      <c r="M697" s="36" t="s">
        <v>32</v>
      </c>
      <c r="N697" s="37">
        <v>1</v>
      </c>
      <c r="O697" s="35">
        <v>92</v>
      </c>
      <c r="P697" s="35" t="s">
        <v>33</v>
      </c>
      <c r="Q697" s="97">
        <v>45453</v>
      </c>
      <c r="R697" s="35" t="s">
        <v>62</v>
      </c>
      <c r="S697" s="38"/>
      <c r="T697" s="78">
        <v>2</v>
      </c>
      <c r="U697" s="78"/>
      <c r="V697" s="78"/>
      <c r="W697" s="78" t="s">
        <v>303</v>
      </c>
      <c r="X697" s="78" t="s">
        <v>839</v>
      </c>
      <c r="Y697" s="78">
        <v>1</v>
      </c>
      <c r="Z697" s="78" t="s">
        <v>48</v>
      </c>
      <c r="AA697" s="78" t="s">
        <v>225</v>
      </c>
      <c r="AB697" s="78">
        <v>100</v>
      </c>
    </row>
    <row r="698" spans="1:28" x14ac:dyDescent="0.25">
      <c r="A698" t="str">
        <f>IF(EXACT('BOM A320 FFS'!B965,obsoleta!D698),"OK","ERROR")</f>
        <v>ERROR</v>
      </c>
      <c r="C698" s="31" t="s">
        <v>314</v>
      </c>
      <c r="D698" s="71">
        <v>1229991039503</v>
      </c>
      <c r="E698" s="71"/>
      <c r="F698" s="32" t="s">
        <v>3774</v>
      </c>
      <c r="G698" s="32" t="s">
        <v>1920</v>
      </c>
      <c r="H698" s="32" t="s">
        <v>1540</v>
      </c>
      <c r="I698" s="32"/>
      <c r="J698" s="33">
        <v>1000</v>
      </c>
      <c r="K698" s="34">
        <v>0.52</v>
      </c>
      <c r="L698" s="35">
        <v>520</v>
      </c>
      <c r="M698" s="36" t="s">
        <v>32</v>
      </c>
      <c r="N698" s="37">
        <v>1</v>
      </c>
      <c r="O698" s="35">
        <v>520</v>
      </c>
      <c r="P698" s="35" t="s">
        <v>33</v>
      </c>
      <c r="Q698" s="97">
        <v>45453</v>
      </c>
      <c r="R698" s="35" t="s">
        <v>62</v>
      </c>
      <c r="S698" s="38"/>
      <c r="T698" s="78">
        <v>2</v>
      </c>
      <c r="U698" s="78"/>
      <c r="V698" s="78"/>
      <c r="W698" s="78" t="s">
        <v>303</v>
      </c>
      <c r="X698" s="78" t="s">
        <v>839</v>
      </c>
      <c r="Y698" s="78">
        <v>1</v>
      </c>
      <c r="Z698" s="78" t="s">
        <v>48</v>
      </c>
      <c r="AA698" s="78" t="s">
        <v>225</v>
      </c>
      <c r="AB698" s="78">
        <v>1000</v>
      </c>
    </row>
    <row r="699" spans="1:28" x14ac:dyDescent="0.25">
      <c r="A699" t="str">
        <f>IF(EXACT('BOM A320 FFS'!B966,obsoleta!D699),"OK","ERROR")</f>
        <v>ERROR</v>
      </c>
      <c r="C699" s="31" t="s">
        <v>314</v>
      </c>
      <c r="D699" s="71">
        <v>1220100223030</v>
      </c>
      <c r="E699" s="71"/>
      <c r="F699" s="32" t="s">
        <v>2095</v>
      </c>
      <c r="G699" s="32" t="s">
        <v>2096</v>
      </c>
      <c r="H699" s="32" t="s">
        <v>1540</v>
      </c>
      <c r="I699" s="32"/>
      <c r="J699" s="33">
        <v>1000</v>
      </c>
      <c r="K699" s="34">
        <v>0.22</v>
      </c>
      <c r="L699" s="35">
        <v>220</v>
      </c>
      <c r="M699" s="36" t="s">
        <v>32</v>
      </c>
      <c r="N699" s="37">
        <v>1</v>
      </c>
      <c r="O699" s="35">
        <v>220</v>
      </c>
      <c r="P699" s="35" t="s">
        <v>33</v>
      </c>
      <c r="Q699" s="97">
        <v>45453</v>
      </c>
      <c r="R699" s="35" t="s">
        <v>62</v>
      </c>
      <c r="S699" s="38"/>
      <c r="T699" s="78">
        <v>2</v>
      </c>
      <c r="U699" s="78"/>
      <c r="V699" s="78"/>
      <c r="W699" s="78" t="s">
        <v>303</v>
      </c>
      <c r="X699" s="78" t="s">
        <v>839</v>
      </c>
      <c r="Y699" s="78">
        <v>1</v>
      </c>
      <c r="Z699" s="78" t="s">
        <v>48</v>
      </c>
      <c r="AA699" s="78" t="s">
        <v>1670</v>
      </c>
      <c r="AB699" s="78">
        <v>1000</v>
      </c>
    </row>
    <row r="700" spans="1:28" x14ac:dyDescent="0.25">
      <c r="A700" t="str">
        <f>IF(EXACT('BOM A320 FFS'!B967,obsoleta!D700),"OK","ERROR")</f>
        <v>ERROR</v>
      </c>
      <c r="C700" s="71" t="s">
        <v>314</v>
      </c>
      <c r="D700" s="71">
        <v>1220100202011</v>
      </c>
      <c r="E700" s="71"/>
      <c r="F700" s="32" t="s">
        <v>2088</v>
      </c>
      <c r="G700" s="32" t="s">
        <v>2089</v>
      </c>
      <c r="H700" s="32" t="s">
        <v>1540</v>
      </c>
      <c r="I700" s="32"/>
      <c r="J700" s="33">
        <v>600</v>
      </c>
      <c r="K700" s="34">
        <v>0.23</v>
      </c>
      <c r="L700" s="35">
        <v>138</v>
      </c>
      <c r="M700" s="36" t="s">
        <v>32</v>
      </c>
      <c r="N700" s="37">
        <v>1</v>
      </c>
      <c r="O700" s="35">
        <v>138</v>
      </c>
      <c r="P700" s="35" t="s">
        <v>33</v>
      </c>
      <c r="Q700" s="97">
        <v>45453</v>
      </c>
      <c r="R700" s="35" t="s">
        <v>62</v>
      </c>
      <c r="S700" s="38"/>
      <c r="T700" s="78">
        <v>2</v>
      </c>
      <c r="U700" s="78"/>
      <c r="V700" s="78"/>
      <c r="W700" s="78" t="s">
        <v>303</v>
      </c>
      <c r="X700" s="78" t="s">
        <v>839</v>
      </c>
      <c r="Y700" s="78">
        <v>1</v>
      </c>
      <c r="Z700" s="78" t="s">
        <v>48</v>
      </c>
      <c r="AA700" s="78" t="s">
        <v>1670</v>
      </c>
      <c r="AB700" s="78">
        <v>600</v>
      </c>
    </row>
    <row r="701" spans="1:28" x14ac:dyDescent="0.25">
      <c r="A701" t="str">
        <f>IF(EXACT('BOM A320 FFS'!B968,obsoleta!D701),"OK","ERROR")</f>
        <v>ERROR</v>
      </c>
      <c r="C701" s="31" t="s">
        <v>314</v>
      </c>
      <c r="D701" s="71">
        <v>1221100182000</v>
      </c>
      <c r="E701" s="71"/>
      <c r="F701" s="32" t="s">
        <v>2213</v>
      </c>
      <c r="G701" s="32" t="s">
        <v>2214</v>
      </c>
      <c r="H701" s="32" t="s">
        <v>1540</v>
      </c>
      <c r="I701" s="32"/>
      <c r="J701" s="33">
        <v>300</v>
      </c>
      <c r="K701" s="34">
        <v>0.06</v>
      </c>
      <c r="L701" s="35">
        <v>18</v>
      </c>
      <c r="M701" s="36" t="s">
        <v>32</v>
      </c>
      <c r="N701" s="37">
        <v>1</v>
      </c>
      <c r="O701" s="35">
        <v>18</v>
      </c>
      <c r="P701" s="35" t="s">
        <v>33</v>
      </c>
      <c r="Q701" s="97">
        <v>45453</v>
      </c>
      <c r="R701" s="35" t="s">
        <v>62</v>
      </c>
      <c r="S701" s="38"/>
      <c r="T701" s="78">
        <v>2</v>
      </c>
      <c r="U701" s="78"/>
      <c r="V701" s="78"/>
      <c r="W701" s="78" t="s">
        <v>303</v>
      </c>
      <c r="X701" s="78" t="s">
        <v>839</v>
      </c>
      <c r="Y701" s="78">
        <v>1</v>
      </c>
      <c r="Z701" s="78" t="s">
        <v>48</v>
      </c>
      <c r="AA701" s="78" t="s">
        <v>1670</v>
      </c>
      <c r="AB701" s="78">
        <v>300</v>
      </c>
    </row>
    <row r="702" spans="1:28" x14ac:dyDescent="0.25">
      <c r="A702" t="str">
        <f>IF(EXACT('BOM A320 FFS'!B969,obsoleta!D702),"OK","ERROR")</f>
        <v>ERROR</v>
      </c>
      <c r="C702" s="31" t="s">
        <v>314</v>
      </c>
      <c r="D702" s="71">
        <v>1220100163000</v>
      </c>
      <c r="E702" s="71"/>
      <c r="F702" s="32" t="s">
        <v>1869</v>
      </c>
      <c r="G702" s="32" t="s">
        <v>1870</v>
      </c>
      <c r="H702" s="32" t="s">
        <v>1540</v>
      </c>
      <c r="I702" s="32"/>
      <c r="J702" s="33">
        <v>300</v>
      </c>
      <c r="K702" s="34">
        <v>0.67</v>
      </c>
      <c r="L702" s="35">
        <v>201</v>
      </c>
      <c r="M702" s="36" t="s">
        <v>32</v>
      </c>
      <c r="N702" s="37">
        <v>1</v>
      </c>
      <c r="O702" s="35">
        <v>201</v>
      </c>
      <c r="P702" s="35" t="s">
        <v>33</v>
      </c>
      <c r="Q702" s="97">
        <v>45453</v>
      </c>
      <c r="R702" s="35" t="s">
        <v>62</v>
      </c>
      <c r="S702" s="38"/>
      <c r="T702" s="78">
        <v>2</v>
      </c>
      <c r="U702" s="78"/>
      <c r="V702" s="78"/>
      <c r="W702" s="78" t="s">
        <v>303</v>
      </c>
      <c r="X702" s="78" t="s">
        <v>839</v>
      </c>
      <c r="Y702" s="78">
        <v>1</v>
      </c>
      <c r="Z702" s="78" t="s">
        <v>48</v>
      </c>
      <c r="AA702" s="78" t="s">
        <v>225</v>
      </c>
      <c r="AB702" s="78">
        <v>300</v>
      </c>
    </row>
    <row r="703" spans="1:28" x14ac:dyDescent="0.25">
      <c r="A703" t="str">
        <f>IF(EXACT('BOM A320 FFS'!B970,obsoleta!D703),"OK","ERROR")</f>
        <v>ERROR</v>
      </c>
      <c r="C703" s="31" t="s">
        <v>314</v>
      </c>
      <c r="D703" s="71">
        <v>1229991069511</v>
      </c>
      <c r="E703" s="71"/>
      <c r="F703" s="32" t="s">
        <v>1835</v>
      </c>
      <c r="G703" s="32" t="s">
        <v>1836</v>
      </c>
      <c r="H703" s="32" t="s">
        <v>1540</v>
      </c>
      <c r="I703" s="32"/>
      <c r="J703" s="33">
        <v>300</v>
      </c>
      <c r="K703" s="34">
        <v>0.8</v>
      </c>
      <c r="L703" s="35">
        <v>240</v>
      </c>
      <c r="M703" s="36" t="s">
        <v>32</v>
      </c>
      <c r="N703" s="37">
        <v>1</v>
      </c>
      <c r="O703" s="35">
        <v>240</v>
      </c>
      <c r="P703" s="35" t="s">
        <v>33</v>
      </c>
      <c r="Q703" s="97">
        <v>45453</v>
      </c>
      <c r="R703" s="35" t="s">
        <v>62</v>
      </c>
      <c r="S703" s="38"/>
      <c r="T703" s="78">
        <v>2</v>
      </c>
      <c r="U703" s="78"/>
      <c r="V703" s="78"/>
      <c r="W703" s="78" t="s">
        <v>303</v>
      </c>
      <c r="X703" s="78" t="s">
        <v>839</v>
      </c>
      <c r="Y703" s="78">
        <v>1</v>
      </c>
      <c r="Z703" s="78" t="s">
        <v>48</v>
      </c>
      <c r="AA703" s="78" t="s">
        <v>225</v>
      </c>
      <c r="AB703" s="78">
        <v>300</v>
      </c>
    </row>
    <row r="704" spans="1:28" x14ac:dyDescent="0.25">
      <c r="A704" t="str">
        <f>IF(EXACT('BOM A320 FFS'!B971,obsoleta!D704),"OK","ERROR")</f>
        <v>ERROR</v>
      </c>
      <c r="C704" s="31" t="s">
        <v>314</v>
      </c>
      <c r="D704" s="71">
        <v>1220100242001</v>
      </c>
      <c r="E704" s="71"/>
      <c r="F704" s="32" t="s">
        <v>2136</v>
      </c>
      <c r="G704" s="32" t="s">
        <v>2137</v>
      </c>
      <c r="H704" s="32" t="s">
        <v>1540</v>
      </c>
      <c r="I704" s="32"/>
      <c r="J704" s="33">
        <v>100</v>
      </c>
      <c r="K704" s="34">
        <v>0.18</v>
      </c>
      <c r="L704" s="35">
        <v>18</v>
      </c>
      <c r="M704" s="36" t="s">
        <v>32</v>
      </c>
      <c r="N704" s="37">
        <v>1</v>
      </c>
      <c r="O704" s="35">
        <v>18</v>
      </c>
      <c r="P704" s="35" t="s">
        <v>33</v>
      </c>
      <c r="Q704" s="97">
        <v>45453</v>
      </c>
      <c r="R704" s="35" t="s">
        <v>62</v>
      </c>
      <c r="S704" s="38"/>
      <c r="T704" s="78">
        <v>2</v>
      </c>
      <c r="U704" s="78"/>
      <c r="V704" s="78"/>
      <c r="W704" s="78" t="s">
        <v>303</v>
      </c>
      <c r="X704" s="78" t="s">
        <v>839</v>
      </c>
      <c r="Y704" s="78">
        <v>1</v>
      </c>
      <c r="Z704" s="78" t="s">
        <v>48</v>
      </c>
      <c r="AA704" s="78" t="s">
        <v>1670</v>
      </c>
      <c r="AB704" s="78">
        <v>100</v>
      </c>
    </row>
    <row r="705" spans="1:28" ht="77.25" x14ac:dyDescent="0.25">
      <c r="A705" t="str">
        <f>IF(EXACT('BOM A320 FFS'!B972,obsoleta!D705),"OK","ERROR")</f>
        <v>ERROR</v>
      </c>
      <c r="C705" s="72" t="s">
        <v>3775</v>
      </c>
      <c r="D705" s="71" t="s">
        <v>1734</v>
      </c>
      <c r="E705" s="71"/>
      <c r="F705" s="32" t="s">
        <v>1735</v>
      </c>
      <c r="G705" s="32" t="s">
        <v>1736</v>
      </c>
      <c r="H705" s="32" t="s">
        <v>1540</v>
      </c>
      <c r="I705" s="32"/>
      <c r="J705" s="33">
        <v>100</v>
      </c>
      <c r="K705" s="34">
        <v>1.21</v>
      </c>
      <c r="L705" s="35">
        <v>121</v>
      </c>
      <c r="M705" s="36" t="s">
        <v>32</v>
      </c>
      <c r="N705" s="37">
        <v>1</v>
      </c>
      <c r="O705" s="35">
        <v>121</v>
      </c>
      <c r="P705" s="35" t="s">
        <v>33</v>
      </c>
      <c r="Q705" s="97">
        <v>45453</v>
      </c>
      <c r="R705" s="35" t="s">
        <v>62</v>
      </c>
      <c r="S705" s="38"/>
      <c r="T705" s="78">
        <v>2</v>
      </c>
      <c r="U705" s="78"/>
      <c r="V705" s="78"/>
      <c r="W705" s="78" t="s">
        <v>303</v>
      </c>
      <c r="X705" s="78" t="s">
        <v>839</v>
      </c>
      <c r="Y705" s="78">
        <v>1</v>
      </c>
      <c r="Z705" s="78" t="s">
        <v>48</v>
      </c>
      <c r="AA705" s="78" t="s">
        <v>225</v>
      </c>
      <c r="AB705" s="78">
        <v>200</v>
      </c>
    </row>
    <row r="706" spans="1:28" x14ac:dyDescent="0.25">
      <c r="A706" t="str">
        <f>IF(EXACT('BOM A320 FFS'!B973,obsoleta!D706),"OK","ERROR")</f>
        <v>ERROR</v>
      </c>
      <c r="C706" s="31" t="s">
        <v>314</v>
      </c>
      <c r="D706" s="71">
        <v>1220100202010</v>
      </c>
      <c r="E706" s="71"/>
      <c r="F706" s="32" t="s">
        <v>2082</v>
      </c>
      <c r="G706" s="32" t="s">
        <v>2083</v>
      </c>
      <c r="H706" s="32" t="s">
        <v>1540</v>
      </c>
      <c r="I706" s="32"/>
      <c r="J706" s="33">
        <v>100</v>
      </c>
      <c r="K706" s="34">
        <v>0.27</v>
      </c>
      <c r="L706" s="35">
        <v>27</v>
      </c>
      <c r="M706" s="36" t="s">
        <v>32</v>
      </c>
      <c r="N706" s="37">
        <v>1</v>
      </c>
      <c r="O706" s="35">
        <v>27</v>
      </c>
      <c r="P706" s="35" t="s">
        <v>33</v>
      </c>
      <c r="Q706" s="97">
        <v>45453</v>
      </c>
      <c r="R706" s="35" t="s">
        <v>62</v>
      </c>
      <c r="S706" s="38"/>
      <c r="T706" s="78">
        <v>2</v>
      </c>
      <c r="U706" s="78"/>
      <c r="V706" s="78"/>
      <c r="W706" s="78" t="s">
        <v>303</v>
      </c>
      <c r="X706" s="78" t="s">
        <v>839</v>
      </c>
      <c r="Y706" s="78">
        <v>1</v>
      </c>
      <c r="Z706" s="78" t="s">
        <v>48</v>
      </c>
      <c r="AA706" s="78" t="s">
        <v>1670</v>
      </c>
      <c r="AB706" s="78">
        <v>100</v>
      </c>
    </row>
    <row r="707" spans="1:28" x14ac:dyDescent="0.25">
      <c r="A707" t="str">
        <f>IF(EXACT('BOM A320 FFS'!B974,obsoleta!D707),"OK","ERROR")</f>
        <v>ERROR</v>
      </c>
      <c r="C707" s="31" t="s">
        <v>314</v>
      </c>
      <c r="D707" s="71">
        <v>1221100182500</v>
      </c>
      <c r="E707" s="71"/>
      <c r="F707" s="32" t="s">
        <v>1753</v>
      </c>
      <c r="G707" s="32" t="s">
        <v>1754</v>
      </c>
      <c r="H707" s="32" t="s">
        <v>1540</v>
      </c>
      <c r="I707" s="32"/>
      <c r="J707" s="33">
        <v>100</v>
      </c>
      <c r="K707" s="34">
        <v>1.0900000000000001</v>
      </c>
      <c r="L707" s="35">
        <v>109</v>
      </c>
      <c r="M707" s="36" t="s">
        <v>32</v>
      </c>
      <c r="N707" s="37">
        <v>1</v>
      </c>
      <c r="O707" s="35">
        <v>109</v>
      </c>
      <c r="P707" s="35" t="s">
        <v>33</v>
      </c>
      <c r="Q707" s="97">
        <v>45453</v>
      </c>
      <c r="R707" s="35" t="s">
        <v>62</v>
      </c>
      <c r="S707" s="38"/>
      <c r="T707" s="78">
        <v>2</v>
      </c>
      <c r="U707" s="78"/>
      <c r="V707" s="78"/>
      <c r="W707" s="78" t="s">
        <v>303</v>
      </c>
      <c r="X707" s="78" t="s">
        <v>839</v>
      </c>
      <c r="Y707" s="78">
        <v>1</v>
      </c>
      <c r="Z707" s="78" t="s">
        <v>48</v>
      </c>
      <c r="AA707" s="78" t="s">
        <v>225</v>
      </c>
      <c r="AB707" s="78">
        <v>100</v>
      </c>
    </row>
    <row r="708" spans="1:28" x14ac:dyDescent="0.25">
      <c r="A708" t="str">
        <f>IF(EXACT('BOM A320 FFS'!B975,obsoleta!D708),"OK","ERROR")</f>
        <v>ERROR</v>
      </c>
      <c r="C708" s="31" t="s">
        <v>314</v>
      </c>
      <c r="D708" s="71" t="s">
        <v>1541</v>
      </c>
      <c r="E708" s="71"/>
      <c r="F708" s="32" t="s">
        <v>1542</v>
      </c>
      <c r="G708" s="32" t="s">
        <v>1543</v>
      </c>
      <c r="H708" s="32" t="s">
        <v>1540</v>
      </c>
      <c r="I708" s="32"/>
      <c r="J708" s="33">
        <v>500</v>
      </c>
      <c r="K708" s="34">
        <v>3</v>
      </c>
      <c r="L708" s="35">
        <v>1500</v>
      </c>
      <c r="M708" s="36" t="s">
        <v>32</v>
      </c>
      <c r="N708" s="37">
        <v>1</v>
      </c>
      <c r="O708" s="35">
        <v>1500</v>
      </c>
      <c r="P708" s="35" t="s">
        <v>33</v>
      </c>
      <c r="Q708" s="97">
        <v>45453</v>
      </c>
      <c r="R708" s="35" t="s">
        <v>62</v>
      </c>
      <c r="S708" s="38"/>
      <c r="T708" s="78">
        <v>2</v>
      </c>
      <c r="U708" s="78"/>
      <c r="V708" s="78"/>
      <c r="W708" s="78" t="s">
        <v>303</v>
      </c>
      <c r="X708" s="78" t="s">
        <v>839</v>
      </c>
      <c r="Y708" s="78">
        <v>1</v>
      </c>
      <c r="Z708" s="78" t="s">
        <v>48</v>
      </c>
      <c r="AA708" s="78" t="s">
        <v>225</v>
      </c>
      <c r="AB708" s="78">
        <v>500</v>
      </c>
    </row>
    <row r="709" spans="1:28" x14ac:dyDescent="0.25">
      <c r="A709" t="str">
        <f>IF(EXACT('BOM A320 FFS'!B976,obsoleta!D709),"OK","ERROR")</f>
        <v>ERROR</v>
      </c>
      <c r="C709" s="31" t="s">
        <v>314</v>
      </c>
      <c r="D709" s="71">
        <v>1221100122500</v>
      </c>
      <c r="E709" s="71"/>
      <c r="F709" s="32" t="s">
        <v>1832</v>
      </c>
      <c r="G709" s="32" t="s">
        <v>1833</v>
      </c>
      <c r="H709" s="32" t="s">
        <v>1540</v>
      </c>
      <c r="I709" s="32"/>
      <c r="J709" s="33">
        <v>300</v>
      </c>
      <c r="K709" s="34">
        <v>0.8</v>
      </c>
      <c r="L709" s="35">
        <v>240</v>
      </c>
      <c r="M709" s="36" t="s">
        <v>32</v>
      </c>
      <c r="N709" s="37">
        <v>1</v>
      </c>
      <c r="O709" s="35">
        <v>240</v>
      </c>
      <c r="P709" s="35" t="s">
        <v>33</v>
      </c>
      <c r="Q709" s="97">
        <v>45453</v>
      </c>
      <c r="R709" s="35" t="s">
        <v>62</v>
      </c>
      <c r="S709" s="38"/>
      <c r="T709" s="78">
        <v>2</v>
      </c>
      <c r="U709" s="78"/>
      <c r="V709" s="78"/>
      <c r="W709" s="78" t="s">
        <v>303</v>
      </c>
      <c r="X709" s="78" t="s">
        <v>839</v>
      </c>
      <c r="Y709" s="78">
        <v>1</v>
      </c>
      <c r="Z709" s="78" t="s">
        <v>48</v>
      </c>
      <c r="AA709" s="78" t="s">
        <v>225</v>
      </c>
      <c r="AB709" s="78">
        <v>300</v>
      </c>
    </row>
    <row r="710" spans="1:28" x14ac:dyDescent="0.25">
      <c r="A710" t="str">
        <f>IF(EXACT('BOM A320 FFS'!B977,obsoleta!D710),"OK","ERROR")</f>
        <v>ERROR</v>
      </c>
      <c r="C710" s="31" t="s">
        <v>314</v>
      </c>
      <c r="D710" s="71" t="s">
        <v>1854</v>
      </c>
      <c r="E710" s="71"/>
      <c r="F710" s="32" t="s">
        <v>1855</v>
      </c>
      <c r="G710" s="32" t="s">
        <v>1856</v>
      </c>
      <c r="H710" s="32" t="s">
        <v>1540</v>
      </c>
      <c r="I710" s="32"/>
      <c r="J710" s="33">
        <v>300</v>
      </c>
      <c r="K710" s="34">
        <v>0.75</v>
      </c>
      <c r="L710" s="35">
        <v>225</v>
      </c>
      <c r="M710" s="36" t="s">
        <v>32</v>
      </c>
      <c r="N710" s="37">
        <v>1</v>
      </c>
      <c r="O710" s="35">
        <v>225</v>
      </c>
      <c r="P710" s="35" t="s">
        <v>33</v>
      </c>
      <c r="Q710" s="97">
        <v>45453</v>
      </c>
      <c r="R710" s="35" t="s">
        <v>62</v>
      </c>
      <c r="S710" s="38"/>
      <c r="T710" s="78">
        <v>2</v>
      </c>
      <c r="U710" s="78"/>
      <c r="V710" s="78"/>
      <c r="W710" s="78" t="s">
        <v>303</v>
      </c>
      <c r="X710" s="78" t="s">
        <v>839</v>
      </c>
      <c r="Y710" s="78">
        <v>1</v>
      </c>
      <c r="Z710" s="78" t="s">
        <v>48</v>
      </c>
      <c r="AA710" s="78" t="s">
        <v>225</v>
      </c>
      <c r="AB710" s="78">
        <v>300</v>
      </c>
    </row>
    <row r="711" spans="1:28" x14ac:dyDescent="0.25">
      <c r="A711" t="str">
        <f>IF(EXACT('BOM A320 FFS'!B978,obsoleta!D711),"OK","ERROR")</f>
        <v>ERROR</v>
      </c>
      <c r="C711" s="31" t="s">
        <v>314</v>
      </c>
      <c r="D711" s="71">
        <v>1222200202210</v>
      </c>
      <c r="E711" s="71"/>
      <c r="F711" s="32" t="s">
        <v>1746</v>
      </c>
      <c r="G711" s="32" t="s">
        <v>1747</v>
      </c>
      <c r="H711" s="32" t="s">
        <v>1540</v>
      </c>
      <c r="I711" s="32"/>
      <c r="J711" s="33">
        <v>600</v>
      </c>
      <c r="K711" s="34">
        <v>1.1399999999999999</v>
      </c>
      <c r="L711" s="35">
        <v>684</v>
      </c>
      <c r="M711" s="36" t="s">
        <v>32</v>
      </c>
      <c r="N711" s="37">
        <v>1</v>
      </c>
      <c r="O711" s="35">
        <v>684</v>
      </c>
      <c r="P711" s="35" t="s">
        <v>33</v>
      </c>
      <c r="Q711" s="97">
        <v>45453</v>
      </c>
      <c r="R711" s="35" t="s">
        <v>62</v>
      </c>
      <c r="S711" s="38"/>
      <c r="T711" s="78">
        <v>2</v>
      </c>
      <c r="U711" s="78"/>
      <c r="V711" s="78"/>
      <c r="W711" s="78" t="s">
        <v>303</v>
      </c>
      <c r="X711" s="78" t="s">
        <v>839</v>
      </c>
      <c r="Y711" s="78">
        <v>1</v>
      </c>
      <c r="Z711" s="78" t="s">
        <v>48</v>
      </c>
      <c r="AA711" s="78" t="s">
        <v>225</v>
      </c>
      <c r="AB711" s="78">
        <v>600</v>
      </c>
    </row>
    <row r="712" spans="1:28" ht="39" x14ac:dyDescent="0.25">
      <c r="A712" t="str">
        <f>IF(EXACT('BOM A320 FFS'!B979,obsoleta!D712),"OK","ERROR")</f>
        <v>ERROR</v>
      </c>
      <c r="C712" s="72" t="s">
        <v>314</v>
      </c>
      <c r="D712" s="72" t="s">
        <v>1748</v>
      </c>
      <c r="E712" s="72"/>
      <c r="F712" s="32" t="s">
        <v>1750</v>
      </c>
      <c r="G712" s="32" t="s">
        <v>1751</v>
      </c>
      <c r="H712" s="32" t="s">
        <v>1540</v>
      </c>
      <c r="I712" s="32"/>
      <c r="J712" s="33">
        <v>300</v>
      </c>
      <c r="K712" s="34">
        <v>1.1399999999999999</v>
      </c>
      <c r="L712" s="35">
        <v>342</v>
      </c>
      <c r="M712" s="36" t="s">
        <v>32</v>
      </c>
      <c r="N712" s="37">
        <v>1</v>
      </c>
      <c r="O712" s="35">
        <v>342</v>
      </c>
      <c r="P712" s="35" t="s">
        <v>33</v>
      </c>
      <c r="Q712" s="97">
        <v>45453</v>
      </c>
      <c r="R712" s="35" t="s">
        <v>62</v>
      </c>
      <c r="S712" s="38"/>
      <c r="T712" s="78">
        <v>2</v>
      </c>
      <c r="U712" s="78"/>
      <c r="V712" s="78"/>
      <c r="W712" s="78" t="s">
        <v>303</v>
      </c>
      <c r="X712" s="78" t="s">
        <v>839</v>
      </c>
      <c r="Y712" s="78">
        <v>1</v>
      </c>
      <c r="Z712" s="78" t="s">
        <v>48</v>
      </c>
      <c r="AA712" s="78" t="s">
        <v>225</v>
      </c>
      <c r="AB712" s="78">
        <v>300</v>
      </c>
    </row>
    <row r="713" spans="1:28" x14ac:dyDescent="0.25">
      <c r="A713" t="str">
        <f>IF(EXACT('BOM A320 FFS'!B980,obsoleta!D713),"OK","ERROR")</f>
        <v>ERROR</v>
      </c>
      <c r="C713" s="31" t="s">
        <v>314</v>
      </c>
      <c r="D713" s="71">
        <v>1222200222210</v>
      </c>
      <c r="E713" s="71"/>
      <c r="F713" s="32" t="s">
        <v>1876</v>
      </c>
      <c r="G713" s="32" t="s">
        <v>1877</v>
      </c>
      <c r="H713" s="32" t="s">
        <v>1540</v>
      </c>
      <c r="I713" s="32"/>
      <c r="J713" s="33">
        <v>1500</v>
      </c>
      <c r="K713" s="34">
        <v>0.64</v>
      </c>
      <c r="L713" s="35">
        <v>960</v>
      </c>
      <c r="M713" s="36" t="s">
        <v>32</v>
      </c>
      <c r="N713" s="37">
        <v>1</v>
      </c>
      <c r="O713" s="35">
        <v>960</v>
      </c>
      <c r="P713" s="35" t="s">
        <v>33</v>
      </c>
      <c r="Q713" s="97">
        <v>45453</v>
      </c>
      <c r="R713" s="35" t="s">
        <v>62</v>
      </c>
      <c r="S713" s="38"/>
      <c r="T713" s="78">
        <v>2</v>
      </c>
      <c r="U713" s="78"/>
      <c r="V713" s="78"/>
      <c r="W713" s="78" t="s">
        <v>303</v>
      </c>
      <c r="X713" s="78" t="s">
        <v>839</v>
      </c>
      <c r="Y713" s="78">
        <v>1</v>
      </c>
      <c r="Z713" s="78" t="s">
        <v>48</v>
      </c>
      <c r="AA713" s="78" t="s">
        <v>225</v>
      </c>
      <c r="AB713" s="78">
        <v>1500</v>
      </c>
    </row>
    <row r="714" spans="1:28" x14ac:dyDescent="0.25">
      <c r="A714" t="str">
        <f>IF(EXACT('BOM A320 FFS'!B983,obsoleta!D714),"OK","ERROR")</f>
        <v>ERROR</v>
      </c>
      <c r="C714" s="31" t="s">
        <v>314</v>
      </c>
      <c r="D714" s="71">
        <v>1222200242210</v>
      </c>
      <c r="E714" s="71"/>
      <c r="F714" s="32" t="s">
        <v>1838</v>
      </c>
      <c r="G714" s="32" t="s">
        <v>1839</v>
      </c>
      <c r="H714" s="32" t="s">
        <v>1540</v>
      </c>
      <c r="I714" s="32"/>
      <c r="J714" s="33">
        <v>600</v>
      </c>
      <c r="K714" s="34">
        <v>0.79</v>
      </c>
      <c r="L714" s="35">
        <v>474</v>
      </c>
      <c r="M714" s="36" t="s">
        <v>32</v>
      </c>
      <c r="N714" s="37">
        <v>1</v>
      </c>
      <c r="O714" s="35">
        <v>474</v>
      </c>
      <c r="P714" s="35" t="s">
        <v>33</v>
      </c>
      <c r="Q714" s="97">
        <v>45453</v>
      </c>
      <c r="R714" s="35" t="s">
        <v>62</v>
      </c>
      <c r="S714" s="38"/>
      <c r="T714" s="78">
        <v>2</v>
      </c>
      <c r="U714" s="78"/>
      <c r="V714" s="78"/>
      <c r="W714" s="78" t="s">
        <v>303</v>
      </c>
      <c r="X714" s="78" t="s">
        <v>839</v>
      </c>
      <c r="Y714" s="78">
        <v>1</v>
      </c>
      <c r="Z714" s="78" t="s">
        <v>48</v>
      </c>
      <c r="AA714" s="78" t="s">
        <v>225</v>
      </c>
      <c r="AB714" s="78">
        <v>600</v>
      </c>
    </row>
    <row r="715" spans="1:28" x14ac:dyDescent="0.25">
      <c r="A715" t="str">
        <f>IF(EXACT('BOM A320 FFS'!B984,obsoleta!D715),"OK","ERROR")</f>
        <v>ERROR</v>
      </c>
      <c r="C715" s="31" t="s">
        <v>314</v>
      </c>
      <c r="D715" s="71">
        <v>1221200242223</v>
      </c>
      <c r="E715" s="71"/>
      <c r="F715" s="32" t="s">
        <v>1605</v>
      </c>
      <c r="G715" s="32" t="s">
        <v>1606</v>
      </c>
      <c r="H715" s="32" t="s">
        <v>1540</v>
      </c>
      <c r="I715" s="32"/>
      <c r="J715" s="33">
        <v>600</v>
      </c>
      <c r="K715" s="34">
        <v>2.0099999999999998</v>
      </c>
      <c r="L715" s="35">
        <v>1206</v>
      </c>
      <c r="M715" s="36" t="s">
        <v>32</v>
      </c>
      <c r="N715" s="37">
        <v>1</v>
      </c>
      <c r="O715" s="35">
        <v>1206</v>
      </c>
      <c r="P715" s="35" t="s">
        <v>33</v>
      </c>
      <c r="Q715" s="97">
        <v>45453</v>
      </c>
      <c r="R715" s="35" t="s">
        <v>62</v>
      </c>
      <c r="S715" s="38"/>
      <c r="T715" s="78">
        <v>2</v>
      </c>
      <c r="U715" s="78"/>
      <c r="V715" s="78"/>
      <c r="W715" s="78" t="s">
        <v>303</v>
      </c>
      <c r="X715" s="78" t="s">
        <v>839</v>
      </c>
      <c r="Y715" s="78">
        <v>1</v>
      </c>
      <c r="Z715" s="78" t="s">
        <v>48</v>
      </c>
      <c r="AA715" s="78" t="s">
        <v>225</v>
      </c>
      <c r="AB715" s="78">
        <v>600</v>
      </c>
    </row>
    <row r="716" spans="1:28" ht="39" x14ac:dyDescent="0.25">
      <c r="A716" t="str">
        <f>IF(EXACT('BOM A320 FFS'!B985,obsoleta!D716),"OK","ERROR")</f>
        <v>ERROR</v>
      </c>
      <c r="C716" s="72" t="s">
        <v>314</v>
      </c>
      <c r="D716" s="109">
        <v>1221400222940</v>
      </c>
      <c r="E716" s="109"/>
      <c r="F716" s="32" t="s">
        <v>1683</v>
      </c>
      <c r="G716" s="32" t="s">
        <v>1684</v>
      </c>
      <c r="H716" s="32" t="s">
        <v>1540</v>
      </c>
      <c r="I716" s="32"/>
      <c r="J716" s="33">
        <v>0</v>
      </c>
      <c r="K716" s="34">
        <v>1.9</v>
      </c>
      <c r="L716" s="35">
        <v>0</v>
      </c>
      <c r="M716" s="36" t="s">
        <v>32</v>
      </c>
      <c r="N716" s="37">
        <v>1</v>
      </c>
      <c r="O716" s="35">
        <v>0</v>
      </c>
      <c r="P716" s="35" t="s">
        <v>33</v>
      </c>
      <c r="Q716" s="97">
        <v>45453</v>
      </c>
      <c r="R716" s="35" t="s">
        <v>62</v>
      </c>
      <c r="S716" s="38"/>
      <c r="T716" s="78">
        <v>2</v>
      </c>
      <c r="U716" s="78"/>
      <c r="V716" s="78"/>
      <c r="W716" s="78" t="s">
        <v>303</v>
      </c>
      <c r="X716" s="78"/>
      <c r="Y716" s="78"/>
      <c r="Z716" s="78"/>
      <c r="AA716" s="78" t="s">
        <v>225</v>
      </c>
      <c r="AB716" s="78"/>
    </row>
    <row r="717" spans="1:28" ht="39" x14ac:dyDescent="0.25">
      <c r="A717" t="str">
        <f>IF(EXACT('BOM A320 FFS'!B986,obsoleta!D717),"OK","ERROR")</f>
        <v>ERROR</v>
      </c>
      <c r="C717" s="72" t="s">
        <v>314</v>
      </c>
      <c r="D717" s="109" t="s">
        <v>1682</v>
      </c>
      <c r="E717" s="109"/>
      <c r="F717" s="32" t="s">
        <v>1683</v>
      </c>
      <c r="G717" s="32" t="s">
        <v>1684</v>
      </c>
      <c r="H717" s="32" t="s">
        <v>1540</v>
      </c>
      <c r="I717" s="32"/>
      <c r="J717" s="33">
        <v>100</v>
      </c>
      <c r="K717" s="34">
        <v>1.9</v>
      </c>
      <c r="L717" s="35">
        <v>190</v>
      </c>
      <c r="M717" s="36" t="s">
        <v>32</v>
      </c>
      <c r="N717" s="37">
        <v>1</v>
      </c>
      <c r="O717" s="35">
        <v>190</v>
      </c>
      <c r="P717" s="35" t="s">
        <v>33</v>
      </c>
      <c r="Q717" s="97">
        <v>45453</v>
      </c>
      <c r="R717" s="35" t="s">
        <v>62</v>
      </c>
      <c r="S717" s="38"/>
      <c r="T717" s="78">
        <v>2</v>
      </c>
      <c r="U717" s="78"/>
      <c r="V717" s="78"/>
      <c r="W717" s="78" t="s">
        <v>303</v>
      </c>
      <c r="X717" s="78" t="s">
        <v>839</v>
      </c>
      <c r="Y717" s="78">
        <v>1</v>
      </c>
      <c r="Z717" s="78" t="s">
        <v>48</v>
      </c>
      <c r="AA717" s="78" t="s">
        <v>225</v>
      </c>
      <c r="AB717" s="78">
        <v>100</v>
      </c>
    </row>
    <row r="718" spans="1:28" x14ac:dyDescent="0.25">
      <c r="A718" t="str">
        <f>IF(EXACT('BOM A320 FFS'!B987,obsoleta!D718),"OK","ERROR")</f>
        <v>ERROR</v>
      </c>
      <c r="C718" s="31" t="s">
        <v>314</v>
      </c>
      <c r="D718" s="71">
        <v>1221200222900</v>
      </c>
      <c r="E718" s="71"/>
      <c r="F718" s="32" t="s">
        <v>1725</v>
      </c>
      <c r="G718" s="32" t="s">
        <v>1726</v>
      </c>
      <c r="H718" s="32" t="s">
        <v>1540</v>
      </c>
      <c r="I718" s="32"/>
      <c r="J718" s="33">
        <v>1500</v>
      </c>
      <c r="K718" s="34">
        <v>1.41</v>
      </c>
      <c r="L718" s="35">
        <v>2115</v>
      </c>
      <c r="M718" s="36" t="s">
        <v>32</v>
      </c>
      <c r="N718" s="37">
        <v>1</v>
      </c>
      <c r="O718" s="35">
        <v>2115</v>
      </c>
      <c r="P718" s="35" t="s">
        <v>33</v>
      </c>
      <c r="Q718" s="97">
        <v>45453</v>
      </c>
      <c r="R718" s="35" t="s">
        <v>62</v>
      </c>
      <c r="S718" s="38"/>
      <c r="T718" s="78">
        <v>2</v>
      </c>
      <c r="U718" s="78"/>
      <c r="V718" s="78"/>
      <c r="W718" s="78" t="s">
        <v>303</v>
      </c>
      <c r="X718" s="78" t="s">
        <v>839</v>
      </c>
      <c r="Y718" s="78">
        <v>1</v>
      </c>
      <c r="Z718" s="78" t="s">
        <v>48</v>
      </c>
      <c r="AA718" s="78" t="s">
        <v>225</v>
      </c>
      <c r="AB718" s="78">
        <v>1500</v>
      </c>
    </row>
    <row r="719" spans="1:28" x14ac:dyDescent="0.25">
      <c r="A719" t="str">
        <f>IF(EXACT('BOM A320 FFS'!B988,obsoleta!D719),"OK","ERROR")</f>
        <v>ERROR</v>
      </c>
      <c r="C719" s="31" t="s">
        <v>314</v>
      </c>
      <c r="D719" s="71">
        <v>1221200202900</v>
      </c>
      <c r="E719" s="71">
        <v>1221200202221</v>
      </c>
      <c r="F719" s="32" t="s">
        <v>1714</v>
      </c>
      <c r="G719" s="32" t="s">
        <v>1715</v>
      </c>
      <c r="H719" s="32" t="s">
        <v>1540</v>
      </c>
      <c r="I719" s="32"/>
      <c r="J719" s="33">
        <v>600</v>
      </c>
      <c r="K719" s="34">
        <v>1.5</v>
      </c>
      <c r="L719" s="35">
        <v>900</v>
      </c>
      <c r="M719" s="36" t="s">
        <v>32</v>
      </c>
      <c r="N719" s="37">
        <v>1</v>
      </c>
      <c r="O719" s="35">
        <v>900</v>
      </c>
      <c r="P719" s="35" t="s">
        <v>33</v>
      </c>
      <c r="Q719" s="97">
        <v>45453</v>
      </c>
      <c r="R719" s="35" t="s">
        <v>62</v>
      </c>
      <c r="S719" s="38"/>
      <c r="T719" s="78">
        <v>2</v>
      </c>
      <c r="U719" s="78"/>
      <c r="V719" s="78"/>
      <c r="W719" s="78" t="s">
        <v>303</v>
      </c>
      <c r="X719" s="78" t="s">
        <v>839</v>
      </c>
      <c r="Y719" s="78">
        <v>1</v>
      </c>
      <c r="Z719" s="78" t="s">
        <v>48</v>
      </c>
      <c r="AA719" s="78" t="s">
        <v>225</v>
      </c>
      <c r="AB719" s="78">
        <v>600</v>
      </c>
    </row>
    <row r="720" spans="1:28" x14ac:dyDescent="0.25">
      <c r="A720" t="str">
        <f>IF(EXACT('BOM A320 FFS'!B991,obsoleta!D720),"OK","ERROR")</f>
        <v>ERROR</v>
      </c>
      <c r="C720" s="31" t="s">
        <v>314</v>
      </c>
      <c r="D720" s="71" t="s">
        <v>1537</v>
      </c>
      <c r="E720" s="71"/>
      <c r="F720" s="32" t="s">
        <v>1538</v>
      </c>
      <c r="G720" s="32" t="s">
        <v>1539</v>
      </c>
      <c r="H720" s="32" t="s">
        <v>1540</v>
      </c>
      <c r="I720" s="32"/>
      <c r="J720" s="33">
        <v>500</v>
      </c>
      <c r="K720" s="34">
        <v>3</v>
      </c>
      <c r="L720" s="35">
        <v>1500</v>
      </c>
      <c r="M720" s="36" t="s">
        <v>32</v>
      </c>
      <c r="N720" s="37">
        <v>1</v>
      </c>
      <c r="O720" s="35">
        <v>1500</v>
      </c>
      <c r="P720" s="35" t="s">
        <v>33</v>
      </c>
      <c r="Q720" s="97">
        <v>45453</v>
      </c>
      <c r="R720" s="35" t="s">
        <v>62</v>
      </c>
      <c r="S720" s="38"/>
      <c r="T720" s="78">
        <v>2</v>
      </c>
      <c r="U720" s="78"/>
      <c r="V720" s="78"/>
      <c r="W720" s="78" t="s">
        <v>303</v>
      </c>
      <c r="X720" s="78" t="s">
        <v>839</v>
      </c>
      <c r="Y720" s="78">
        <v>1</v>
      </c>
      <c r="Z720" s="78" t="s">
        <v>48</v>
      </c>
      <c r="AA720" s="78" t="s">
        <v>225</v>
      </c>
      <c r="AB720" s="78">
        <v>500</v>
      </c>
    </row>
    <row r="721" spans="1:28" x14ac:dyDescent="0.25">
      <c r="A721" t="str">
        <f>IF(EXACT('BOM A320 FFS'!B992,obsoleta!D721),"OK","ERROR")</f>
        <v>ERROR</v>
      </c>
      <c r="C721" s="31" t="s">
        <v>314</v>
      </c>
      <c r="D721" s="71">
        <v>1221900222900</v>
      </c>
      <c r="E721" s="71"/>
      <c r="F721" s="32" t="s">
        <v>1623</v>
      </c>
      <c r="G721" s="32" t="s">
        <v>1624</v>
      </c>
      <c r="H721" s="32" t="s">
        <v>1540</v>
      </c>
      <c r="I721" s="32"/>
      <c r="J721" s="33">
        <v>100</v>
      </c>
      <c r="K721" s="34">
        <v>2</v>
      </c>
      <c r="L721" s="35">
        <v>200</v>
      </c>
      <c r="M721" s="36" t="s">
        <v>32</v>
      </c>
      <c r="N721" s="37">
        <v>1</v>
      </c>
      <c r="O721" s="35">
        <v>200</v>
      </c>
      <c r="P721" s="35" t="s">
        <v>33</v>
      </c>
      <c r="Q721" s="97">
        <v>45453</v>
      </c>
      <c r="R721" s="35" t="s">
        <v>62</v>
      </c>
      <c r="S721" s="38"/>
      <c r="T721" s="78">
        <v>2</v>
      </c>
      <c r="U721" s="78"/>
      <c r="V721" s="78"/>
      <c r="W721" s="78" t="s">
        <v>303</v>
      </c>
      <c r="X721" s="78" t="s">
        <v>839</v>
      </c>
      <c r="Y721" s="78">
        <v>1</v>
      </c>
      <c r="Z721" s="78" t="s">
        <v>48</v>
      </c>
      <c r="AA721" s="78" t="s">
        <v>225</v>
      </c>
      <c r="AB721" s="78">
        <v>100</v>
      </c>
    </row>
    <row r="722" spans="1:28" x14ac:dyDescent="0.25">
      <c r="A722" t="str">
        <f>IF(EXACT('BOM A320 FFS'!B993,obsoleta!D722),"OK","ERROR")</f>
        <v>ERROR</v>
      </c>
      <c r="C722" s="31"/>
      <c r="D722" s="71">
        <v>1220114152601</v>
      </c>
      <c r="E722" s="71"/>
      <c r="F722" s="32" t="s">
        <v>1629</v>
      </c>
      <c r="G722" s="32" t="s">
        <v>1630</v>
      </c>
      <c r="H722" s="32" t="s">
        <v>1540</v>
      </c>
      <c r="I722" s="32"/>
      <c r="J722" s="33">
        <v>0</v>
      </c>
      <c r="K722" s="34">
        <v>2</v>
      </c>
      <c r="L722" s="35">
        <v>0</v>
      </c>
      <c r="M722" s="36" t="s">
        <v>32</v>
      </c>
      <c r="N722" s="37">
        <v>1</v>
      </c>
      <c r="O722" s="35">
        <v>0</v>
      </c>
      <c r="P722" s="35" t="s">
        <v>33</v>
      </c>
      <c r="Q722" s="97">
        <v>45453</v>
      </c>
      <c r="R722" s="35" t="s">
        <v>62</v>
      </c>
      <c r="S722" s="38" t="s">
        <v>1246</v>
      </c>
      <c r="T722" s="78">
        <v>2</v>
      </c>
      <c r="U722" s="78"/>
      <c r="V722" s="78"/>
      <c r="W722" s="78"/>
      <c r="X722" s="78"/>
      <c r="Y722" s="78"/>
      <c r="Z722" s="78"/>
      <c r="AA722" s="78" t="s">
        <v>1670</v>
      </c>
      <c r="AB722" s="78"/>
    </row>
    <row r="723" spans="1:28" x14ac:dyDescent="0.25">
      <c r="A723" t="str">
        <f>IF(EXACT('BOM A320 FFS'!B994,obsoleta!D723),"OK","ERROR")</f>
        <v>ERROR</v>
      </c>
      <c r="C723" s="31"/>
      <c r="D723" s="71">
        <v>1220114152003</v>
      </c>
      <c r="E723" s="71"/>
      <c r="F723" s="32" t="s">
        <v>1626</v>
      </c>
      <c r="G723" s="32" t="s">
        <v>1627</v>
      </c>
      <c r="H723" s="32" t="s">
        <v>1540</v>
      </c>
      <c r="I723" s="32"/>
      <c r="J723" s="33">
        <v>0</v>
      </c>
      <c r="K723" s="34">
        <v>2</v>
      </c>
      <c r="L723" s="35">
        <v>0</v>
      </c>
      <c r="M723" s="36" t="s">
        <v>32</v>
      </c>
      <c r="N723" s="37">
        <v>1</v>
      </c>
      <c r="O723" s="35">
        <v>0</v>
      </c>
      <c r="P723" s="35" t="s">
        <v>33</v>
      </c>
      <c r="Q723" s="97">
        <v>45453</v>
      </c>
      <c r="R723" s="35" t="s">
        <v>62</v>
      </c>
      <c r="S723" s="38" t="s">
        <v>1246</v>
      </c>
      <c r="T723" s="78">
        <v>2</v>
      </c>
      <c r="U723" s="78"/>
      <c r="V723" s="78"/>
      <c r="W723" s="78"/>
      <c r="X723" s="78"/>
      <c r="Y723" s="78"/>
      <c r="Z723" s="78"/>
      <c r="AA723" s="78" t="s">
        <v>225</v>
      </c>
      <c r="AB723" s="78"/>
    </row>
    <row r="724" spans="1:28" x14ac:dyDescent="0.25">
      <c r="A724" t="str">
        <f>IF(EXACT('BOM A320 FFS'!B995,obsoleta!D724),"OK","ERROR")</f>
        <v>ERROR</v>
      </c>
      <c r="C724" s="31" t="s">
        <v>314</v>
      </c>
      <c r="D724" s="71">
        <v>1220114153600</v>
      </c>
      <c r="E724" s="71"/>
      <c r="F724" s="115" t="s">
        <v>3776</v>
      </c>
      <c r="G724" s="32" t="s">
        <v>1632</v>
      </c>
      <c r="H724" s="32"/>
      <c r="I724" s="32"/>
      <c r="J724" s="33">
        <v>50</v>
      </c>
      <c r="K724" s="34">
        <v>2</v>
      </c>
      <c r="L724" s="35">
        <v>100</v>
      </c>
      <c r="M724" s="36" t="s">
        <v>32</v>
      </c>
      <c r="N724" s="37">
        <v>1</v>
      </c>
      <c r="O724" s="35">
        <v>100</v>
      </c>
      <c r="P724" s="35" t="s">
        <v>33</v>
      </c>
      <c r="Q724" s="97">
        <v>45453</v>
      </c>
      <c r="R724" s="35" t="s">
        <v>62</v>
      </c>
      <c r="S724" s="38" t="s">
        <v>1246</v>
      </c>
      <c r="T724" s="78">
        <v>2</v>
      </c>
      <c r="U724" s="78"/>
      <c r="V724" s="78"/>
      <c r="W724" s="78" t="s">
        <v>303</v>
      </c>
      <c r="X724" s="78" t="s">
        <v>839</v>
      </c>
      <c r="Y724" s="78">
        <v>1</v>
      </c>
      <c r="Z724" s="78" t="s">
        <v>48</v>
      </c>
      <c r="AA724" s="78" t="s">
        <v>225</v>
      </c>
      <c r="AB724" s="78">
        <v>50</v>
      </c>
    </row>
    <row r="725" spans="1:28" x14ac:dyDescent="0.25">
      <c r="A725" t="str">
        <f>IF(EXACT('BOM A320 FFS'!B997,obsoleta!D725),"OK","ERROR")</f>
        <v>ERROR</v>
      </c>
      <c r="C725" s="31" t="s">
        <v>314</v>
      </c>
      <c r="D725" s="71">
        <v>1220114153000</v>
      </c>
      <c r="E725" s="71"/>
      <c r="F725" s="32" t="s">
        <v>1641</v>
      </c>
      <c r="G725" s="32" t="s">
        <v>1642</v>
      </c>
      <c r="H725" s="32"/>
      <c r="I725" s="32"/>
      <c r="J725" s="33">
        <v>50</v>
      </c>
      <c r="K725" s="34">
        <v>2</v>
      </c>
      <c r="L725" s="35">
        <v>100</v>
      </c>
      <c r="M725" s="36" t="s">
        <v>32</v>
      </c>
      <c r="N725" s="37">
        <v>1</v>
      </c>
      <c r="O725" s="35">
        <v>100</v>
      </c>
      <c r="P725" s="35" t="s">
        <v>33</v>
      </c>
      <c r="Q725" s="97">
        <v>45453</v>
      </c>
      <c r="R725" s="35" t="s">
        <v>62</v>
      </c>
      <c r="S725" s="38" t="s">
        <v>1246</v>
      </c>
      <c r="T725" s="78">
        <v>2</v>
      </c>
      <c r="U725" s="78"/>
      <c r="V725" s="78"/>
      <c r="W725" s="78" t="s">
        <v>303</v>
      </c>
      <c r="X725" s="78" t="s">
        <v>839</v>
      </c>
      <c r="Y725" s="78">
        <v>1</v>
      </c>
      <c r="Z725" s="78" t="s">
        <v>48</v>
      </c>
      <c r="AA725" s="78" t="s">
        <v>225</v>
      </c>
      <c r="AB725" s="78">
        <v>50</v>
      </c>
    </row>
    <row r="726" spans="1:28" x14ac:dyDescent="0.25">
      <c r="A726" t="str">
        <f>IF(EXACT('BOM A320 FFS'!B998,obsoleta!D726),"OK","ERROR")</f>
        <v>ERROR</v>
      </c>
      <c r="C726" s="31" t="s">
        <v>314</v>
      </c>
      <c r="D726" s="71">
        <v>1220114153800</v>
      </c>
      <c r="E726" s="71"/>
      <c r="F726" s="32" t="s">
        <v>1648</v>
      </c>
      <c r="G726" s="32" t="s">
        <v>1649</v>
      </c>
      <c r="H726" s="32"/>
      <c r="I726" s="32"/>
      <c r="J726" s="33">
        <v>50</v>
      </c>
      <c r="K726" s="34">
        <v>2</v>
      </c>
      <c r="L726" s="35">
        <v>100</v>
      </c>
      <c r="M726" s="36" t="s">
        <v>32</v>
      </c>
      <c r="N726" s="37">
        <v>1</v>
      </c>
      <c r="O726" s="35">
        <v>100</v>
      </c>
      <c r="P726" s="35" t="s">
        <v>33</v>
      </c>
      <c r="Q726" s="97">
        <v>45453</v>
      </c>
      <c r="R726" s="35" t="s">
        <v>62</v>
      </c>
      <c r="S726" s="38" t="s">
        <v>1246</v>
      </c>
      <c r="T726" s="78">
        <v>2</v>
      </c>
      <c r="U726" s="78"/>
      <c r="V726" s="78"/>
      <c r="W726" s="78" t="s">
        <v>303</v>
      </c>
      <c r="X726" s="78" t="s">
        <v>839</v>
      </c>
      <c r="Y726" s="78">
        <v>1</v>
      </c>
      <c r="Z726" s="78" t="s">
        <v>48</v>
      </c>
      <c r="AA726" s="78" t="s">
        <v>225</v>
      </c>
      <c r="AB726" s="78">
        <v>50</v>
      </c>
    </row>
    <row r="727" spans="1:28" x14ac:dyDescent="0.25">
      <c r="A727" t="str">
        <f>IF(EXACT('BOM A320 FFS'!B999,obsoleta!D727),"OK","ERROR")</f>
        <v>ERROR</v>
      </c>
      <c r="C727" s="31" t="s">
        <v>314</v>
      </c>
      <c r="D727" s="71">
        <v>1220114153100</v>
      </c>
      <c r="E727" s="71"/>
      <c r="F727" s="32" t="s">
        <v>1644</v>
      </c>
      <c r="G727" s="32" t="s">
        <v>1645</v>
      </c>
      <c r="H727" s="32"/>
      <c r="I727" s="32"/>
      <c r="J727" s="33">
        <v>50</v>
      </c>
      <c r="K727" s="34">
        <v>2</v>
      </c>
      <c r="L727" s="35">
        <v>100</v>
      </c>
      <c r="M727" s="36" t="s">
        <v>32</v>
      </c>
      <c r="N727" s="37">
        <v>1</v>
      </c>
      <c r="O727" s="35">
        <v>100</v>
      </c>
      <c r="P727" s="35" t="s">
        <v>33</v>
      </c>
      <c r="Q727" s="97">
        <v>45453</v>
      </c>
      <c r="R727" s="35" t="s">
        <v>62</v>
      </c>
      <c r="S727" s="38" t="s">
        <v>1246</v>
      </c>
      <c r="T727" s="78">
        <v>2</v>
      </c>
      <c r="U727" s="78"/>
      <c r="V727" s="78"/>
      <c r="W727" s="78" t="s">
        <v>303</v>
      </c>
      <c r="X727" s="78" t="s">
        <v>839</v>
      </c>
      <c r="Y727" s="78">
        <v>1</v>
      </c>
      <c r="Z727" s="78" t="s">
        <v>48</v>
      </c>
      <c r="AA727" s="78" t="s">
        <v>225</v>
      </c>
      <c r="AB727" s="78">
        <v>50</v>
      </c>
    </row>
    <row r="728" spans="1:28" x14ac:dyDescent="0.25">
      <c r="A728" t="str">
        <f>IF(EXACT('BOM A320 FFS'!B1000,obsoleta!D728),"OK","ERROR")</f>
        <v>ERROR</v>
      </c>
      <c r="C728" s="31" t="s">
        <v>314</v>
      </c>
      <c r="D728" s="71">
        <v>1220114152000</v>
      </c>
      <c r="E728" s="71"/>
      <c r="F728" s="32" t="s">
        <v>1651</v>
      </c>
      <c r="G728" s="32" t="s">
        <v>1652</v>
      </c>
      <c r="H728" s="32"/>
      <c r="I728" s="32"/>
      <c r="J728" s="33">
        <v>50</v>
      </c>
      <c r="K728" s="34">
        <v>2</v>
      </c>
      <c r="L728" s="35">
        <v>100</v>
      </c>
      <c r="M728" s="36" t="s">
        <v>32</v>
      </c>
      <c r="N728" s="37">
        <v>1</v>
      </c>
      <c r="O728" s="35">
        <v>100</v>
      </c>
      <c r="P728" s="35" t="s">
        <v>33</v>
      </c>
      <c r="Q728" s="97">
        <v>45453</v>
      </c>
      <c r="R728" s="35" t="s">
        <v>62</v>
      </c>
      <c r="S728" s="38" t="s">
        <v>1246</v>
      </c>
      <c r="T728" s="78">
        <v>2</v>
      </c>
      <c r="U728" s="78"/>
      <c r="V728" s="78"/>
      <c r="W728" s="78" t="s">
        <v>303</v>
      </c>
      <c r="X728" s="78" t="s">
        <v>839</v>
      </c>
      <c r="Y728" s="78">
        <v>1</v>
      </c>
      <c r="Z728" s="78" t="s">
        <v>48</v>
      </c>
      <c r="AA728" s="78" t="s">
        <v>225</v>
      </c>
      <c r="AB728" s="78">
        <v>50</v>
      </c>
    </row>
    <row r="729" spans="1:28" x14ac:dyDescent="0.25">
      <c r="A729" t="str">
        <f>IF(EXACT('BOM A320 FFS'!B1001,obsoleta!D729),"OK","ERROR")</f>
        <v>ERROR</v>
      </c>
      <c r="C729" s="31" t="s">
        <v>314</v>
      </c>
      <c r="D729" s="71">
        <v>1220114252000</v>
      </c>
      <c r="E729" s="71"/>
      <c r="F729" s="32" t="s">
        <v>1554</v>
      </c>
      <c r="G729" s="32" t="s">
        <v>1555</v>
      </c>
      <c r="H729" s="32"/>
      <c r="I729" s="32"/>
      <c r="J729" s="33">
        <v>50</v>
      </c>
      <c r="K729" s="34">
        <v>3</v>
      </c>
      <c r="L729" s="35">
        <v>150</v>
      </c>
      <c r="M729" s="36" t="s">
        <v>32</v>
      </c>
      <c r="N729" s="37">
        <v>1</v>
      </c>
      <c r="O729" s="35">
        <v>150</v>
      </c>
      <c r="P729" s="35" t="s">
        <v>33</v>
      </c>
      <c r="Q729" s="97">
        <v>45453</v>
      </c>
      <c r="R729" s="35" t="s">
        <v>62</v>
      </c>
      <c r="S729" s="38" t="s">
        <v>1246</v>
      </c>
      <c r="T729" s="78">
        <v>2</v>
      </c>
      <c r="U729" s="78"/>
      <c r="V729" s="78"/>
      <c r="W729" s="78" t="s">
        <v>303</v>
      </c>
      <c r="X729" s="78" t="s">
        <v>839</v>
      </c>
      <c r="Y729" s="78">
        <v>1</v>
      </c>
      <c r="Z729" s="78" t="s">
        <v>48</v>
      </c>
      <c r="AA729" s="78" t="s">
        <v>225</v>
      </c>
      <c r="AB729" s="78">
        <v>50</v>
      </c>
    </row>
    <row r="730" spans="1:28" x14ac:dyDescent="0.25">
      <c r="A730" t="str">
        <f>IF(EXACT('BOM A320 FFS'!B1002,obsoleta!D730),"OK","ERROR")</f>
        <v>ERROR</v>
      </c>
      <c r="C730" s="31" t="s">
        <v>314</v>
      </c>
      <c r="D730" s="71">
        <v>1220114253000</v>
      </c>
      <c r="E730" s="71"/>
      <c r="F730" s="32" t="s">
        <v>1548</v>
      </c>
      <c r="G730" s="32" t="s">
        <v>1549</v>
      </c>
      <c r="H730" s="32"/>
      <c r="I730" s="32"/>
      <c r="J730" s="33">
        <v>50</v>
      </c>
      <c r="K730" s="34">
        <v>3</v>
      </c>
      <c r="L730" s="35">
        <v>150</v>
      </c>
      <c r="M730" s="36" t="s">
        <v>32</v>
      </c>
      <c r="N730" s="37">
        <v>1</v>
      </c>
      <c r="O730" s="35">
        <v>150</v>
      </c>
      <c r="P730" s="35" t="s">
        <v>33</v>
      </c>
      <c r="Q730" s="97">
        <v>45453</v>
      </c>
      <c r="R730" s="35" t="s">
        <v>62</v>
      </c>
      <c r="S730" s="38" t="s">
        <v>1246</v>
      </c>
      <c r="T730" s="78">
        <v>2</v>
      </c>
      <c r="U730" s="78"/>
      <c r="V730" s="78"/>
      <c r="W730" s="78" t="s">
        <v>303</v>
      </c>
      <c r="X730" s="78" t="s">
        <v>839</v>
      </c>
      <c r="Y730" s="78">
        <v>1</v>
      </c>
      <c r="Z730" s="78" t="s">
        <v>48</v>
      </c>
      <c r="AA730" s="78" t="s">
        <v>225</v>
      </c>
      <c r="AB730" s="78">
        <v>50</v>
      </c>
    </row>
    <row r="731" spans="1:28" x14ac:dyDescent="0.25">
      <c r="A731" t="str">
        <f>IF(EXACT('BOM A320 FFS'!B1003,obsoleta!D731),"OK","ERROR")</f>
        <v>ERROR</v>
      </c>
      <c r="C731" s="31" t="s">
        <v>314</v>
      </c>
      <c r="D731" s="71">
        <v>1220114253800</v>
      </c>
      <c r="E731" s="71"/>
      <c r="F731" s="32" t="s">
        <v>1551</v>
      </c>
      <c r="G731" s="32" t="s">
        <v>1552</v>
      </c>
      <c r="H731" s="32"/>
      <c r="I731" s="32"/>
      <c r="J731" s="33">
        <v>50</v>
      </c>
      <c r="K731" s="34">
        <v>3</v>
      </c>
      <c r="L731" s="35">
        <v>150</v>
      </c>
      <c r="M731" s="36" t="s">
        <v>32</v>
      </c>
      <c r="N731" s="37">
        <v>1</v>
      </c>
      <c r="O731" s="35">
        <v>150</v>
      </c>
      <c r="P731" s="35" t="s">
        <v>33</v>
      </c>
      <c r="Q731" s="97">
        <v>45453</v>
      </c>
      <c r="R731" s="35" t="s">
        <v>62</v>
      </c>
      <c r="S731" s="38" t="s">
        <v>1246</v>
      </c>
      <c r="T731" s="78">
        <v>2</v>
      </c>
      <c r="U731" s="78"/>
      <c r="V731" s="78"/>
      <c r="W731" s="78" t="s">
        <v>303</v>
      </c>
      <c r="X731" s="78" t="s">
        <v>839</v>
      </c>
      <c r="Y731" s="78">
        <v>1</v>
      </c>
      <c r="Z731" s="78" t="s">
        <v>48</v>
      </c>
      <c r="AA731" s="78" t="s">
        <v>225</v>
      </c>
      <c r="AB731" s="78">
        <v>50</v>
      </c>
    </row>
    <row r="732" spans="1:28" ht="15" customHeight="1" x14ac:dyDescent="0.25">
      <c r="A732" t="str">
        <f>IF(EXACT('BOM A320 FFS'!B1004,obsoleta!D732),"OK","ERROR")</f>
        <v>ERROR</v>
      </c>
      <c r="C732" s="31" t="s">
        <v>314</v>
      </c>
      <c r="D732" s="71">
        <v>1220114253100</v>
      </c>
      <c r="E732" s="71"/>
      <c r="F732" s="32" t="s">
        <v>1638</v>
      </c>
      <c r="G732" s="32" t="s">
        <v>1639</v>
      </c>
      <c r="H732" s="32"/>
      <c r="I732" s="32"/>
      <c r="J732" s="33">
        <v>50</v>
      </c>
      <c r="K732" s="34">
        <v>2</v>
      </c>
      <c r="L732" s="35">
        <v>100</v>
      </c>
      <c r="M732" s="36" t="s">
        <v>32</v>
      </c>
      <c r="N732" s="37">
        <v>1</v>
      </c>
      <c r="O732" s="35">
        <v>100</v>
      </c>
      <c r="P732" s="35" t="s">
        <v>33</v>
      </c>
      <c r="Q732" s="97">
        <v>45453</v>
      </c>
      <c r="R732" s="35" t="s">
        <v>62</v>
      </c>
      <c r="S732" s="38" t="s">
        <v>1246</v>
      </c>
      <c r="T732" s="78">
        <v>2</v>
      </c>
      <c r="U732" s="78"/>
      <c r="V732" s="78"/>
      <c r="W732" s="78" t="s">
        <v>303</v>
      </c>
      <c r="X732" s="78" t="s">
        <v>839</v>
      </c>
      <c r="Y732" s="78">
        <v>1</v>
      </c>
      <c r="Z732" s="78" t="s">
        <v>48</v>
      </c>
      <c r="AA732" s="78" t="s">
        <v>225</v>
      </c>
      <c r="AB732" s="78">
        <v>50</v>
      </c>
    </row>
    <row r="733" spans="1:28" x14ac:dyDescent="0.25">
      <c r="A733" t="str">
        <f>IF(EXACT('BOM A320 FFS'!B1005,obsoleta!D733),"OK","ERROR")</f>
        <v>ERROR</v>
      </c>
      <c r="C733" s="31" t="s">
        <v>314</v>
      </c>
      <c r="D733" s="71">
        <v>1220114253600</v>
      </c>
      <c r="E733" s="71"/>
      <c r="F733" s="32" t="s">
        <v>1635</v>
      </c>
      <c r="G733" s="32" t="s">
        <v>1636</v>
      </c>
      <c r="H733" s="32"/>
      <c r="I733" s="32"/>
      <c r="J733" s="142">
        <v>50</v>
      </c>
      <c r="K733" s="143">
        <v>2</v>
      </c>
      <c r="L733" s="144">
        <v>100</v>
      </c>
      <c r="M733" s="145" t="s">
        <v>32</v>
      </c>
      <c r="N733" s="146">
        <v>1</v>
      </c>
      <c r="O733" s="144">
        <v>100</v>
      </c>
      <c r="P733" s="144" t="s">
        <v>33</v>
      </c>
      <c r="Q733" s="147">
        <v>45453</v>
      </c>
      <c r="R733" s="144" t="s">
        <v>62</v>
      </c>
      <c r="S733" s="148" t="s">
        <v>1246</v>
      </c>
      <c r="T733" s="149">
        <v>2</v>
      </c>
      <c r="U733" s="149"/>
      <c r="V733" s="149"/>
      <c r="W733" s="149" t="s">
        <v>303</v>
      </c>
      <c r="X733" s="149" t="s">
        <v>839</v>
      </c>
      <c r="Y733" s="149">
        <v>1</v>
      </c>
      <c r="Z733" s="149" t="s">
        <v>48</v>
      </c>
      <c r="AA733" s="149" t="s">
        <v>225</v>
      </c>
      <c r="AB733" s="149">
        <v>50</v>
      </c>
    </row>
    <row r="734" spans="1:28" x14ac:dyDescent="0.25">
      <c r="A734" t="str">
        <f>IF(EXACT('BOM A320 FFS'!B1006,obsoleta!D734),"OK","ERROR")</f>
        <v>ERROR</v>
      </c>
      <c r="C734" s="31" t="s">
        <v>314</v>
      </c>
      <c r="D734" s="140">
        <v>1207091170000</v>
      </c>
      <c r="E734" s="140"/>
      <c r="F734" s="141" t="s">
        <v>2120</v>
      </c>
      <c r="G734" s="141" t="s">
        <v>2121</v>
      </c>
      <c r="H734" s="32" t="s">
        <v>2122</v>
      </c>
      <c r="I734" s="32" t="s">
        <v>2123</v>
      </c>
      <c r="J734" s="33">
        <v>100</v>
      </c>
      <c r="K734" s="34">
        <v>0.19</v>
      </c>
      <c r="L734" s="35">
        <v>19</v>
      </c>
      <c r="M734" s="36" t="s">
        <v>32</v>
      </c>
      <c r="N734" s="37">
        <v>1</v>
      </c>
      <c r="O734" s="35">
        <v>19</v>
      </c>
      <c r="P734" s="35" t="s">
        <v>33</v>
      </c>
      <c r="Q734" s="97">
        <v>45453</v>
      </c>
      <c r="R734" s="35" t="s">
        <v>62</v>
      </c>
      <c r="S734" s="38"/>
      <c r="T734" s="78">
        <v>2</v>
      </c>
      <c r="U734" s="78"/>
      <c r="V734" s="78"/>
      <c r="W734" s="78" t="s">
        <v>303</v>
      </c>
      <c r="X734" s="78" t="s">
        <v>839</v>
      </c>
      <c r="Y734" s="78">
        <v>1</v>
      </c>
      <c r="Z734" s="78" t="s">
        <v>48</v>
      </c>
      <c r="AA734" s="78" t="s">
        <v>225</v>
      </c>
      <c r="AB734" s="78">
        <v>100</v>
      </c>
    </row>
    <row r="735" spans="1:28" x14ac:dyDescent="0.25">
      <c r="A735" t="str">
        <f>IF(EXACT('BOM A320 FFS'!B1007,obsoleta!D735),"OK","ERROR")</f>
        <v>ERROR</v>
      </c>
      <c r="C735" s="31" t="s">
        <v>314</v>
      </c>
      <c r="D735" s="71">
        <v>1208005030000</v>
      </c>
      <c r="E735" s="71"/>
      <c r="F735" s="32" t="s">
        <v>2021</v>
      </c>
      <c r="G735" s="32" t="s">
        <v>2022</v>
      </c>
      <c r="H735" s="32" t="s">
        <v>2023</v>
      </c>
      <c r="I735" s="32"/>
      <c r="J735" s="33">
        <v>100</v>
      </c>
      <c r="K735" s="34">
        <v>0.37</v>
      </c>
      <c r="L735" s="35">
        <v>37</v>
      </c>
      <c r="M735" s="36" t="s">
        <v>32</v>
      </c>
      <c r="N735" s="37">
        <v>1</v>
      </c>
      <c r="O735" s="35">
        <v>37</v>
      </c>
      <c r="P735" s="35" t="s">
        <v>33</v>
      </c>
      <c r="Q735" s="97">
        <v>45453</v>
      </c>
      <c r="R735" s="35" t="s">
        <v>62</v>
      </c>
      <c r="S735" s="38"/>
      <c r="T735" s="78">
        <v>2</v>
      </c>
      <c r="U735" s="78"/>
      <c r="V735" s="78"/>
      <c r="W735" s="78" t="s">
        <v>303</v>
      </c>
      <c r="X735" s="78" t="s">
        <v>839</v>
      </c>
      <c r="Y735" s="78">
        <v>1</v>
      </c>
      <c r="Z735" s="78" t="s">
        <v>48</v>
      </c>
      <c r="AA735" s="78" t="s">
        <v>225</v>
      </c>
      <c r="AB735" s="78">
        <v>100</v>
      </c>
    </row>
    <row r="736" spans="1:28" x14ac:dyDescent="0.25">
      <c r="A736" t="str">
        <f>IF(EXACT('BOM A320 FFS'!B1008,obsoleta!D736),"OK","ERROR")</f>
        <v>ERROR</v>
      </c>
      <c r="C736" s="31" t="s">
        <v>314</v>
      </c>
      <c r="D736" s="31" t="s">
        <v>1737</v>
      </c>
      <c r="E736" s="31"/>
      <c r="F736" s="32" t="s">
        <v>1739</v>
      </c>
      <c r="G736" s="32" t="s">
        <v>1740</v>
      </c>
      <c r="H736" s="32" t="s">
        <v>1741</v>
      </c>
      <c r="I736" s="32"/>
      <c r="J736" s="33">
        <v>500</v>
      </c>
      <c r="K736" s="34">
        <v>1.17</v>
      </c>
      <c r="L736" s="35">
        <v>585</v>
      </c>
      <c r="M736" s="36" t="s">
        <v>32</v>
      </c>
      <c r="N736" s="37">
        <v>1</v>
      </c>
      <c r="O736" s="35">
        <v>585</v>
      </c>
      <c r="P736" s="35" t="s">
        <v>33</v>
      </c>
      <c r="Q736" s="97">
        <v>45453</v>
      </c>
      <c r="R736" s="35" t="s">
        <v>62</v>
      </c>
      <c r="S736" s="38"/>
      <c r="T736" s="78">
        <v>2</v>
      </c>
      <c r="U736" s="78"/>
      <c r="V736" s="78"/>
      <c r="W736" s="78" t="s">
        <v>303</v>
      </c>
      <c r="X736" s="78" t="s">
        <v>839</v>
      </c>
      <c r="Y736" s="78">
        <v>1</v>
      </c>
      <c r="Z736" s="78" t="s">
        <v>48</v>
      </c>
      <c r="AA736" s="78" t="s">
        <v>225</v>
      </c>
      <c r="AB736" s="78">
        <v>1000</v>
      </c>
    </row>
    <row r="737" spans="1:28" x14ac:dyDescent="0.25">
      <c r="A737" t="str">
        <f>IF(EXACT('BOM A320 FFS'!B1009,obsoleta!D737),"OK","ERROR")</f>
        <v>ERROR</v>
      </c>
      <c r="C737" s="31" t="s">
        <v>314</v>
      </c>
      <c r="D737" s="71">
        <v>1230524620000</v>
      </c>
      <c r="E737" s="71"/>
      <c r="F737" s="32" t="s">
        <v>1743</v>
      </c>
      <c r="G737" s="32" t="s">
        <v>1744</v>
      </c>
      <c r="H737" s="32" t="s">
        <v>1741</v>
      </c>
      <c r="I737" s="32"/>
      <c r="J737" s="33">
        <v>500</v>
      </c>
      <c r="K737" s="34">
        <v>1.17</v>
      </c>
      <c r="L737" s="35">
        <v>585</v>
      </c>
      <c r="M737" s="36" t="s">
        <v>32</v>
      </c>
      <c r="N737" s="37">
        <v>1</v>
      </c>
      <c r="O737" s="35">
        <v>585</v>
      </c>
      <c r="P737" s="35" t="s">
        <v>33</v>
      </c>
      <c r="Q737" s="97">
        <v>45453</v>
      </c>
      <c r="R737" s="35" t="s">
        <v>62</v>
      </c>
      <c r="S737" s="38"/>
      <c r="T737" s="78">
        <v>2</v>
      </c>
      <c r="U737" s="78"/>
      <c r="V737" s="78"/>
      <c r="W737" s="78" t="s">
        <v>303</v>
      </c>
      <c r="X737" s="78" t="s">
        <v>839</v>
      </c>
      <c r="Y737" s="78">
        <v>1</v>
      </c>
      <c r="Z737" s="78" t="s">
        <v>48</v>
      </c>
      <c r="AA737" s="78" t="s">
        <v>225</v>
      </c>
      <c r="AB737" s="78">
        <v>1000</v>
      </c>
    </row>
    <row r="738" spans="1:28" x14ac:dyDescent="0.25">
      <c r="A738" t="str">
        <f>IF(EXACT('BOM A320 FFS'!B1010,obsoleta!D738),"OK","ERROR")</f>
        <v>ERROR</v>
      </c>
      <c r="C738" s="31" t="s">
        <v>314</v>
      </c>
      <c r="D738" s="71">
        <v>1214090011040</v>
      </c>
      <c r="E738" s="71"/>
      <c r="F738" s="32" t="s">
        <v>2141</v>
      </c>
      <c r="G738" s="32" t="s">
        <v>2142</v>
      </c>
      <c r="H738" s="32"/>
      <c r="I738" s="32"/>
      <c r="J738" s="33">
        <v>1170</v>
      </c>
      <c r="K738" s="34">
        <v>0.15</v>
      </c>
      <c r="L738" s="35">
        <v>175.5</v>
      </c>
      <c r="M738" s="36" t="s">
        <v>32</v>
      </c>
      <c r="N738" s="37">
        <v>1</v>
      </c>
      <c r="O738" s="35">
        <v>175.5</v>
      </c>
      <c r="P738" s="35" t="s">
        <v>33</v>
      </c>
      <c r="Q738" s="97">
        <v>45453</v>
      </c>
      <c r="R738" s="35" t="s">
        <v>62</v>
      </c>
      <c r="S738" s="38"/>
      <c r="T738" s="78">
        <v>2</v>
      </c>
      <c r="U738" s="78"/>
      <c r="V738" s="78"/>
      <c r="W738" s="78" t="s">
        <v>303</v>
      </c>
      <c r="X738" s="78" t="s">
        <v>839</v>
      </c>
      <c r="Y738" s="78">
        <v>1</v>
      </c>
      <c r="Z738" s="78" t="s">
        <v>48</v>
      </c>
      <c r="AA738" s="78" t="s">
        <v>225</v>
      </c>
      <c r="AB738" s="78">
        <v>1200</v>
      </c>
    </row>
    <row r="739" spans="1:28" x14ac:dyDescent="0.25">
      <c r="A739" t="str">
        <f>IF(EXACT('BOM A320 FFS'!B1011,obsoleta!D739),"OK","ERROR")</f>
        <v>ERROR</v>
      </c>
      <c r="C739" s="31" t="s">
        <v>314</v>
      </c>
      <c r="D739" s="71">
        <v>1136090066200</v>
      </c>
      <c r="E739" s="71"/>
      <c r="F739" s="32" t="s">
        <v>1025</v>
      </c>
      <c r="G739" s="32" t="s">
        <v>1026</v>
      </c>
      <c r="H739" s="32" t="s">
        <v>770</v>
      </c>
      <c r="I739" s="32"/>
      <c r="J739" s="33">
        <v>6</v>
      </c>
      <c r="K739" s="34">
        <v>40</v>
      </c>
      <c r="L739" s="35">
        <v>240</v>
      </c>
      <c r="M739" s="36" t="s">
        <v>32</v>
      </c>
      <c r="N739" s="37">
        <v>1</v>
      </c>
      <c r="O739" s="35">
        <v>240</v>
      </c>
      <c r="P739" s="35" t="s">
        <v>33</v>
      </c>
      <c r="Q739" s="97">
        <v>45453</v>
      </c>
      <c r="R739" s="35" t="s">
        <v>62</v>
      </c>
      <c r="S739" s="38"/>
      <c r="T739" s="80">
        <v>2</v>
      </c>
      <c r="U739" s="80"/>
      <c r="V739" s="80"/>
      <c r="W739" s="78" t="s">
        <v>303</v>
      </c>
      <c r="X739" s="78" t="s">
        <v>839</v>
      </c>
      <c r="Y739" s="80">
        <v>1</v>
      </c>
      <c r="Z739" s="78" t="s">
        <v>48</v>
      </c>
      <c r="AA739" s="80" t="s">
        <v>1670</v>
      </c>
      <c r="AB739" s="80">
        <v>6</v>
      </c>
    </row>
    <row r="740" spans="1:28" x14ac:dyDescent="0.25">
      <c r="A740" t="str">
        <f>IF(EXACT('BOM A320 FFS'!B1012,obsoleta!D740),"OK","ERROR")</f>
        <v>ERROR</v>
      </c>
      <c r="C740" s="31" t="s">
        <v>314</v>
      </c>
      <c r="D740" s="71">
        <v>1136090066400</v>
      </c>
      <c r="E740" s="71"/>
      <c r="F740" s="32" t="s">
        <v>768</v>
      </c>
      <c r="G740" s="32" t="s">
        <v>769</v>
      </c>
      <c r="H740" s="28" t="s">
        <v>770</v>
      </c>
      <c r="I740" s="28"/>
      <c r="J740" s="40">
        <v>1</v>
      </c>
      <c r="K740" s="30">
        <v>50</v>
      </c>
      <c r="L740" s="30">
        <v>50</v>
      </c>
      <c r="M740" s="26" t="s">
        <v>32</v>
      </c>
      <c r="N740" s="26">
        <v>1</v>
      </c>
      <c r="O740" s="41">
        <v>50</v>
      </c>
      <c r="P740" s="41" t="s">
        <v>33</v>
      </c>
      <c r="Q740" s="98">
        <v>45453</v>
      </c>
      <c r="R740" s="41" t="s">
        <v>62</v>
      </c>
      <c r="S740" s="30"/>
      <c r="T740" s="82">
        <v>2</v>
      </c>
      <c r="U740" s="82"/>
      <c r="V740" s="82"/>
      <c r="W740" s="82" t="s">
        <v>303</v>
      </c>
      <c r="X740" s="82" t="s">
        <v>839</v>
      </c>
      <c r="Y740" s="82">
        <v>1</v>
      </c>
      <c r="Z740" s="82" t="s">
        <v>48</v>
      </c>
      <c r="AA740" s="82" t="s">
        <v>1670</v>
      </c>
      <c r="AB740" s="82">
        <v>2</v>
      </c>
    </row>
    <row r="741" spans="1:28" x14ac:dyDescent="0.25">
      <c r="A741" t="str">
        <f>IF(EXACT('BOM A320 FFS'!B1013,obsoleta!D741),"OK","ERROR")</f>
        <v>ERROR</v>
      </c>
      <c r="C741" s="39"/>
      <c r="D741" s="39"/>
      <c r="E741" s="39"/>
      <c r="F741" s="28"/>
      <c r="G741" s="28"/>
      <c r="H741" s="28"/>
      <c r="I741" s="28"/>
      <c r="J741" s="40"/>
      <c r="K741" s="30"/>
      <c r="L741" s="26"/>
      <c r="M741" s="26"/>
      <c r="N741" s="26"/>
      <c r="O741" s="41"/>
      <c r="P741" s="41"/>
      <c r="Q741" s="98"/>
      <c r="R741" s="41"/>
      <c r="S741" s="30"/>
      <c r="T741" s="82"/>
      <c r="U741" s="82"/>
      <c r="V741" s="82"/>
      <c r="W741" s="82"/>
      <c r="X741" s="82"/>
      <c r="Y741" s="82"/>
      <c r="Z741" s="82"/>
      <c r="AA741" s="82" t="s">
        <v>225</v>
      </c>
      <c r="AB741" s="82"/>
    </row>
    <row r="742" spans="1:28" x14ac:dyDescent="0.25">
      <c r="A742" t="str">
        <f>IF(EXACT('BOM A320 FFS'!B1014,obsoleta!D742),"OK","ERROR")</f>
        <v>ERROR</v>
      </c>
      <c r="C742" s="48"/>
      <c r="D742" s="48" t="s">
        <v>3670</v>
      </c>
      <c r="E742" s="48"/>
      <c r="F742" s="28"/>
      <c r="G742" s="28"/>
      <c r="H742" s="32"/>
      <c r="I742" s="32"/>
      <c r="J742" s="33"/>
      <c r="K742" s="34"/>
      <c r="L742" s="35"/>
      <c r="M742" s="36"/>
      <c r="N742" s="37"/>
      <c r="O742" s="35"/>
      <c r="P742" s="35"/>
      <c r="Q742" s="97"/>
      <c r="R742" s="35"/>
      <c r="S742" s="38"/>
      <c r="T742" s="78"/>
      <c r="U742" s="78"/>
      <c r="V742" s="78"/>
      <c r="W742" s="78"/>
      <c r="X742" s="78"/>
      <c r="Y742" s="80"/>
      <c r="Z742" s="78"/>
      <c r="AA742" s="78" t="s">
        <v>225</v>
      </c>
      <c r="AB742" s="78"/>
    </row>
    <row r="743" spans="1:28" x14ac:dyDescent="0.25">
      <c r="A743" t="str">
        <f>IF(EXACT('BOM A320 FFS'!B1015,obsoleta!D743),"OK","ERROR")</f>
        <v>ERROR</v>
      </c>
      <c r="C743" s="32" t="s">
        <v>314</v>
      </c>
      <c r="D743" s="70">
        <v>1229590910009</v>
      </c>
      <c r="E743" s="70"/>
      <c r="F743" s="31" t="s">
        <v>331</v>
      </c>
      <c r="G743" s="32" t="s">
        <v>332</v>
      </c>
      <c r="H743" s="32" t="s">
        <v>318</v>
      </c>
      <c r="I743" s="32"/>
      <c r="J743" s="33">
        <v>6</v>
      </c>
      <c r="K743" s="34">
        <v>1200</v>
      </c>
      <c r="L743" s="35">
        <v>7200</v>
      </c>
      <c r="M743" s="36" t="s">
        <v>32</v>
      </c>
      <c r="N743" s="37">
        <v>1</v>
      </c>
      <c r="O743" s="35">
        <v>7200</v>
      </c>
      <c r="P743" s="35" t="s">
        <v>33</v>
      </c>
      <c r="Q743" s="97">
        <v>45453</v>
      </c>
      <c r="R743" s="35" t="s">
        <v>62</v>
      </c>
      <c r="S743" s="38"/>
      <c r="T743" s="78">
        <v>2</v>
      </c>
      <c r="U743" s="78"/>
      <c r="V743" s="78"/>
      <c r="W743" s="78" t="s">
        <v>303</v>
      </c>
      <c r="X743" s="78" t="s">
        <v>839</v>
      </c>
      <c r="Y743" s="80">
        <v>1</v>
      </c>
      <c r="Z743" s="78" t="s">
        <v>48</v>
      </c>
      <c r="AA743" s="78" t="s">
        <v>225</v>
      </c>
      <c r="AB743" s="78">
        <v>6</v>
      </c>
    </row>
    <row r="744" spans="1:28" x14ac:dyDescent="0.25">
      <c r="A744" t="str">
        <f>IF(EXACT('BOM A320 FFS'!B1016,obsoleta!D744),"OK","ERROR")</f>
        <v>ERROR</v>
      </c>
      <c r="C744" s="32" t="s">
        <v>314</v>
      </c>
      <c r="D744" s="70">
        <v>1229598230401</v>
      </c>
      <c r="E744" s="70"/>
      <c r="F744" s="31" t="s">
        <v>316</v>
      </c>
      <c r="G744" s="32" t="s">
        <v>317</v>
      </c>
      <c r="H744" s="28" t="s">
        <v>318</v>
      </c>
      <c r="I744" s="28"/>
      <c r="J744" s="40">
        <v>8</v>
      </c>
      <c r="K744" s="30">
        <v>1500</v>
      </c>
      <c r="L744" s="89">
        <v>12000</v>
      </c>
      <c r="M744" s="26" t="s">
        <v>32</v>
      </c>
      <c r="N744" s="90">
        <v>1</v>
      </c>
      <c r="O744" s="89">
        <v>12000</v>
      </c>
      <c r="P744" s="89" t="s">
        <v>33</v>
      </c>
      <c r="Q744" s="101">
        <v>45453</v>
      </c>
      <c r="R744" s="89" t="s">
        <v>62</v>
      </c>
      <c r="S744" s="47"/>
      <c r="T744" s="82">
        <v>2</v>
      </c>
      <c r="U744" s="82"/>
      <c r="V744" s="82"/>
      <c r="W744" s="82" t="s">
        <v>303</v>
      </c>
      <c r="X744" s="82" t="s">
        <v>839</v>
      </c>
      <c r="Y744" s="82">
        <v>1</v>
      </c>
      <c r="Z744" s="82" t="s">
        <v>48</v>
      </c>
      <c r="AA744" s="82" t="s">
        <v>225</v>
      </c>
      <c r="AB744" s="82">
        <v>8</v>
      </c>
    </row>
    <row r="745" spans="1:28" x14ac:dyDescent="0.25">
      <c r="A745" t="str">
        <f>IF(EXACT('BOM A320 FFS'!B1018,obsoleta!D745),"OK","ERROR")</f>
        <v>ERROR</v>
      </c>
      <c r="C745" s="28"/>
      <c r="D745" s="127"/>
      <c r="E745" s="127"/>
      <c r="F745" s="39"/>
      <c r="G745" s="28"/>
      <c r="H745" s="28"/>
      <c r="I745" s="28"/>
      <c r="J745" s="40"/>
      <c r="K745" s="30"/>
      <c r="L745" s="89"/>
      <c r="M745" s="26"/>
      <c r="N745" s="90"/>
      <c r="O745" s="89"/>
      <c r="P745" s="89"/>
      <c r="Q745" s="101"/>
      <c r="R745" s="89"/>
      <c r="S745" s="47"/>
      <c r="T745" s="82"/>
      <c r="U745" s="82"/>
      <c r="V745" s="82"/>
      <c r="W745" s="82"/>
      <c r="X745" s="82"/>
      <c r="Y745" s="82"/>
      <c r="Z745" s="82"/>
      <c r="AA745" s="82"/>
      <c r="AB745" s="82"/>
    </row>
    <row r="746" spans="1:28" x14ac:dyDescent="0.25">
      <c r="A746" t="str">
        <f>IF(EXACT('BOM A320 FFS'!B1024,obsoleta!D746),"OK","ERROR")</f>
        <v>ERROR</v>
      </c>
      <c r="C746" s="28"/>
      <c r="D746" s="48" t="s">
        <v>3672</v>
      </c>
      <c r="E746" s="48"/>
      <c r="F746" s="39"/>
      <c r="G746" s="28"/>
      <c r="H746" s="115"/>
      <c r="I746" s="125"/>
      <c r="J746" s="40"/>
      <c r="K746" s="30"/>
      <c r="L746" s="89"/>
      <c r="M746" s="26"/>
      <c r="N746" s="90"/>
      <c r="O746" s="89"/>
      <c r="P746" s="89"/>
      <c r="Q746" s="101"/>
      <c r="R746" s="89"/>
      <c r="S746" s="47"/>
      <c r="T746" s="82"/>
      <c r="U746" s="82"/>
      <c r="V746" s="82"/>
      <c r="W746" s="82"/>
      <c r="X746" s="82"/>
      <c r="Y746" s="82"/>
      <c r="Z746" s="82"/>
      <c r="AA746" s="82"/>
      <c r="AB746" s="82"/>
    </row>
    <row r="747" spans="1:28" x14ac:dyDescent="0.25">
      <c r="A747" t="str">
        <f>IF(EXACT('BOM A320 FFS'!B1025,obsoleta!D747),"OK","ERROR")</f>
        <v>ERROR</v>
      </c>
      <c r="C747" s="122"/>
      <c r="D747" s="125">
        <v>1000245621010</v>
      </c>
      <c r="E747" s="125" t="s">
        <v>3758</v>
      </c>
      <c r="F747" s="125" t="s">
        <v>2580</v>
      </c>
      <c r="G747" s="125" t="s">
        <v>2581</v>
      </c>
      <c r="H747" s="115" t="s">
        <v>1345</v>
      </c>
      <c r="I747" s="125" t="s">
        <v>3758</v>
      </c>
      <c r="J747" s="40" t="s">
        <v>3758</v>
      </c>
      <c r="K747" s="30"/>
      <c r="L747" s="89"/>
      <c r="M747" s="26"/>
      <c r="N747" s="90"/>
      <c r="O747" s="89"/>
      <c r="P747" s="89"/>
      <c r="Q747" s="101"/>
      <c r="R747" s="89"/>
      <c r="S747" s="47"/>
      <c r="T747" s="82"/>
      <c r="U747" s="82"/>
      <c r="V747" s="82"/>
      <c r="W747" s="82"/>
      <c r="X747" s="82"/>
      <c r="Y747" s="82"/>
      <c r="Z747" s="82"/>
      <c r="AA747" s="82"/>
      <c r="AB747" s="82"/>
    </row>
    <row r="748" spans="1:28" x14ac:dyDescent="0.25">
      <c r="A748" t="str">
        <f>IF(EXACT('BOM A320 FFS'!B1026,obsoleta!D748),"OK","ERROR")</f>
        <v>ERROR</v>
      </c>
      <c r="C748" s="122"/>
      <c r="D748" s="125">
        <v>1130115020300</v>
      </c>
      <c r="E748" s="125" t="s">
        <v>3758</v>
      </c>
      <c r="F748" s="125" t="s">
        <v>2591</v>
      </c>
      <c r="G748" s="125" t="s">
        <v>2592</v>
      </c>
      <c r="H748" s="115" t="s">
        <v>2593</v>
      </c>
      <c r="I748" s="125" t="s">
        <v>3758</v>
      </c>
      <c r="J748" s="40" t="s">
        <v>3758</v>
      </c>
      <c r="K748" s="30"/>
      <c r="L748" s="89"/>
      <c r="M748" s="26"/>
      <c r="N748" s="90"/>
      <c r="O748" s="89"/>
      <c r="P748" s="89"/>
      <c r="Q748" s="101"/>
      <c r="R748" s="89"/>
      <c r="S748" s="47"/>
      <c r="T748" s="82"/>
      <c r="U748" s="82"/>
      <c r="V748" s="82"/>
      <c r="W748" s="82"/>
      <c r="X748" s="82"/>
      <c r="Y748" s="82"/>
      <c r="Z748" s="82"/>
      <c r="AA748" s="82"/>
      <c r="AB748" s="82"/>
    </row>
    <row r="749" spans="1:28" x14ac:dyDescent="0.25">
      <c r="A749" t="str">
        <f>IF(EXACT('BOM A320 FFS'!B1027,obsoleta!D749),"OK","ERROR")</f>
        <v>ERROR</v>
      </c>
      <c r="C749" s="122"/>
      <c r="D749" s="125">
        <v>1130115010701</v>
      </c>
      <c r="E749" s="125" t="s">
        <v>3758</v>
      </c>
      <c r="F749" s="125" t="s">
        <v>2595</v>
      </c>
      <c r="G749" s="125" t="s">
        <v>2596</v>
      </c>
      <c r="H749" s="115" t="s">
        <v>2597</v>
      </c>
      <c r="I749" s="125" t="s">
        <v>3758</v>
      </c>
      <c r="J749" s="40" t="s">
        <v>3758</v>
      </c>
      <c r="K749" s="30"/>
      <c r="L749" s="89"/>
      <c r="M749" s="26"/>
      <c r="N749" s="90"/>
      <c r="O749" s="89"/>
      <c r="P749" s="89"/>
      <c r="Q749" s="101"/>
      <c r="R749" s="89"/>
      <c r="S749" s="47"/>
      <c r="T749" s="82"/>
      <c r="U749" s="82"/>
      <c r="V749" s="82"/>
      <c r="W749" s="82"/>
      <c r="X749" s="82"/>
      <c r="Y749" s="82"/>
      <c r="Z749" s="82"/>
      <c r="AA749" s="82"/>
      <c r="AB749" s="82"/>
    </row>
    <row r="750" spans="1:28" x14ac:dyDescent="0.25">
      <c r="A750" t="str">
        <f>IF(EXACT('BOM A320 FFS'!B1028,obsoleta!D750),"OK","ERROR")</f>
        <v>ERROR</v>
      </c>
      <c r="C750" s="122"/>
      <c r="D750" s="125">
        <v>1000234703030</v>
      </c>
      <c r="E750" s="125" t="s">
        <v>3758</v>
      </c>
      <c r="F750" s="125" t="s">
        <v>3777</v>
      </c>
      <c r="G750" s="125" t="s">
        <v>2586</v>
      </c>
      <c r="H750" s="122" t="s">
        <v>785</v>
      </c>
      <c r="I750" s="122" t="s">
        <v>3758</v>
      </c>
      <c r="J750" s="40" t="s">
        <v>3758</v>
      </c>
      <c r="K750" s="30"/>
      <c r="L750" s="89"/>
      <c r="M750" s="26"/>
      <c r="N750" s="90"/>
      <c r="O750" s="89"/>
      <c r="P750" s="89"/>
      <c r="Q750" s="101"/>
      <c r="R750" s="89"/>
      <c r="S750" s="47"/>
      <c r="T750" s="82"/>
      <c r="U750" s="82"/>
      <c r="V750" s="82"/>
      <c r="W750" s="82"/>
      <c r="X750" s="82"/>
      <c r="Y750" s="82"/>
      <c r="Z750" s="82"/>
      <c r="AA750" s="82"/>
      <c r="AB750" s="82"/>
    </row>
    <row r="751" spans="1:28" x14ac:dyDescent="0.25">
      <c r="A751" t="str">
        <f>IF(EXACT('BOM A320 FFS'!B1029,obsoleta!D751),"OK","ERROR")</f>
        <v>ERROR</v>
      </c>
      <c r="C751" s="122"/>
      <c r="D751" s="122">
        <v>1060232041000</v>
      </c>
      <c r="E751" s="122" t="s">
        <v>3758</v>
      </c>
      <c r="F751" s="122" t="s">
        <v>2703</v>
      </c>
      <c r="G751" s="122" t="s">
        <v>2704</v>
      </c>
      <c r="H751" s="122" t="s">
        <v>461</v>
      </c>
      <c r="I751" s="122" t="s">
        <v>3758</v>
      </c>
      <c r="J751" s="40" t="s">
        <v>3758</v>
      </c>
      <c r="K751" s="30"/>
      <c r="L751" s="89"/>
      <c r="M751" s="26"/>
      <c r="N751" s="90"/>
      <c r="O751" s="89"/>
      <c r="P751" s="89"/>
      <c r="Q751" s="101"/>
      <c r="R751" s="89"/>
      <c r="S751" s="47"/>
      <c r="T751" s="82"/>
      <c r="U751" s="82"/>
      <c r="V751" s="82"/>
      <c r="W751" s="82"/>
      <c r="X751" s="82"/>
      <c r="Y751" s="82"/>
      <c r="Z751" s="82"/>
      <c r="AA751" s="82"/>
      <c r="AB751" s="82"/>
    </row>
    <row r="752" spans="1:28" x14ac:dyDescent="0.25">
      <c r="A752" t="str">
        <f>IF(EXACT('BOM A320 FFS'!B1032,obsoleta!D752),"OK","ERROR")</f>
        <v>ERROR</v>
      </c>
      <c r="C752" s="122"/>
      <c r="D752" s="122">
        <v>1060900210000</v>
      </c>
      <c r="E752" s="122" t="s">
        <v>3758</v>
      </c>
      <c r="F752" s="122" t="s">
        <v>2652</v>
      </c>
      <c r="G752" s="122" t="s">
        <v>2653</v>
      </c>
      <c r="H752" s="122" t="s">
        <v>1345</v>
      </c>
      <c r="I752" s="122" t="s">
        <v>3758</v>
      </c>
      <c r="J752" s="40" t="s">
        <v>3758</v>
      </c>
      <c r="K752" s="30"/>
      <c r="L752" s="89"/>
      <c r="M752" s="26"/>
      <c r="N752" s="90"/>
      <c r="O752" s="89"/>
      <c r="P752" s="89"/>
      <c r="Q752" s="101"/>
      <c r="R752" s="89"/>
      <c r="S752" s="47"/>
      <c r="T752" s="82"/>
      <c r="U752" s="82"/>
      <c r="V752" s="82"/>
      <c r="W752" s="82"/>
      <c r="X752" s="82"/>
      <c r="Y752" s="82"/>
      <c r="Z752" s="82"/>
      <c r="AA752" s="82"/>
      <c r="AB752" s="82"/>
    </row>
    <row r="753" spans="1:28" x14ac:dyDescent="0.25">
      <c r="A753" t="str">
        <f>IF(EXACT('BOM A320 FFS'!B1033,obsoleta!D753),"OK","ERROR")</f>
        <v>ERROR</v>
      </c>
      <c r="C753" s="122"/>
      <c r="D753" s="125">
        <v>1060273000000</v>
      </c>
      <c r="E753" s="125" t="s">
        <v>3758</v>
      </c>
      <c r="F753" s="122" t="s">
        <v>2711</v>
      </c>
      <c r="G753" s="122" t="s">
        <v>2712</v>
      </c>
      <c r="H753" s="122" t="s">
        <v>2713</v>
      </c>
      <c r="I753" s="122" t="s">
        <v>3758</v>
      </c>
      <c r="J753" s="40" t="s">
        <v>3758</v>
      </c>
      <c r="K753" s="30"/>
      <c r="L753" s="89"/>
      <c r="M753" s="26"/>
      <c r="N753" s="90"/>
      <c r="O753" s="89"/>
      <c r="P753" s="89"/>
      <c r="Q753" s="101"/>
      <c r="R753" s="89"/>
      <c r="S753" s="47"/>
      <c r="T753" s="82"/>
      <c r="U753" s="82"/>
      <c r="V753" s="82"/>
      <c r="W753" s="82"/>
      <c r="X753" s="82"/>
      <c r="Y753" s="82"/>
      <c r="Z753" s="82"/>
      <c r="AA753" s="82"/>
      <c r="AB753" s="82"/>
    </row>
    <row r="754" spans="1:28" x14ac:dyDescent="0.25">
      <c r="A754" t="str">
        <f>IF(EXACT('BOM A320 FFS'!B1034,obsoleta!D754),"OK","ERROR")</f>
        <v>ERROR</v>
      </c>
      <c r="C754" s="122"/>
      <c r="D754" s="125">
        <v>1060283000000</v>
      </c>
      <c r="E754" s="125" t="s">
        <v>3758</v>
      </c>
      <c r="F754" s="122" t="s">
        <v>2707</v>
      </c>
      <c r="G754" s="122" t="s">
        <v>3778</v>
      </c>
      <c r="H754" s="28" t="s">
        <v>2709</v>
      </c>
      <c r="I754" s="28" t="s">
        <v>3758</v>
      </c>
      <c r="J754" s="40" t="s">
        <v>3758</v>
      </c>
      <c r="K754" s="41"/>
      <c r="L754" s="41"/>
      <c r="M754" s="26"/>
      <c r="N754" s="26"/>
      <c r="O754" s="41"/>
      <c r="P754" s="41"/>
      <c r="Q754" s="98"/>
      <c r="R754" s="41"/>
      <c r="S754" s="30"/>
      <c r="T754" s="82"/>
      <c r="U754" s="82"/>
      <c r="V754" s="82"/>
      <c r="W754" s="82"/>
      <c r="X754" s="82"/>
      <c r="Y754" s="82"/>
      <c r="Z754" s="82"/>
      <c r="AA754" s="82"/>
      <c r="AB754" s="82"/>
    </row>
    <row r="755" spans="1:28" x14ac:dyDescent="0.25">
      <c r="A755" t="str">
        <f>IF(EXACT('BOM A320 FFS'!B1035,obsoleta!D755),"OK","ERROR")</f>
        <v>ERROR</v>
      </c>
      <c r="C755" s="39"/>
      <c r="D755" s="39"/>
      <c r="E755" s="39"/>
      <c r="F755" s="28"/>
      <c r="G755" s="28"/>
      <c r="H755" s="21"/>
      <c r="I755" s="21"/>
      <c r="J755" s="22"/>
      <c r="K755" s="25"/>
      <c r="L755" s="25"/>
      <c r="M755" s="24"/>
      <c r="N755" s="24"/>
      <c r="O755" s="49"/>
      <c r="P755" s="49"/>
      <c r="Q755" s="100"/>
      <c r="R755" s="49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spans="1:28" ht="18.75" x14ac:dyDescent="0.3">
      <c r="A756" t="str">
        <f>IF(EXACT('BOM A320 FFS'!B1036,obsoleta!D756),"OK","ERROR")</f>
        <v>ERROR</v>
      </c>
      <c r="C756" s="19"/>
      <c r="D756" s="19" t="s">
        <v>3673</v>
      </c>
      <c r="E756" s="19"/>
      <c r="F756" s="20"/>
      <c r="G756" s="21"/>
      <c r="H756" s="32"/>
      <c r="I756" s="32"/>
      <c r="J756" s="33"/>
      <c r="K756" s="34"/>
      <c r="L756" s="35"/>
      <c r="M756" s="36"/>
      <c r="N756" s="37"/>
      <c r="O756" s="35"/>
      <c r="P756" s="35"/>
      <c r="Q756" s="97"/>
      <c r="R756" s="35"/>
      <c r="S756" s="38"/>
      <c r="T756" s="78"/>
      <c r="U756" s="78"/>
      <c r="V756" s="78"/>
      <c r="W756" s="78"/>
      <c r="X756" s="78"/>
      <c r="Y756" s="78"/>
      <c r="Z756" s="78"/>
      <c r="AA756" s="78" t="s">
        <v>225</v>
      </c>
      <c r="AB756" s="78"/>
    </row>
    <row r="757" spans="1:28" x14ac:dyDescent="0.25">
      <c r="A757" t="str">
        <f>IF(EXACT('BOM A320 FFS'!B1037,obsoleta!D757),"OK","ERROR")</f>
        <v>ERROR</v>
      </c>
      <c r="C757" s="31" t="s">
        <v>156</v>
      </c>
      <c r="D757" s="71">
        <v>1390704692500</v>
      </c>
      <c r="E757" s="71"/>
      <c r="F757" s="32" t="s">
        <v>396</v>
      </c>
      <c r="G757" s="32" t="s">
        <v>397</v>
      </c>
      <c r="H757" s="32" t="s">
        <v>125</v>
      </c>
      <c r="I757" s="32" t="s">
        <v>125</v>
      </c>
      <c r="J757" s="33">
        <v>6</v>
      </c>
      <c r="K757" s="34">
        <v>600</v>
      </c>
      <c r="L757" s="35">
        <v>3600</v>
      </c>
      <c r="M757" s="36" t="s">
        <v>32</v>
      </c>
      <c r="N757" s="37">
        <v>1</v>
      </c>
      <c r="O757" s="35">
        <v>3600</v>
      </c>
      <c r="P757" s="35" t="s">
        <v>130</v>
      </c>
      <c r="Q757" s="97">
        <v>45442</v>
      </c>
      <c r="R757" s="35" t="s">
        <v>62</v>
      </c>
      <c r="S757" s="38" t="s">
        <v>160</v>
      </c>
      <c r="T757" s="78">
        <v>2</v>
      </c>
      <c r="U757" s="78" t="s">
        <v>34</v>
      </c>
      <c r="V757" s="78"/>
      <c r="W757" s="78" t="s">
        <v>161</v>
      </c>
      <c r="X757" s="78"/>
      <c r="Y757" s="78"/>
      <c r="Z757" s="78"/>
      <c r="AA757" s="78" t="s">
        <v>225</v>
      </c>
      <c r="AB757" s="78"/>
    </row>
    <row r="758" spans="1:28" x14ac:dyDescent="0.25">
      <c r="A758" t="str">
        <f>IF(EXACT('BOM A320 FFS'!B1038,obsoleta!D758),"OK","ERROR")</f>
        <v>ERROR</v>
      </c>
      <c r="C758" s="31" t="s">
        <v>156</v>
      </c>
      <c r="D758" s="31">
        <v>1390704692600</v>
      </c>
      <c r="E758" s="31"/>
      <c r="F758" s="32" t="s">
        <v>262</v>
      </c>
      <c r="G758" s="32" t="s">
        <v>263</v>
      </c>
      <c r="H758" s="32" t="s">
        <v>125</v>
      </c>
      <c r="I758" s="32" t="s">
        <v>125</v>
      </c>
      <c r="J758" s="33">
        <v>6</v>
      </c>
      <c r="K758" s="34">
        <v>2500</v>
      </c>
      <c r="L758" s="35">
        <v>15000</v>
      </c>
      <c r="M758" s="36" t="s">
        <v>32</v>
      </c>
      <c r="N758" s="37">
        <v>1</v>
      </c>
      <c r="O758" s="35">
        <v>15000</v>
      </c>
      <c r="P758" s="35" t="s">
        <v>130</v>
      </c>
      <c r="Q758" s="97">
        <v>45442</v>
      </c>
      <c r="R758" s="35" t="s">
        <v>62</v>
      </c>
      <c r="S758" s="38" t="s">
        <v>160</v>
      </c>
      <c r="T758" s="78">
        <v>2</v>
      </c>
      <c r="U758" s="78" t="s">
        <v>34</v>
      </c>
      <c r="V758" s="78"/>
      <c r="W758" s="78" t="s">
        <v>161</v>
      </c>
      <c r="X758" s="78"/>
      <c r="Y758" s="78"/>
      <c r="Z758" s="78"/>
      <c r="AA758" s="78" t="s">
        <v>225</v>
      </c>
      <c r="AB758" s="78"/>
    </row>
    <row r="759" spans="1:28" x14ac:dyDescent="0.25">
      <c r="A759" t="str">
        <f>IF(EXACT('BOM A320 FFS'!B1039,obsoleta!D759),"OK","ERROR")</f>
        <v>ERROR</v>
      </c>
      <c r="C759" s="31" t="s">
        <v>156</v>
      </c>
      <c r="D759" s="71">
        <v>1390704692700</v>
      </c>
      <c r="E759" s="71"/>
      <c r="F759" s="32" t="s">
        <v>337</v>
      </c>
      <c r="G759" s="32" t="s">
        <v>338</v>
      </c>
      <c r="H759" s="32" t="s">
        <v>125</v>
      </c>
      <c r="I759" s="32" t="s">
        <v>125</v>
      </c>
      <c r="J759" s="33">
        <v>2</v>
      </c>
      <c r="K759" s="34">
        <v>1000</v>
      </c>
      <c r="L759" s="35">
        <v>2000</v>
      </c>
      <c r="M759" s="36" t="s">
        <v>32</v>
      </c>
      <c r="N759" s="37">
        <v>1</v>
      </c>
      <c r="O759" s="35">
        <v>2000</v>
      </c>
      <c r="P759" s="35" t="s">
        <v>130</v>
      </c>
      <c r="Q759" s="97">
        <v>45442</v>
      </c>
      <c r="R759" s="35" t="s">
        <v>62</v>
      </c>
      <c r="S759" s="38" t="s">
        <v>160</v>
      </c>
      <c r="T759" s="78">
        <v>2</v>
      </c>
      <c r="U759" s="78" t="s">
        <v>34</v>
      </c>
      <c r="V759" s="78"/>
      <c r="W759" s="78" t="s">
        <v>161</v>
      </c>
      <c r="X759" s="78"/>
      <c r="Y759" s="78"/>
      <c r="Z759" s="78"/>
      <c r="AA759" s="78" t="s">
        <v>225</v>
      </c>
      <c r="AB759" s="78"/>
    </row>
    <row r="760" spans="1:28" x14ac:dyDescent="0.25">
      <c r="A760" t="str">
        <f>IF(EXACT('BOM A320 FFS'!B1040,obsoleta!D760),"OK","ERROR")</f>
        <v>ERROR</v>
      </c>
      <c r="C760" s="31" t="s">
        <v>156</v>
      </c>
      <c r="D760" s="71">
        <v>1390704692800</v>
      </c>
      <c r="E760" s="71"/>
      <c r="F760" s="32" t="s">
        <v>364</v>
      </c>
      <c r="G760" s="32" t="s">
        <v>365</v>
      </c>
      <c r="H760" s="32" t="s">
        <v>125</v>
      </c>
      <c r="I760" s="32" t="s">
        <v>125</v>
      </c>
      <c r="J760" s="33">
        <v>4</v>
      </c>
      <c r="K760" s="34">
        <v>800</v>
      </c>
      <c r="L760" s="35">
        <v>3200</v>
      </c>
      <c r="M760" s="36" t="s">
        <v>32</v>
      </c>
      <c r="N760" s="37">
        <v>1</v>
      </c>
      <c r="O760" s="35">
        <v>3200</v>
      </c>
      <c r="P760" s="35" t="s">
        <v>130</v>
      </c>
      <c r="Q760" s="97">
        <v>45442</v>
      </c>
      <c r="R760" s="35" t="s">
        <v>62</v>
      </c>
      <c r="S760" s="38" t="s">
        <v>160</v>
      </c>
      <c r="T760" s="78">
        <v>2</v>
      </c>
      <c r="U760" s="78" t="s">
        <v>34</v>
      </c>
      <c r="V760" s="78"/>
      <c r="W760" s="78" t="s">
        <v>161</v>
      </c>
      <c r="X760" s="78"/>
      <c r="Y760" s="78"/>
      <c r="Z760" s="78"/>
      <c r="AA760" s="78" t="s">
        <v>225</v>
      </c>
      <c r="AB760" s="78"/>
    </row>
    <row r="761" spans="1:28" x14ac:dyDescent="0.25">
      <c r="A761" t="str">
        <f>IF(EXACT('BOM A320 FFS'!B1044,obsoleta!D761),"OK","ERROR")</f>
        <v>ERROR</v>
      </c>
      <c r="C761" s="31" t="s">
        <v>156</v>
      </c>
      <c r="D761" s="71">
        <v>1390704693000</v>
      </c>
      <c r="E761" s="71"/>
      <c r="F761" s="32" t="s">
        <v>405</v>
      </c>
      <c r="G761" s="32" t="s">
        <v>406</v>
      </c>
      <c r="H761" s="32" t="s">
        <v>125</v>
      </c>
      <c r="I761" s="32" t="s">
        <v>125</v>
      </c>
      <c r="J761" s="33">
        <v>1</v>
      </c>
      <c r="K761" s="34">
        <v>600</v>
      </c>
      <c r="L761" s="35">
        <v>600</v>
      </c>
      <c r="M761" s="36" t="s">
        <v>32</v>
      </c>
      <c r="N761" s="37">
        <v>1</v>
      </c>
      <c r="O761" s="35">
        <v>600</v>
      </c>
      <c r="P761" s="35" t="s">
        <v>130</v>
      </c>
      <c r="Q761" s="97">
        <v>45442</v>
      </c>
      <c r="R761" s="35" t="s">
        <v>62</v>
      </c>
      <c r="S761" s="38" t="s">
        <v>160</v>
      </c>
      <c r="T761" s="78">
        <v>2</v>
      </c>
      <c r="U761" s="78" t="s">
        <v>34</v>
      </c>
      <c r="V761" s="78"/>
      <c r="W761" s="78" t="s">
        <v>161</v>
      </c>
      <c r="X761" s="78"/>
      <c r="Y761" s="78"/>
      <c r="Z761" s="78"/>
      <c r="AA761" s="78" t="s">
        <v>225</v>
      </c>
      <c r="AB761" s="78"/>
    </row>
    <row r="762" spans="1:28" x14ac:dyDescent="0.25">
      <c r="A762" t="str">
        <f>IF(EXACT('BOM A320 FFS'!B1045,obsoleta!D762),"OK","ERROR")</f>
        <v>ERROR</v>
      </c>
      <c r="C762" s="31" t="s">
        <v>156</v>
      </c>
      <c r="D762" s="71">
        <v>1390704693100</v>
      </c>
      <c r="E762" s="71"/>
      <c r="F762" s="32" t="s">
        <v>629</v>
      </c>
      <c r="G762" s="32" t="s">
        <v>630</v>
      </c>
      <c r="H762" s="28" t="s">
        <v>125</v>
      </c>
      <c r="I762" s="28" t="s">
        <v>125</v>
      </c>
      <c r="J762" s="40">
        <v>2</v>
      </c>
      <c r="K762" s="30">
        <v>100</v>
      </c>
      <c r="L762" s="30">
        <v>200</v>
      </c>
      <c r="M762" s="26" t="s">
        <v>32</v>
      </c>
      <c r="N762" s="26">
        <v>1</v>
      </c>
      <c r="O762" s="41">
        <v>200</v>
      </c>
      <c r="P762" s="41" t="s">
        <v>130</v>
      </c>
      <c r="Q762" s="98">
        <v>45442</v>
      </c>
      <c r="R762" s="41" t="s">
        <v>62</v>
      </c>
      <c r="S762" s="30" t="s">
        <v>160</v>
      </c>
      <c r="T762" s="82">
        <v>2</v>
      </c>
      <c r="U762" s="82" t="s">
        <v>34</v>
      </c>
      <c r="V762" s="82"/>
      <c r="W762" s="82" t="s">
        <v>161</v>
      </c>
      <c r="X762" s="82"/>
      <c r="Y762" s="82"/>
      <c r="Z762" s="82"/>
      <c r="AA762" s="82" t="s">
        <v>225</v>
      </c>
      <c r="AB762" s="82"/>
    </row>
    <row r="763" spans="1:28" x14ac:dyDescent="0.25">
      <c r="A763" t="str">
        <f>IF(EXACT('BOM A320 FFS'!B1050,obsoleta!D763),"OK","ERROR")</f>
        <v>ERROR</v>
      </c>
      <c r="C763" s="39"/>
      <c r="D763" s="39"/>
      <c r="E763" s="39"/>
      <c r="F763" s="28"/>
      <c r="G763" s="28"/>
      <c r="H763" s="28"/>
      <c r="I763" s="28"/>
      <c r="J763" s="40"/>
      <c r="K763" s="30"/>
      <c r="L763" s="30"/>
      <c r="M763" s="26"/>
      <c r="N763" s="26"/>
      <c r="O763" s="41"/>
      <c r="P763" s="41"/>
      <c r="Q763" s="98"/>
      <c r="R763" s="41"/>
      <c r="S763" s="30"/>
      <c r="T763" s="82"/>
      <c r="U763" s="82"/>
      <c r="V763" s="82"/>
      <c r="W763" s="82"/>
      <c r="X763" s="82"/>
      <c r="Y763" s="82"/>
      <c r="Z763" s="82"/>
      <c r="AA763" s="82" t="s">
        <v>225</v>
      </c>
      <c r="AB763" s="82"/>
    </row>
    <row r="764" spans="1:28" x14ac:dyDescent="0.25">
      <c r="A764" t="str">
        <f>IF(EXACT('BOM A320 FFS'!B1051,obsoleta!D764),"OK","ERROR")</f>
        <v>ERROR</v>
      </c>
      <c r="C764" s="48"/>
      <c r="D764" s="48" t="s">
        <v>3674</v>
      </c>
      <c r="E764" s="48"/>
      <c r="F764" s="28"/>
      <c r="G764" s="28"/>
      <c r="H764" s="32"/>
      <c r="I764" s="32"/>
      <c r="J764" s="33"/>
      <c r="K764" s="34"/>
      <c r="L764" s="35"/>
      <c r="M764" s="36"/>
      <c r="N764" s="37"/>
      <c r="O764" s="35"/>
      <c r="P764" s="35"/>
      <c r="Q764" s="97"/>
      <c r="R764" s="35"/>
      <c r="S764" s="38"/>
      <c r="T764" s="78"/>
      <c r="U764" s="78"/>
      <c r="V764" s="78"/>
      <c r="W764" s="78"/>
      <c r="X764" s="80"/>
      <c r="Y764" s="80"/>
      <c r="Z764" s="78"/>
      <c r="AA764" s="78" t="s">
        <v>225</v>
      </c>
      <c r="AB764" s="78"/>
    </row>
    <row r="765" spans="1:28" x14ac:dyDescent="0.25">
      <c r="A765" t="str">
        <f>IF(EXACT('BOM A320 FFS'!B1052,obsoleta!D765),"OK","ERROR")</f>
        <v>ERROR</v>
      </c>
      <c r="C765" s="32" t="s">
        <v>462</v>
      </c>
      <c r="D765" s="70">
        <v>3190700971100</v>
      </c>
      <c r="E765" s="70"/>
      <c r="F765" s="31" t="s">
        <v>464</v>
      </c>
      <c r="G765" s="32" t="s">
        <v>465</v>
      </c>
      <c r="H765" s="28" t="s">
        <v>173</v>
      </c>
      <c r="I765" s="28"/>
      <c r="J765" s="40">
        <v>3</v>
      </c>
      <c r="K765" s="30">
        <v>350</v>
      </c>
      <c r="L765" s="30">
        <v>1050</v>
      </c>
      <c r="M765" s="26" t="s">
        <v>32</v>
      </c>
      <c r="N765" s="26">
        <v>1</v>
      </c>
      <c r="O765" s="41">
        <v>1050</v>
      </c>
      <c r="P765" s="41" t="s">
        <v>33</v>
      </c>
      <c r="Q765" s="98">
        <v>45453</v>
      </c>
      <c r="R765" s="41" t="s">
        <v>62</v>
      </c>
      <c r="S765" s="30"/>
      <c r="T765" s="82">
        <v>2</v>
      </c>
      <c r="U765" s="82"/>
      <c r="V765" s="82"/>
      <c r="W765" s="82" t="s">
        <v>161</v>
      </c>
      <c r="X765" s="82" t="s">
        <v>3779</v>
      </c>
      <c r="Y765" s="82">
        <v>1</v>
      </c>
      <c r="Z765" s="82" t="s">
        <v>48</v>
      </c>
      <c r="AA765" s="82" t="s">
        <v>225</v>
      </c>
      <c r="AB765" s="82">
        <v>3</v>
      </c>
    </row>
    <row r="766" spans="1:28" x14ac:dyDescent="0.25">
      <c r="A766" t="e">
        <f>IF(EXACT('BOM A320 FFS'!#REF!,obsoleta!D766),"OK","ERROR")</f>
        <v>#REF!</v>
      </c>
      <c r="C766" s="39"/>
      <c r="D766" s="39"/>
      <c r="E766" s="39"/>
      <c r="F766" s="28"/>
      <c r="G766" s="28"/>
      <c r="H766" s="9"/>
      <c r="I766" s="9"/>
      <c r="J766" s="60"/>
      <c r="K766" s="47"/>
      <c r="L766" s="47"/>
      <c r="M766" s="61"/>
      <c r="N766" s="61"/>
      <c r="O766" s="46"/>
      <c r="P766" s="46"/>
      <c r="Q766" s="99"/>
      <c r="R766" s="46"/>
      <c r="S766" s="47"/>
      <c r="T766" s="82"/>
      <c r="U766" s="82"/>
      <c r="V766" s="82"/>
      <c r="W766" s="82"/>
      <c r="X766" s="82"/>
      <c r="Y766" s="82"/>
      <c r="Z766" s="82"/>
      <c r="AA766" s="82" t="s">
        <v>225</v>
      </c>
      <c r="AB766" s="82"/>
    </row>
    <row r="767" spans="1:28" x14ac:dyDescent="0.25">
      <c r="A767" t="str">
        <f>IF(EXACT('BOM A320 FFS'!B1058,obsoleta!D767),"OK","ERROR")</f>
        <v>ERROR</v>
      </c>
      <c r="C767" s="59"/>
      <c r="D767" s="59" t="s">
        <v>80</v>
      </c>
      <c r="E767" s="59"/>
      <c r="F767" s="9"/>
      <c r="G767" s="9"/>
      <c r="H767" s="52"/>
      <c r="I767" s="52"/>
      <c r="J767" s="53"/>
      <c r="K767" s="38"/>
      <c r="L767" s="35"/>
      <c r="M767" s="54"/>
      <c r="N767" s="37"/>
      <c r="O767" s="35"/>
      <c r="P767" s="35"/>
      <c r="Q767" s="97"/>
      <c r="R767" s="35"/>
      <c r="S767" s="38"/>
      <c r="T767" s="78"/>
      <c r="U767" s="78"/>
      <c r="V767" s="78"/>
      <c r="W767" s="78"/>
      <c r="X767" s="78"/>
      <c r="Y767" s="78"/>
      <c r="Z767" s="78"/>
      <c r="AA767" s="78" t="s">
        <v>225</v>
      </c>
      <c r="AB767" s="78"/>
    </row>
    <row r="768" spans="1:28" x14ac:dyDescent="0.25">
      <c r="A768" t="str">
        <f>IF(EXACT('BOM A320 FFS'!B1059,obsoleta!D768),"OK","ERROR")</f>
        <v>ERROR</v>
      </c>
      <c r="C768" s="51" t="s">
        <v>156</v>
      </c>
      <c r="D768" s="51"/>
      <c r="E768" s="51"/>
      <c r="F768" s="52" t="s">
        <v>216</v>
      </c>
      <c r="G768" s="52"/>
      <c r="H768" s="52"/>
      <c r="I768" s="52" t="s">
        <v>53</v>
      </c>
      <c r="J768" s="53">
        <v>1</v>
      </c>
      <c r="K768" s="38">
        <v>3546</v>
      </c>
      <c r="L768" s="35">
        <v>3546</v>
      </c>
      <c r="M768" s="54" t="s">
        <v>32</v>
      </c>
      <c r="N768" s="37">
        <v>1</v>
      </c>
      <c r="O768" s="35">
        <v>3546</v>
      </c>
      <c r="P768" s="35" t="s">
        <v>130</v>
      </c>
      <c r="Q768" s="97">
        <v>45442</v>
      </c>
      <c r="R768" s="35" t="s">
        <v>62</v>
      </c>
      <c r="S768" s="38"/>
      <c r="T768" s="78">
        <v>1</v>
      </c>
      <c r="U768" s="78" t="s">
        <v>34</v>
      </c>
      <c r="V768" s="78"/>
      <c r="W768" s="78" t="s">
        <v>161</v>
      </c>
      <c r="X768" s="78"/>
      <c r="Y768" s="78"/>
      <c r="Z768" s="78"/>
      <c r="AA768" s="78" t="s">
        <v>225</v>
      </c>
      <c r="AB768" s="78"/>
    </row>
    <row r="769" spans="1:28" x14ac:dyDescent="0.25">
      <c r="A769" t="str">
        <f>IF(EXACT('BOM A320 FFS'!B1060,obsoleta!D769),"OK","ERROR")</f>
        <v>ERROR</v>
      </c>
      <c r="C769" s="51" t="s">
        <v>156</v>
      </c>
      <c r="D769" s="51"/>
      <c r="E769" s="51"/>
      <c r="F769" s="52" t="s">
        <v>279</v>
      </c>
      <c r="G769" s="52"/>
      <c r="H769" s="52"/>
      <c r="I769" s="52" t="s">
        <v>53</v>
      </c>
      <c r="J769" s="53">
        <v>1</v>
      </c>
      <c r="K769" s="38">
        <v>2288</v>
      </c>
      <c r="L769" s="35">
        <v>2288</v>
      </c>
      <c r="M769" s="54" t="s">
        <v>32</v>
      </c>
      <c r="N769" s="37">
        <v>1</v>
      </c>
      <c r="O769" s="35">
        <v>2288</v>
      </c>
      <c r="P769" s="35" t="s">
        <v>130</v>
      </c>
      <c r="Q769" s="97">
        <v>45442</v>
      </c>
      <c r="R769" s="35" t="s">
        <v>62</v>
      </c>
      <c r="S769" s="38"/>
      <c r="T769" s="78">
        <v>1</v>
      </c>
      <c r="U769" s="78" t="s">
        <v>34</v>
      </c>
      <c r="V769" s="78"/>
      <c r="W769" s="78" t="s">
        <v>161</v>
      </c>
      <c r="X769" s="78"/>
      <c r="Y769" s="78"/>
      <c r="Z769" s="78"/>
      <c r="AA769" s="78" t="s">
        <v>225</v>
      </c>
      <c r="AB769" s="78"/>
    </row>
    <row r="770" spans="1:28" x14ac:dyDescent="0.25">
      <c r="A770" t="str">
        <f>IF(EXACT('BOM A320 FFS'!B1061,obsoleta!D770),"OK","ERROR")</f>
        <v>ERROR</v>
      </c>
      <c r="C770" s="51" t="s">
        <v>156</v>
      </c>
      <c r="D770" s="51"/>
      <c r="E770" s="51"/>
      <c r="F770" s="52" t="s">
        <v>424</v>
      </c>
      <c r="G770" s="52"/>
      <c r="H770" s="9"/>
      <c r="I770" s="9" t="s">
        <v>53</v>
      </c>
      <c r="J770" s="60">
        <v>1</v>
      </c>
      <c r="K770" s="47">
        <v>528.32000000000005</v>
      </c>
      <c r="L770" s="47">
        <v>528.32000000000005</v>
      </c>
      <c r="M770" s="61" t="s">
        <v>32</v>
      </c>
      <c r="N770" s="61">
        <v>1</v>
      </c>
      <c r="O770" s="46">
        <v>528.32000000000005</v>
      </c>
      <c r="P770" s="46" t="s">
        <v>130</v>
      </c>
      <c r="Q770" s="99">
        <v>45442</v>
      </c>
      <c r="R770" s="46" t="s">
        <v>62</v>
      </c>
      <c r="S770" s="47"/>
      <c r="T770" s="82">
        <v>1</v>
      </c>
      <c r="U770" s="82" t="s">
        <v>34</v>
      </c>
      <c r="V770" s="82"/>
      <c r="W770" s="82" t="s">
        <v>161</v>
      </c>
      <c r="X770" s="82"/>
      <c r="Y770" s="82"/>
      <c r="Z770" s="82"/>
      <c r="AA770" s="82" t="s">
        <v>225</v>
      </c>
      <c r="AB770" s="82"/>
    </row>
    <row r="771" spans="1:28" x14ac:dyDescent="0.25">
      <c r="A771" t="str">
        <f>IF(EXACT('BOM A320 FFS'!B1062,obsoleta!D771),"OK","ERROR")</f>
        <v>ERROR</v>
      </c>
      <c r="C771" s="62"/>
      <c r="D771" s="62"/>
      <c r="E771" s="62"/>
      <c r="F771" s="9"/>
      <c r="G771" s="9"/>
      <c r="H771" s="9"/>
      <c r="I771" s="9"/>
      <c r="J771" s="60"/>
      <c r="K771" s="47"/>
      <c r="L771" s="47"/>
      <c r="M771" s="61"/>
      <c r="N771" s="61"/>
      <c r="O771" s="46"/>
      <c r="P771" s="46"/>
      <c r="Q771" s="99"/>
      <c r="R771" s="46"/>
      <c r="S771" s="47"/>
      <c r="T771" s="82"/>
      <c r="U771" s="82"/>
      <c r="V771" s="82"/>
      <c r="W771" s="82"/>
      <c r="X771" s="82"/>
      <c r="Y771" s="82"/>
      <c r="Z771" s="82"/>
      <c r="AA771" s="82" t="s">
        <v>225</v>
      </c>
      <c r="AB771" s="82"/>
    </row>
    <row r="772" spans="1:28" x14ac:dyDescent="0.25">
      <c r="A772" t="str">
        <f>IF(EXACT('BOM A320 FFS'!B1063,obsoleta!D772),"OK","ERROR")</f>
        <v>ERROR</v>
      </c>
      <c r="C772" s="59"/>
      <c r="D772" s="59" t="s">
        <v>3676</v>
      </c>
      <c r="E772" s="59"/>
      <c r="F772" s="9"/>
      <c r="G772" s="9"/>
      <c r="H772" s="52"/>
      <c r="I772" s="52"/>
      <c r="J772" s="53"/>
      <c r="K772" s="38"/>
      <c r="L772" s="35"/>
      <c r="M772" s="54"/>
      <c r="N772" s="37"/>
      <c r="O772" s="35"/>
      <c r="P772" s="35"/>
      <c r="Q772" s="97"/>
      <c r="R772" s="35"/>
      <c r="S772" s="38"/>
      <c r="T772" s="78"/>
      <c r="U772" s="78"/>
      <c r="V772" s="78"/>
      <c r="W772" s="78"/>
      <c r="X772" s="78"/>
      <c r="Y772" s="78"/>
      <c r="Z772" s="78"/>
      <c r="AA772" s="78" t="s">
        <v>225</v>
      </c>
      <c r="AB772" s="78"/>
    </row>
    <row r="773" spans="1:28" x14ac:dyDescent="0.25">
      <c r="A773" t="e">
        <f>IF(EXACT('BOM A320 FFS'!#REF!,obsoleta!D773),"OK","ERROR")</f>
        <v>#REF!</v>
      </c>
      <c r="C773" s="51" t="s">
        <v>27</v>
      </c>
      <c r="D773" s="51"/>
      <c r="E773" s="51"/>
      <c r="F773" s="52" t="s">
        <v>3780</v>
      </c>
      <c r="G773" s="52"/>
      <c r="H773" s="52" t="s">
        <v>80</v>
      </c>
      <c r="I773" s="52" t="s">
        <v>80</v>
      </c>
      <c r="J773" s="53">
        <v>1</v>
      </c>
      <c r="K773" s="38">
        <v>124800</v>
      </c>
      <c r="L773" s="35">
        <v>124800</v>
      </c>
      <c r="M773" s="54" t="s">
        <v>32</v>
      </c>
      <c r="N773" s="37">
        <v>1</v>
      </c>
      <c r="O773" s="35">
        <v>124800</v>
      </c>
      <c r="P773" s="35" t="s">
        <v>130</v>
      </c>
      <c r="Q773" s="97">
        <v>45442</v>
      </c>
      <c r="R773" s="35" t="s">
        <v>62</v>
      </c>
      <c r="S773" s="38" t="s">
        <v>35</v>
      </c>
      <c r="T773" s="78">
        <v>1</v>
      </c>
      <c r="U773" s="78" t="s">
        <v>34</v>
      </c>
      <c r="V773" s="78"/>
      <c r="W773" s="78" t="s">
        <v>81</v>
      </c>
      <c r="X773" s="78"/>
      <c r="Y773" s="78"/>
      <c r="Z773" s="78" t="s">
        <v>86</v>
      </c>
      <c r="AA773" s="78" t="s">
        <v>225</v>
      </c>
      <c r="AB773" s="78"/>
    </row>
    <row r="774" spans="1:28" x14ac:dyDescent="0.25">
      <c r="A774" t="str">
        <f>IF(EXACT('BOM A320 FFS'!B1064,obsoleta!D774),"OK","ERROR")</f>
        <v>ERROR</v>
      </c>
      <c r="C774" s="51"/>
      <c r="D774" s="51"/>
      <c r="E774" s="51"/>
      <c r="F774" s="52" t="s">
        <v>201</v>
      </c>
      <c r="G774" s="52"/>
      <c r="H774" s="28" t="s">
        <v>80</v>
      </c>
      <c r="I774" s="28" t="s">
        <v>80</v>
      </c>
      <c r="J774" s="40">
        <v>1</v>
      </c>
      <c r="K774" s="30">
        <v>5000</v>
      </c>
      <c r="L774" s="30">
        <v>5000</v>
      </c>
      <c r="M774" s="26" t="s">
        <v>32</v>
      </c>
      <c r="N774" s="26">
        <v>1</v>
      </c>
      <c r="O774" s="41">
        <v>5000</v>
      </c>
      <c r="P774" s="41" t="s">
        <v>99</v>
      </c>
      <c r="Q774" s="98">
        <v>45442</v>
      </c>
      <c r="R774" s="41" t="s">
        <v>62</v>
      </c>
      <c r="S774" s="30"/>
      <c r="T774" s="82"/>
      <c r="U774" s="82"/>
      <c r="V774" s="82"/>
      <c r="W774" s="82"/>
      <c r="X774" s="82"/>
      <c r="Y774" s="82"/>
      <c r="Z774" s="82"/>
      <c r="AA774" s="82" t="s">
        <v>225</v>
      </c>
      <c r="AB774" s="82"/>
    </row>
    <row r="775" spans="1:28" x14ac:dyDescent="0.25">
      <c r="A775" t="str">
        <f>IF(EXACT('BOM A320 FFS'!B1065,obsoleta!D775),"OK","ERROR")</f>
        <v>ERROR</v>
      </c>
      <c r="C775" s="39"/>
      <c r="D775" s="39"/>
      <c r="E775" s="39"/>
      <c r="F775" s="28"/>
      <c r="G775" s="28"/>
      <c r="H775" s="21"/>
      <c r="I775" s="21"/>
      <c r="J775" s="22"/>
      <c r="K775" s="25"/>
      <c r="L775" s="25"/>
      <c r="M775" s="24"/>
      <c r="N775" s="24"/>
      <c r="O775" s="49"/>
      <c r="P775" s="49"/>
      <c r="Q775" s="100"/>
      <c r="R775" s="49"/>
      <c r="S775" s="25"/>
      <c r="T775" s="49"/>
      <c r="U775" s="49"/>
      <c r="V775" s="49"/>
      <c r="W775" s="49"/>
      <c r="X775" s="49"/>
      <c r="Y775" s="49"/>
      <c r="Z775" s="49"/>
      <c r="AA775" s="49" t="s">
        <v>225</v>
      </c>
      <c r="AB775" s="49"/>
    </row>
    <row r="776" spans="1:28" ht="18.75" x14ac:dyDescent="0.3">
      <c r="A776" t="str">
        <f>IF(EXACT('BOM A320 FFS'!B1073,obsoleta!D776),"OK","ERROR")</f>
        <v>ERROR</v>
      </c>
      <c r="C776" s="19"/>
      <c r="D776" s="19" t="s">
        <v>474</v>
      </c>
      <c r="E776" s="19"/>
      <c r="F776" s="20"/>
      <c r="G776" s="21"/>
      <c r="H776" s="28"/>
      <c r="I776" s="28"/>
      <c r="J776" s="40"/>
      <c r="K776" s="30"/>
      <c r="L776" s="26"/>
      <c r="M776" s="26"/>
      <c r="N776" s="26"/>
      <c r="O776" s="41"/>
      <c r="P776" s="41"/>
      <c r="Q776" s="98"/>
      <c r="R776" s="41"/>
      <c r="S776" s="30"/>
      <c r="T776" s="82"/>
      <c r="U776" s="82"/>
      <c r="V776" s="82"/>
      <c r="W776" s="82"/>
      <c r="X776" s="82"/>
      <c r="Y776" s="82"/>
      <c r="Z776" s="82"/>
      <c r="AA776" s="82" t="s">
        <v>225</v>
      </c>
      <c r="AB776" s="82"/>
    </row>
    <row r="777" spans="1:28" x14ac:dyDescent="0.25">
      <c r="A777" t="str">
        <f>IF(EXACT('BOM A320 FFS'!B1074,obsoleta!D777),"OK","ERROR")</f>
        <v>ERROR</v>
      </c>
      <c r="C777" s="48"/>
      <c r="D777" s="48" t="s">
        <v>3677</v>
      </c>
      <c r="E777" s="48"/>
      <c r="F777" s="28"/>
      <c r="G777" s="28"/>
      <c r="H777" s="52"/>
      <c r="I777" s="52"/>
      <c r="J777" s="54"/>
      <c r="K777" s="38"/>
      <c r="L777" s="35"/>
      <c r="M777" s="36"/>
      <c r="N777" s="37"/>
      <c r="O777" s="35"/>
      <c r="P777" s="35"/>
      <c r="Q777" s="97"/>
      <c r="R777" s="35"/>
      <c r="S777" s="38"/>
      <c r="T777" s="78"/>
      <c r="U777" s="78"/>
      <c r="V777" s="78"/>
      <c r="W777" s="78"/>
      <c r="X777" s="78"/>
      <c r="Y777" s="78"/>
      <c r="Z777" s="78"/>
      <c r="AA777" s="78" t="s">
        <v>225</v>
      </c>
      <c r="AB777" s="78"/>
    </row>
    <row r="778" spans="1:28" x14ac:dyDescent="0.25">
      <c r="A778" t="str">
        <f>IF(EXACT('BOM A320 FFS'!B1076,obsoleta!D778),"OK","ERROR")</f>
        <v>ERROR</v>
      </c>
      <c r="C778" s="31" t="s">
        <v>314</v>
      </c>
      <c r="D778" s="71">
        <v>1235026159804</v>
      </c>
      <c r="E778" s="71"/>
      <c r="F778" s="32" t="s">
        <v>1248</v>
      </c>
      <c r="G778" s="52">
        <v>66502</v>
      </c>
      <c r="H778" s="32"/>
      <c r="I778" s="52" t="s">
        <v>1133</v>
      </c>
      <c r="J778" s="33">
        <v>12</v>
      </c>
      <c r="K778" s="38">
        <v>15.88</v>
      </c>
      <c r="L778" s="35">
        <v>190.56</v>
      </c>
      <c r="M778" s="36" t="s">
        <v>32</v>
      </c>
      <c r="N778" s="37">
        <v>1</v>
      </c>
      <c r="O778" s="35">
        <v>190.56</v>
      </c>
      <c r="P778" s="35" t="s">
        <v>99</v>
      </c>
      <c r="Q778" s="97">
        <v>45442</v>
      </c>
      <c r="R778" s="35" t="s">
        <v>62</v>
      </c>
      <c r="S778" s="38"/>
      <c r="T778" s="78">
        <v>2</v>
      </c>
      <c r="U778" s="78"/>
      <c r="V778" s="78"/>
      <c r="W778" s="78" t="s">
        <v>303</v>
      </c>
      <c r="X778" s="78"/>
      <c r="Y778" s="78"/>
      <c r="Z778" s="78"/>
      <c r="AA778" s="78" t="s">
        <v>225</v>
      </c>
      <c r="AB778" s="78"/>
    </row>
    <row r="779" spans="1:28" x14ac:dyDescent="0.25">
      <c r="A779" t="str">
        <f>IF(EXACT('BOM A320 FFS'!B1077,obsoleta!D779),"OK","ERROR")</f>
        <v>ERROR</v>
      </c>
      <c r="C779" s="31" t="s">
        <v>314</v>
      </c>
      <c r="D779" s="71">
        <v>1235026150804</v>
      </c>
      <c r="E779" s="71"/>
      <c r="F779" s="32" t="s">
        <v>1131</v>
      </c>
      <c r="G779" s="52">
        <v>66521</v>
      </c>
      <c r="H779" s="32"/>
      <c r="I779" s="32" t="s">
        <v>1133</v>
      </c>
      <c r="J779" s="33">
        <v>12</v>
      </c>
      <c r="K779" s="34">
        <v>28.22</v>
      </c>
      <c r="L779" s="35">
        <v>338.64</v>
      </c>
      <c r="M779" s="36" t="s">
        <v>32</v>
      </c>
      <c r="N779" s="37">
        <v>1</v>
      </c>
      <c r="O779" s="35">
        <v>338.64</v>
      </c>
      <c r="P779" s="35" t="s">
        <v>99</v>
      </c>
      <c r="Q779" s="97">
        <v>45442</v>
      </c>
      <c r="R779" s="35" t="s">
        <v>62</v>
      </c>
      <c r="S779" s="38"/>
      <c r="T779" s="78">
        <v>2</v>
      </c>
      <c r="U779" s="78"/>
      <c r="V779" s="78"/>
      <c r="W779" s="78" t="s">
        <v>303</v>
      </c>
      <c r="X779" s="78"/>
      <c r="Y779" s="78"/>
      <c r="Z779" s="78"/>
      <c r="AA779" s="78" t="s">
        <v>225</v>
      </c>
      <c r="AB779" s="78"/>
    </row>
    <row r="780" spans="1:28" x14ac:dyDescent="0.25">
      <c r="A780" t="str">
        <f>IF(EXACT('BOM A320 FFS'!B1078,obsoleta!D780),"OK","ERROR")</f>
        <v>ERROR</v>
      </c>
      <c r="C780" s="31" t="s">
        <v>314</v>
      </c>
      <c r="D780" s="71">
        <v>1235026159808</v>
      </c>
      <c r="E780" s="71"/>
      <c r="F780" s="32" t="s">
        <v>1475</v>
      </c>
      <c r="G780" s="32"/>
      <c r="H780" s="32"/>
      <c r="I780" s="32"/>
      <c r="J780" s="33">
        <v>1</v>
      </c>
      <c r="K780" s="34">
        <v>4.16</v>
      </c>
      <c r="L780" s="35">
        <v>4.16</v>
      </c>
      <c r="M780" s="36" t="s">
        <v>32</v>
      </c>
      <c r="N780" s="37">
        <v>1</v>
      </c>
      <c r="O780" s="35">
        <v>4.16</v>
      </c>
      <c r="P780" s="35" t="s">
        <v>99</v>
      </c>
      <c r="Q780" s="97">
        <v>45442</v>
      </c>
      <c r="R780" s="35" t="s">
        <v>62</v>
      </c>
      <c r="S780" s="38"/>
      <c r="T780" s="78">
        <v>2</v>
      </c>
      <c r="U780" s="78"/>
      <c r="V780" s="78"/>
      <c r="W780" s="78" t="s">
        <v>303</v>
      </c>
      <c r="X780" s="78"/>
      <c r="Y780" s="78"/>
      <c r="Z780" s="78"/>
      <c r="AA780" s="78" t="s">
        <v>225</v>
      </c>
      <c r="AB780" s="78"/>
    </row>
    <row r="781" spans="1:28" x14ac:dyDescent="0.25">
      <c r="A781" t="str">
        <f>IF(EXACT('BOM A320 FFS'!B1079,obsoleta!D781),"OK","ERROR")</f>
        <v>ERROR</v>
      </c>
      <c r="C781" s="31" t="s">
        <v>314</v>
      </c>
      <c r="D781" s="71">
        <v>1235026159809</v>
      </c>
      <c r="E781" s="71"/>
      <c r="F781" s="32" t="s">
        <v>1254</v>
      </c>
      <c r="G781" s="32"/>
      <c r="H781" s="32"/>
      <c r="I781" s="32"/>
      <c r="J781" s="33">
        <v>1</v>
      </c>
      <c r="K781" s="34">
        <v>15.26</v>
      </c>
      <c r="L781" s="35">
        <v>15.26</v>
      </c>
      <c r="M781" s="36" t="s">
        <v>32</v>
      </c>
      <c r="N781" s="37">
        <v>1</v>
      </c>
      <c r="O781" s="35">
        <v>15.26</v>
      </c>
      <c r="P781" s="35" t="s">
        <v>99</v>
      </c>
      <c r="Q781" s="97">
        <v>45442</v>
      </c>
      <c r="R781" s="35" t="s">
        <v>62</v>
      </c>
      <c r="S781" s="38"/>
      <c r="T781" s="78">
        <v>2</v>
      </c>
      <c r="U781" s="78"/>
      <c r="V781" s="78"/>
      <c r="W781" s="78" t="s">
        <v>303</v>
      </c>
      <c r="X781" s="78"/>
      <c r="Y781" s="78"/>
      <c r="Z781" s="78"/>
      <c r="AA781" s="78" t="s">
        <v>225</v>
      </c>
      <c r="AB781" s="78"/>
    </row>
    <row r="782" spans="1:28" x14ac:dyDescent="0.25">
      <c r="A782" t="str">
        <f>IF(EXACT('BOM A320 FFS'!B1080,obsoleta!D782),"OK","ERROR")</f>
        <v>ERROR</v>
      </c>
      <c r="C782" s="31" t="s">
        <v>314</v>
      </c>
      <c r="D782" s="71">
        <v>1235026150800</v>
      </c>
      <c r="E782" s="71"/>
      <c r="F782" s="32" t="s">
        <v>672</v>
      </c>
      <c r="G782" s="32"/>
      <c r="H782" s="32"/>
      <c r="I782" s="32"/>
      <c r="J782" s="33">
        <v>36</v>
      </c>
      <c r="K782" s="34">
        <v>76.290000000000006</v>
      </c>
      <c r="L782" s="35">
        <v>2746.44</v>
      </c>
      <c r="M782" s="36" t="s">
        <v>32</v>
      </c>
      <c r="N782" s="37">
        <v>1</v>
      </c>
      <c r="O782" s="35">
        <v>2746.44</v>
      </c>
      <c r="P782" s="35" t="s">
        <v>99</v>
      </c>
      <c r="Q782" s="97">
        <v>45442</v>
      </c>
      <c r="R782" s="35" t="s">
        <v>62</v>
      </c>
      <c r="S782" s="38"/>
      <c r="T782" s="78">
        <v>2</v>
      </c>
      <c r="U782" s="78"/>
      <c r="V782" s="78"/>
      <c r="W782" s="78" t="s">
        <v>303</v>
      </c>
      <c r="X782" s="78"/>
      <c r="Y782" s="78"/>
      <c r="Z782" s="78"/>
      <c r="AA782" s="78" t="s">
        <v>225</v>
      </c>
      <c r="AB782" s="78"/>
    </row>
    <row r="783" spans="1:28" x14ac:dyDescent="0.25">
      <c r="A783" t="str">
        <f>IF(EXACT('BOM A320 FFS'!B1081,obsoleta!D783),"OK","ERROR")</f>
        <v>ERROR</v>
      </c>
      <c r="C783" s="31" t="s">
        <v>314</v>
      </c>
      <c r="D783" s="71">
        <v>1235026159000</v>
      </c>
      <c r="E783" s="71"/>
      <c r="F783" s="32" t="s">
        <v>1023</v>
      </c>
      <c r="G783" s="32"/>
      <c r="H783" s="32"/>
      <c r="I783" s="32"/>
      <c r="J783" s="33">
        <v>36</v>
      </c>
      <c r="K783" s="34">
        <v>40.42</v>
      </c>
      <c r="L783" s="35">
        <v>1455.12</v>
      </c>
      <c r="M783" s="36" t="s">
        <v>32</v>
      </c>
      <c r="N783" s="37">
        <v>1</v>
      </c>
      <c r="O783" s="35">
        <v>1455.12</v>
      </c>
      <c r="P783" s="35" t="s">
        <v>99</v>
      </c>
      <c r="Q783" s="97">
        <v>45442</v>
      </c>
      <c r="R783" s="35" t="s">
        <v>62</v>
      </c>
      <c r="S783" s="38"/>
      <c r="T783" s="78">
        <v>2</v>
      </c>
      <c r="U783" s="78"/>
      <c r="V783" s="78"/>
      <c r="W783" s="78" t="s">
        <v>303</v>
      </c>
      <c r="X783" s="78"/>
      <c r="Y783" s="78"/>
      <c r="Z783" s="78"/>
      <c r="AA783" s="78" t="s">
        <v>225</v>
      </c>
      <c r="AB783" s="78"/>
    </row>
    <row r="784" spans="1:28" x14ac:dyDescent="0.25">
      <c r="A784" t="str">
        <f>IF(EXACT('BOM A320 FFS'!B1082,obsoleta!D784),"OK","ERROR")</f>
        <v>ERROR</v>
      </c>
      <c r="C784" s="31" t="s">
        <v>314</v>
      </c>
      <c r="D784" s="71">
        <v>1235026303200</v>
      </c>
      <c r="E784" s="71"/>
      <c r="F784" s="32" t="s">
        <v>1184</v>
      </c>
      <c r="G784" s="32"/>
      <c r="H784" s="32"/>
      <c r="I784" s="32"/>
      <c r="J784" s="33">
        <v>3</v>
      </c>
      <c r="K784" s="34">
        <v>23.23</v>
      </c>
      <c r="L784" s="35">
        <v>69.69</v>
      </c>
      <c r="M784" s="36" t="s">
        <v>32</v>
      </c>
      <c r="N784" s="37">
        <v>1</v>
      </c>
      <c r="O784" s="35">
        <v>69.69</v>
      </c>
      <c r="P784" s="35" t="s">
        <v>99</v>
      </c>
      <c r="Q784" s="97">
        <v>45442</v>
      </c>
      <c r="R784" s="35" t="s">
        <v>62</v>
      </c>
      <c r="S784" s="38"/>
      <c r="T784" s="78">
        <v>2</v>
      </c>
      <c r="U784" s="78"/>
      <c r="V784" s="78"/>
      <c r="W784" s="78" t="s">
        <v>303</v>
      </c>
      <c r="X784" s="78"/>
      <c r="Y784" s="78"/>
      <c r="Z784" s="78"/>
      <c r="AA784" s="78" t="s">
        <v>225</v>
      </c>
      <c r="AB784" s="78"/>
    </row>
    <row r="785" spans="1:28" x14ac:dyDescent="0.25">
      <c r="A785" t="str">
        <f>IF(EXACT('BOM A320 FFS'!B1083,obsoleta!D785),"OK","ERROR")</f>
        <v>ERROR</v>
      </c>
      <c r="C785" s="31" t="s">
        <v>314</v>
      </c>
      <c r="D785" s="71">
        <v>1235090006000</v>
      </c>
      <c r="E785" s="71"/>
      <c r="F785" s="32" t="s">
        <v>1422</v>
      </c>
      <c r="G785" s="32"/>
      <c r="H785" s="32"/>
      <c r="I785" s="32"/>
      <c r="J785" s="33">
        <v>6</v>
      </c>
      <c r="K785" s="34">
        <v>6.62</v>
      </c>
      <c r="L785" s="35">
        <v>39.72</v>
      </c>
      <c r="M785" s="36" t="s">
        <v>32</v>
      </c>
      <c r="N785" s="37">
        <v>1</v>
      </c>
      <c r="O785" s="35">
        <v>39.72</v>
      </c>
      <c r="P785" s="35" t="s">
        <v>99</v>
      </c>
      <c r="Q785" s="97">
        <v>45442</v>
      </c>
      <c r="R785" s="35" t="s">
        <v>62</v>
      </c>
      <c r="S785" s="38"/>
      <c r="T785" s="78">
        <v>2</v>
      </c>
      <c r="U785" s="78"/>
      <c r="V785" s="78"/>
      <c r="W785" s="78" t="s">
        <v>303</v>
      </c>
      <c r="X785" s="78"/>
      <c r="Y785" s="78"/>
      <c r="Z785" s="78"/>
      <c r="AA785" s="78" t="s">
        <v>225</v>
      </c>
      <c r="AB785" s="78"/>
    </row>
    <row r="786" spans="1:28" x14ac:dyDescent="0.25">
      <c r="A786" t="str">
        <f>IF(EXACT('BOM A320 FFS'!B1084,obsoleta!D786),"OK","ERROR")</f>
        <v>ERROR</v>
      </c>
      <c r="C786" s="31" t="s">
        <v>314</v>
      </c>
      <c r="D786" s="71">
        <v>1235090006001</v>
      </c>
      <c r="E786" s="71"/>
      <c r="F786" s="32" t="s">
        <v>1308</v>
      </c>
      <c r="G786" s="32"/>
      <c r="H786" s="32"/>
      <c r="I786" s="32"/>
      <c r="J786" s="33">
        <v>6</v>
      </c>
      <c r="K786" s="34">
        <v>11.77</v>
      </c>
      <c r="L786" s="35">
        <v>70.62</v>
      </c>
      <c r="M786" s="36" t="s">
        <v>32</v>
      </c>
      <c r="N786" s="37">
        <v>1</v>
      </c>
      <c r="O786" s="35">
        <v>70.62</v>
      </c>
      <c r="P786" s="35" t="s">
        <v>99</v>
      </c>
      <c r="Q786" s="97">
        <v>45442</v>
      </c>
      <c r="R786" s="35" t="s">
        <v>62</v>
      </c>
      <c r="S786" s="38"/>
      <c r="T786" s="78">
        <v>2</v>
      </c>
      <c r="U786" s="78"/>
      <c r="V786" s="78"/>
      <c r="W786" s="78" t="s">
        <v>303</v>
      </c>
      <c r="X786" s="78"/>
      <c r="Y786" s="78"/>
      <c r="Z786" s="78"/>
      <c r="AA786" s="78" t="s">
        <v>225</v>
      </c>
      <c r="AB786" s="78"/>
    </row>
    <row r="787" spans="1:28" x14ac:dyDescent="0.25">
      <c r="A787" t="str">
        <f>IF(EXACT('BOM A320 FFS'!B1085,obsoleta!D787),"OK","ERROR")</f>
        <v>ERROR</v>
      </c>
      <c r="C787" s="31" t="s">
        <v>314</v>
      </c>
      <c r="D787" s="31">
        <v>1235025400900</v>
      </c>
      <c r="E787" s="31"/>
      <c r="F787" s="32" t="s">
        <v>1464</v>
      </c>
      <c r="G787" s="32"/>
      <c r="H787" s="52"/>
      <c r="I787" s="52"/>
      <c r="J787" s="54">
        <v>18</v>
      </c>
      <c r="K787" s="38">
        <v>4.93</v>
      </c>
      <c r="L787" s="35">
        <v>88.74</v>
      </c>
      <c r="M787" s="54" t="s">
        <v>32</v>
      </c>
      <c r="N787" s="37">
        <v>1</v>
      </c>
      <c r="O787" s="35">
        <v>88.74</v>
      </c>
      <c r="P787" s="35" t="s">
        <v>99</v>
      </c>
      <c r="Q787" s="97">
        <v>45442</v>
      </c>
      <c r="R787" s="35" t="s">
        <v>62</v>
      </c>
      <c r="S787" s="38"/>
      <c r="T787" s="78">
        <v>2</v>
      </c>
      <c r="U787" s="78"/>
      <c r="V787" s="78"/>
      <c r="W787" s="78" t="s">
        <v>303</v>
      </c>
      <c r="X787" s="78"/>
      <c r="Y787" s="78"/>
      <c r="Z787" s="78"/>
      <c r="AA787" s="78" t="s">
        <v>225</v>
      </c>
      <c r="AB787" s="78"/>
    </row>
    <row r="788" spans="1:28" x14ac:dyDescent="0.25">
      <c r="A788" t="str">
        <f>IF(EXACT('BOM A320 FFS'!B1087,obsoleta!D788),"OK","ERROR")</f>
        <v>ERROR</v>
      </c>
      <c r="C788" s="51" t="s">
        <v>474</v>
      </c>
      <c r="D788" s="51">
        <v>1230125600000</v>
      </c>
      <c r="E788" s="51"/>
      <c r="F788" s="32" t="s">
        <v>1599</v>
      </c>
      <c r="G788" s="52" t="s">
        <v>1600</v>
      </c>
      <c r="H788" s="52" t="s">
        <v>1133</v>
      </c>
      <c r="I788" s="52"/>
      <c r="J788" s="54">
        <v>50</v>
      </c>
      <c r="K788" s="38">
        <v>2.3199999999999998</v>
      </c>
      <c r="L788" s="35">
        <v>116</v>
      </c>
      <c r="M788" s="54" t="s">
        <v>32</v>
      </c>
      <c r="N788" s="37">
        <v>1</v>
      </c>
      <c r="O788" s="35">
        <v>116</v>
      </c>
      <c r="P788" s="35" t="s">
        <v>99</v>
      </c>
      <c r="Q788" s="97">
        <v>45442</v>
      </c>
      <c r="R788" s="35" t="s">
        <v>62</v>
      </c>
      <c r="S788" s="38"/>
      <c r="T788" s="78">
        <v>2</v>
      </c>
      <c r="U788" s="78"/>
      <c r="V788" s="78"/>
      <c r="W788" s="78" t="s">
        <v>114</v>
      </c>
      <c r="X788" s="78"/>
      <c r="Y788" s="78"/>
      <c r="Z788" s="78"/>
      <c r="AA788" s="78" t="s">
        <v>225</v>
      </c>
      <c r="AB788" s="78"/>
    </row>
    <row r="789" spans="1:28" x14ac:dyDescent="0.25">
      <c r="A789" t="str">
        <f>IF(EXACT('BOM A320 FFS'!B1088,obsoleta!D789),"OK","ERROR")</f>
        <v>ERROR</v>
      </c>
      <c r="C789" s="51" t="s">
        <v>474</v>
      </c>
      <c r="D789" s="51" t="s">
        <v>70</v>
      </c>
      <c r="E789" s="51"/>
      <c r="F789" s="32" t="s">
        <v>1423</v>
      </c>
      <c r="G789" s="52"/>
      <c r="H789" s="52" t="s">
        <v>480</v>
      </c>
      <c r="I789" s="52"/>
      <c r="J789" s="54">
        <v>1</v>
      </c>
      <c r="K789" s="38">
        <v>5.83</v>
      </c>
      <c r="L789" s="35">
        <v>5.83</v>
      </c>
      <c r="M789" s="54" t="s">
        <v>32</v>
      </c>
      <c r="N789" s="37">
        <v>1</v>
      </c>
      <c r="O789" s="35">
        <v>5.83</v>
      </c>
      <c r="P789" s="35" t="s">
        <v>99</v>
      </c>
      <c r="Q789" s="97">
        <v>45442</v>
      </c>
      <c r="R789" s="35" t="s">
        <v>62</v>
      </c>
      <c r="S789" s="38"/>
      <c r="T789" s="78">
        <v>2</v>
      </c>
      <c r="U789" s="78"/>
      <c r="V789" s="78"/>
      <c r="W789" s="78" t="s">
        <v>114</v>
      </c>
      <c r="X789" s="78"/>
      <c r="Y789" s="78"/>
      <c r="Z789" s="78"/>
      <c r="AA789" s="78" t="s">
        <v>225</v>
      </c>
      <c r="AB789" s="78"/>
    </row>
    <row r="790" spans="1:28" x14ac:dyDescent="0.25">
      <c r="A790" t="str">
        <f>IF(EXACT('BOM A320 FFS'!B1089,obsoleta!D790),"OK","ERROR")</f>
        <v>ERROR</v>
      </c>
      <c r="C790" s="51" t="s">
        <v>474</v>
      </c>
      <c r="D790" s="51" t="s">
        <v>70</v>
      </c>
      <c r="E790" s="51"/>
      <c r="F790" s="32" t="s">
        <v>1365</v>
      </c>
      <c r="G790" s="52"/>
      <c r="H790" s="52" t="s">
        <v>480</v>
      </c>
      <c r="I790" s="52"/>
      <c r="J790" s="54">
        <v>1</v>
      </c>
      <c r="K790" s="38">
        <v>9</v>
      </c>
      <c r="L790" s="35">
        <v>9</v>
      </c>
      <c r="M790" s="54" t="s">
        <v>32</v>
      </c>
      <c r="N790" s="37">
        <v>1</v>
      </c>
      <c r="O790" s="35">
        <v>9</v>
      </c>
      <c r="P790" s="35" t="s">
        <v>99</v>
      </c>
      <c r="Q790" s="97">
        <v>45442</v>
      </c>
      <c r="R790" s="35" t="s">
        <v>62</v>
      </c>
      <c r="S790" s="38"/>
      <c r="T790" s="78">
        <v>2</v>
      </c>
      <c r="U790" s="78"/>
      <c r="V790" s="78"/>
      <c r="W790" s="78" t="s">
        <v>114</v>
      </c>
      <c r="X790" s="78"/>
      <c r="Y790" s="78"/>
      <c r="Z790" s="78"/>
      <c r="AA790" s="78" t="s">
        <v>225</v>
      </c>
      <c r="AB790" s="78"/>
    </row>
    <row r="791" spans="1:28" x14ac:dyDescent="0.25">
      <c r="A791" t="str">
        <f>IF(EXACT('BOM A320 FFS'!B1090,obsoleta!D791),"OK","ERROR")</f>
        <v>ERROR</v>
      </c>
      <c r="C791" s="51" t="s">
        <v>474</v>
      </c>
      <c r="D791" s="51" t="s">
        <v>70</v>
      </c>
      <c r="E791" s="51"/>
      <c r="F791" s="32" t="s">
        <v>746</v>
      </c>
      <c r="G791" s="52"/>
      <c r="H791" s="52" t="s">
        <v>480</v>
      </c>
      <c r="I791" s="52"/>
      <c r="J791" s="54">
        <v>1</v>
      </c>
      <c r="K791" s="38">
        <v>50.69</v>
      </c>
      <c r="L791" s="35">
        <v>50.69</v>
      </c>
      <c r="M791" s="54" t="s">
        <v>32</v>
      </c>
      <c r="N791" s="37">
        <v>1</v>
      </c>
      <c r="O791" s="35">
        <v>50.69</v>
      </c>
      <c r="P791" s="35" t="s">
        <v>99</v>
      </c>
      <c r="Q791" s="97">
        <v>45442</v>
      </c>
      <c r="R791" s="35" t="s">
        <v>62</v>
      </c>
      <c r="S791" s="38"/>
      <c r="T791" s="78">
        <v>2</v>
      </c>
      <c r="U791" s="78"/>
      <c r="V791" s="78"/>
      <c r="W791" s="78" t="s">
        <v>114</v>
      </c>
      <c r="X791" s="78"/>
      <c r="Y791" s="78"/>
      <c r="Z791" s="78"/>
      <c r="AA791" s="78" t="s">
        <v>225</v>
      </c>
      <c r="AB791" s="78"/>
    </row>
    <row r="792" spans="1:28" x14ac:dyDescent="0.25">
      <c r="A792" t="str">
        <f>IF(EXACT('BOM A320 FFS'!B1091,obsoleta!D792),"OK","ERROR")</f>
        <v>ERROR</v>
      </c>
      <c r="C792" s="51" t="s">
        <v>474</v>
      </c>
      <c r="D792" s="51" t="s">
        <v>70</v>
      </c>
      <c r="E792" s="51"/>
      <c r="F792" s="32" t="s">
        <v>1035</v>
      </c>
      <c r="G792" s="52"/>
      <c r="H792" s="52" t="s">
        <v>480</v>
      </c>
      <c r="I792" s="52"/>
      <c r="J792" s="54">
        <v>1</v>
      </c>
      <c r="K792" s="38">
        <v>39.909999999999997</v>
      </c>
      <c r="L792" s="35">
        <v>39.909999999999997</v>
      </c>
      <c r="M792" s="54" t="s">
        <v>32</v>
      </c>
      <c r="N792" s="37">
        <v>1</v>
      </c>
      <c r="O792" s="35">
        <v>39.909999999999997</v>
      </c>
      <c r="P792" s="35" t="s">
        <v>99</v>
      </c>
      <c r="Q792" s="97">
        <v>45442</v>
      </c>
      <c r="R792" s="35" t="s">
        <v>62</v>
      </c>
      <c r="S792" s="38"/>
      <c r="T792" s="78">
        <v>2</v>
      </c>
      <c r="U792" s="78"/>
      <c r="V792" s="78"/>
      <c r="W792" s="78" t="s">
        <v>114</v>
      </c>
      <c r="X792" s="78"/>
      <c r="Y792" s="78"/>
      <c r="Z792" s="78"/>
      <c r="AA792" s="78" t="s">
        <v>225</v>
      </c>
      <c r="AB792" s="78"/>
    </row>
    <row r="793" spans="1:28" x14ac:dyDescent="0.25">
      <c r="A793" t="str">
        <f>IF(EXACT('BOM A320 FFS'!B1092,obsoleta!D793),"OK","ERROR")</f>
        <v>ERROR</v>
      </c>
      <c r="C793" s="51" t="s">
        <v>474</v>
      </c>
      <c r="D793" s="51" t="s">
        <v>70</v>
      </c>
      <c r="E793" s="51"/>
      <c r="F793" s="32" t="s">
        <v>1045</v>
      </c>
      <c r="G793" s="52"/>
      <c r="H793" s="52" t="s">
        <v>480</v>
      </c>
      <c r="I793" s="52"/>
      <c r="J793" s="54">
        <v>1</v>
      </c>
      <c r="K793" s="38">
        <v>35.08</v>
      </c>
      <c r="L793" s="35">
        <v>35.08</v>
      </c>
      <c r="M793" s="54" t="s">
        <v>32</v>
      </c>
      <c r="N793" s="37">
        <v>1</v>
      </c>
      <c r="O793" s="35">
        <v>35.08</v>
      </c>
      <c r="P793" s="35" t="s">
        <v>99</v>
      </c>
      <c r="Q793" s="97">
        <v>45442</v>
      </c>
      <c r="R793" s="35" t="s">
        <v>62</v>
      </c>
      <c r="S793" s="38"/>
      <c r="T793" s="78">
        <v>2</v>
      </c>
      <c r="U793" s="78"/>
      <c r="V793" s="78"/>
      <c r="W793" s="78" t="s">
        <v>114</v>
      </c>
      <c r="X793" s="78"/>
      <c r="Y793" s="78"/>
      <c r="Z793" s="78"/>
      <c r="AA793" s="78" t="s">
        <v>225</v>
      </c>
      <c r="AB793" s="78"/>
    </row>
    <row r="794" spans="1:28" x14ac:dyDescent="0.25">
      <c r="A794" t="str">
        <f>IF(EXACT('BOM A320 FFS'!B1093,obsoleta!D794),"OK","ERROR")</f>
        <v>ERROR</v>
      </c>
      <c r="C794" s="51" t="s">
        <v>474</v>
      </c>
      <c r="D794" s="51">
        <v>1709800000000</v>
      </c>
      <c r="E794" s="51"/>
      <c r="F794" s="32" t="s">
        <v>479</v>
      </c>
      <c r="G794" s="52">
        <v>1709800000000</v>
      </c>
      <c r="H794" s="52" t="s">
        <v>480</v>
      </c>
      <c r="I794" s="52"/>
      <c r="J794" s="54">
        <v>1</v>
      </c>
      <c r="K794" s="38">
        <v>300</v>
      </c>
      <c r="L794" s="35">
        <v>300</v>
      </c>
      <c r="M794" s="54" t="s">
        <v>32</v>
      </c>
      <c r="N794" s="37">
        <v>1</v>
      </c>
      <c r="O794" s="35">
        <v>300</v>
      </c>
      <c r="P794" s="35" t="s">
        <v>130</v>
      </c>
      <c r="Q794" s="97">
        <v>45442</v>
      </c>
      <c r="R794" s="35" t="s">
        <v>62</v>
      </c>
      <c r="S794" s="38"/>
      <c r="T794" s="78">
        <v>2</v>
      </c>
      <c r="U794" s="78"/>
      <c r="V794" s="78"/>
      <c r="W794" s="78" t="s">
        <v>114</v>
      </c>
      <c r="X794" s="78"/>
      <c r="Y794" s="78"/>
      <c r="Z794" s="78"/>
      <c r="AA794" s="78" t="s">
        <v>225</v>
      </c>
      <c r="AB794" s="78"/>
    </row>
    <row r="795" spans="1:28" x14ac:dyDescent="0.25">
      <c r="A795" t="str">
        <f>IF(EXACT('BOM A320 FFS'!B1094,obsoleta!D795),"OK","ERROR")</f>
        <v>ERROR</v>
      </c>
      <c r="C795" s="51" t="s">
        <v>474</v>
      </c>
      <c r="D795" s="51">
        <v>1750101350000</v>
      </c>
      <c r="E795" s="51"/>
      <c r="F795" s="32" t="s">
        <v>476</v>
      </c>
      <c r="G795" s="52">
        <v>122090</v>
      </c>
      <c r="H795" s="28"/>
      <c r="I795" s="28"/>
      <c r="J795" s="40">
        <v>1</v>
      </c>
      <c r="K795" s="26">
        <v>300</v>
      </c>
      <c r="L795" s="41">
        <v>300</v>
      </c>
      <c r="M795" s="26" t="s">
        <v>32</v>
      </c>
      <c r="N795" s="26">
        <v>1</v>
      </c>
      <c r="O795" s="41">
        <v>300</v>
      </c>
      <c r="P795" s="41" t="s">
        <v>130</v>
      </c>
      <c r="Q795" s="98">
        <v>45442</v>
      </c>
      <c r="R795" s="41" t="s">
        <v>62</v>
      </c>
      <c r="S795" s="30"/>
      <c r="T795" s="82">
        <v>2</v>
      </c>
      <c r="U795" s="82"/>
      <c r="V795" s="82"/>
      <c r="W795" s="82" t="s">
        <v>114</v>
      </c>
      <c r="X795" s="82"/>
      <c r="Y795" s="82"/>
      <c r="Z795" s="82"/>
      <c r="AA795" s="82" t="s">
        <v>225</v>
      </c>
      <c r="AB795" s="82"/>
    </row>
    <row r="796" spans="1:28" ht="15.75" x14ac:dyDescent="0.25">
      <c r="A796" t="str">
        <f>IF(EXACT('BOM A320 FFS'!B1095,obsoleta!D796),"OK","ERROR")</f>
        <v>OK</v>
      </c>
      <c r="C796" s="27"/>
      <c r="D796" s="27"/>
      <c r="E796" s="27"/>
      <c r="F796" s="28"/>
      <c r="G796" s="28"/>
      <c r="H796" s="21"/>
      <c r="I796" s="21"/>
      <c r="J796" s="22"/>
      <c r="K796" s="25"/>
      <c r="L796" s="25"/>
      <c r="M796" s="24"/>
      <c r="N796" s="24"/>
      <c r="O796" s="49"/>
      <c r="P796" s="49"/>
      <c r="Q796" s="100"/>
      <c r="R796" s="49"/>
      <c r="S796" s="25"/>
      <c r="T796" s="25"/>
      <c r="U796" s="25"/>
      <c r="V796" s="25"/>
      <c r="W796" s="25"/>
      <c r="X796" s="25"/>
      <c r="Y796" s="25"/>
      <c r="Z796" s="25"/>
      <c r="AA796" s="25" t="s">
        <v>225</v>
      </c>
      <c r="AB796" s="25"/>
    </row>
    <row r="797" spans="1:28" ht="18.75" x14ac:dyDescent="0.3">
      <c r="A797" t="str">
        <f>IF(EXACT('BOM A320 FFS'!B1096,obsoleta!D797),"OK","ERROR")</f>
        <v>ERROR</v>
      </c>
      <c r="C797" s="19"/>
      <c r="D797" s="19" t="s">
        <v>548</v>
      </c>
      <c r="E797" s="19"/>
      <c r="F797" s="20"/>
      <c r="G797" s="21"/>
      <c r="H797" s="52"/>
      <c r="I797" s="52"/>
      <c r="J797" s="54"/>
      <c r="K797" s="38"/>
      <c r="L797" s="35"/>
      <c r="M797" s="54"/>
      <c r="N797" s="37"/>
      <c r="O797" s="35"/>
      <c r="P797" s="35"/>
      <c r="Q797" s="97"/>
      <c r="R797" s="35"/>
      <c r="S797" s="38"/>
      <c r="T797" s="78"/>
      <c r="U797" s="78"/>
      <c r="V797" s="78"/>
      <c r="W797" s="78"/>
      <c r="X797" s="78"/>
      <c r="Y797" s="80"/>
      <c r="Z797" s="78"/>
      <c r="AA797" s="78" t="s">
        <v>225</v>
      </c>
      <c r="AB797" s="78"/>
    </row>
    <row r="798" spans="1:28" x14ac:dyDescent="0.25">
      <c r="A798" t="str">
        <f>IF(EXACT('BOM A320 FFS'!B1097,obsoleta!D798),"OK","ERROR")</f>
        <v>ERROR</v>
      </c>
      <c r="C798" s="51" t="s">
        <v>548</v>
      </c>
      <c r="D798" s="51">
        <v>1289902150200</v>
      </c>
      <c r="E798" s="51"/>
      <c r="F798" s="52" t="s">
        <v>550</v>
      </c>
      <c r="G798" s="52" t="s">
        <v>551</v>
      </c>
      <c r="H798" s="52"/>
      <c r="I798" s="52"/>
      <c r="J798" s="54">
        <v>2</v>
      </c>
      <c r="K798" s="38">
        <v>200</v>
      </c>
      <c r="L798" s="35">
        <v>400</v>
      </c>
      <c r="M798" s="54" t="s">
        <v>32</v>
      </c>
      <c r="N798" s="37">
        <v>1</v>
      </c>
      <c r="O798" s="35">
        <v>400</v>
      </c>
      <c r="P798" s="35" t="s">
        <v>33</v>
      </c>
      <c r="Q798" s="97">
        <v>45453</v>
      </c>
      <c r="R798" s="35" t="s">
        <v>62</v>
      </c>
      <c r="S798" s="38"/>
      <c r="T798" s="78">
        <v>2</v>
      </c>
      <c r="U798" s="78"/>
      <c r="V798" s="78"/>
      <c r="W798" s="78" t="s">
        <v>47</v>
      </c>
      <c r="X798" s="78" t="s">
        <v>3712</v>
      </c>
      <c r="Y798" s="80">
        <v>1</v>
      </c>
      <c r="Z798" s="78" t="s">
        <v>48</v>
      </c>
      <c r="AA798" s="78" t="s">
        <v>225</v>
      </c>
      <c r="AB798" s="78">
        <v>2</v>
      </c>
    </row>
    <row r="799" spans="1:28" x14ac:dyDescent="0.25">
      <c r="A799" t="str">
        <f>IF(EXACT('BOM A320 FFS'!B1098,obsoleta!D799),"OK","ERROR")</f>
        <v>ERROR</v>
      </c>
      <c r="C799" s="51" t="s">
        <v>548</v>
      </c>
      <c r="D799" s="51">
        <v>1125110113403</v>
      </c>
      <c r="E799" s="51"/>
      <c r="F799" s="52" t="s">
        <v>761</v>
      </c>
      <c r="G799" s="52" t="s">
        <v>762</v>
      </c>
      <c r="H799" s="52" t="s">
        <v>731</v>
      </c>
      <c r="I799" s="52" t="s">
        <v>763</v>
      </c>
      <c r="J799" s="54">
        <v>2</v>
      </c>
      <c r="K799" s="38">
        <v>50</v>
      </c>
      <c r="L799" s="35">
        <v>100</v>
      </c>
      <c r="M799" s="54" t="s">
        <v>32</v>
      </c>
      <c r="N799" s="37">
        <v>1</v>
      </c>
      <c r="O799" s="35">
        <v>100</v>
      </c>
      <c r="P799" s="35" t="s">
        <v>33</v>
      </c>
      <c r="Q799" s="97">
        <v>45453</v>
      </c>
      <c r="R799" s="35" t="s">
        <v>62</v>
      </c>
      <c r="S799" s="38"/>
      <c r="T799" s="78">
        <v>2</v>
      </c>
      <c r="U799" s="78"/>
      <c r="V799" s="78"/>
      <c r="W799" s="78" t="s">
        <v>47</v>
      </c>
      <c r="X799" s="78" t="s">
        <v>3712</v>
      </c>
      <c r="Y799" s="80">
        <v>1</v>
      </c>
      <c r="Z799" s="78" t="s">
        <v>48</v>
      </c>
      <c r="AA799" s="78" t="s">
        <v>225</v>
      </c>
      <c r="AB799" s="78">
        <v>2</v>
      </c>
    </row>
    <row r="800" spans="1:28" x14ac:dyDescent="0.25">
      <c r="A800" t="str">
        <f>IF(EXACT('BOM A320 FFS'!B1099,obsoleta!D800),"OK","ERROR")</f>
        <v>ERROR</v>
      </c>
      <c r="C800" s="51" t="s">
        <v>548</v>
      </c>
      <c r="D800" s="51">
        <v>1128901240800</v>
      </c>
      <c r="E800" s="51"/>
      <c r="F800" s="52" t="s">
        <v>1098</v>
      </c>
      <c r="G800" s="52" t="s">
        <v>1099</v>
      </c>
      <c r="H800" s="52" t="s">
        <v>731</v>
      </c>
      <c r="I800" s="52" t="s">
        <v>763</v>
      </c>
      <c r="J800" s="54">
        <v>2</v>
      </c>
      <c r="K800" s="38">
        <v>30</v>
      </c>
      <c r="L800" s="35">
        <v>60</v>
      </c>
      <c r="M800" s="54" t="s">
        <v>32</v>
      </c>
      <c r="N800" s="37">
        <v>1</v>
      </c>
      <c r="O800" s="35">
        <v>60</v>
      </c>
      <c r="P800" s="35" t="s">
        <v>33</v>
      </c>
      <c r="Q800" s="97">
        <v>45453</v>
      </c>
      <c r="R800" s="35" t="s">
        <v>62</v>
      </c>
      <c r="S800" s="38"/>
      <c r="T800" s="78">
        <v>2</v>
      </c>
      <c r="U800" s="78"/>
      <c r="V800" s="78"/>
      <c r="W800" s="78" t="s">
        <v>47</v>
      </c>
      <c r="X800" s="78" t="s">
        <v>3712</v>
      </c>
      <c r="Y800" s="80">
        <v>1</v>
      </c>
      <c r="Z800" s="78" t="s">
        <v>48</v>
      </c>
      <c r="AA800" s="78" t="s">
        <v>225</v>
      </c>
      <c r="AB800" s="78">
        <v>2</v>
      </c>
    </row>
    <row r="801" spans="1:28" x14ac:dyDescent="0.25">
      <c r="A801" t="str">
        <f>IF(EXACT('BOM A320 FFS'!B1100,obsoleta!D801),"OK","ERROR")</f>
        <v>ERROR</v>
      </c>
      <c r="C801" s="51" t="s">
        <v>548</v>
      </c>
      <c r="D801" s="51">
        <v>1128991608200</v>
      </c>
      <c r="E801" s="51"/>
      <c r="F801" s="52" t="s">
        <v>1101</v>
      </c>
      <c r="G801" s="52" t="s">
        <v>1102</v>
      </c>
      <c r="H801" s="52" t="s">
        <v>731</v>
      </c>
      <c r="I801" s="52" t="s">
        <v>763</v>
      </c>
      <c r="J801" s="152">
        <v>1</v>
      </c>
      <c r="K801" s="148">
        <v>30</v>
      </c>
      <c r="L801" s="144">
        <v>30</v>
      </c>
      <c r="M801" s="152" t="s">
        <v>32</v>
      </c>
      <c r="N801" s="146">
        <v>1</v>
      </c>
      <c r="O801" s="144">
        <v>30</v>
      </c>
      <c r="P801" s="144" t="s">
        <v>33</v>
      </c>
      <c r="Q801" s="147">
        <v>45453</v>
      </c>
      <c r="R801" s="144" t="s">
        <v>62</v>
      </c>
      <c r="S801" s="148"/>
      <c r="T801" s="149">
        <v>1</v>
      </c>
      <c r="U801" s="149" t="s">
        <v>34</v>
      </c>
      <c r="V801" s="149"/>
      <c r="W801" s="149" t="s">
        <v>47</v>
      </c>
      <c r="X801" s="149" t="s">
        <v>3712</v>
      </c>
      <c r="Y801" s="149">
        <v>1</v>
      </c>
      <c r="Z801" s="149" t="s">
        <v>48</v>
      </c>
      <c r="AA801" s="149" t="s">
        <v>225</v>
      </c>
      <c r="AB801" s="149">
        <v>1</v>
      </c>
    </row>
    <row r="802" spans="1:28" x14ac:dyDescent="0.25">
      <c r="A802" t="str">
        <f>IF(EXACT('BOM A320 FFS'!B1101,obsoleta!D802),"OK","ERROR")</f>
        <v>ERROR</v>
      </c>
      <c r="C802" s="51" t="s">
        <v>548</v>
      </c>
      <c r="D802" s="150">
        <v>1128991608201</v>
      </c>
      <c r="E802" s="150"/>
      <c r="F802" s="151" t="s">
        <v>1086</v>
      </c>
      <c r="G802" s="151" t="s">
        <v>1087</v>
      </c>
      <c r="H802" s="52" t="s">
        <v>731</v>
      </c>
      <c r="I802" s="52" t="s">
        <v>763</v>
      </c>
      <c r="J802" s="54">
        <v>6</v>
      </c>
      <c r="K802" s="38">
        <v>30</v>
      </c>
      <c r="L802" s="35">
        <v>180</v>
      </c>
      <c r="M802" s="54" t="s">
        <v>32</v>
      </c>
      <c r="N802" s="37">
        <v>1</v>
      </c>
      <c r="O802" s="35">
        <v>180</v>
      </c>
      <c r="P802" s="35" t="s">
        <v>33</v>
      </c>
      <c r="Q802" s="97">
        <v>45453</v>
      </c>
      <c r="R802" s="35" t="s">
        <v>62</v>
      </c>
      <c r="S802" s="38"/>
      <c r="T802" s="78">
        <v>1</v>
      </c>
      <c r="U802" s="78" t="s">
        <v>34</v>
      </c>
      <c r="V802" s="78"/>
      <c r="W802" s="78" t="s">
        <v>47</v>
      </c>
      <c r="X802" s="78" t="s">
        <v>3712</v>
      </c>
      <c r="Y802" s="80">
        <v>1</v>
      </c>
      <c r="Z802" s="78" t="s">
        <v>48</v>
      </c>
      <c r="AA802" s="78" t="s">
        <v>225</v>
      </c>
      <c r="AB802" s="78">
        <v>6</v>
      </c>
    </row>
    <row r="803" spans="1:28" x14ac:dyDescent="0.25">
      <c r="A803" t="str">
        <f>IF(EXACT('BOM A320 FFS'!B1102,obsoleta!D803),"OK","ERROR")</f>
        <v>ERROR</v>
      </c>
      <c r="C803" s="51" t="s">
        <v>548</v>
      </c>
      <c r="D803" s="51">
        <v>1128900670000</v>
      </c>
      <c r="E803" s="51"/>
      <c r="F803" s="52" t="s">
        <v>1557</v>
      </c>
      <c r="G803" s="52" t="s">
        <v>1558</v>
      </c>
      <c r="H803" s="52" t="s">
        <v>731</v>
      </c>
      <c r="I803" s="52" t="s">
        <v>763</v>
      </c>
      <c r="J803" s="54">
        <v>30</v>
      </c>
      <c r="K803" s="38">
        <v>3</v>
      </c>
      <c r="L803" s="35">
        <v>90</v>
      </c>
      <c r="M803" s="54" t="s">
        <v>32</v>
      </c>
      <c r="N803" s="37">
        <v>1</v>
      </c>
      <c r="O803" s="35">
        <v>90</v>
      </c>
      <c r="P803" s="35" t="s">
        <v>33</v>
      </c>
      <c r="Q803" s="97">
        <v>45453</v>
      </c>
      <c r="R803" s="35" t="s">
        <v>62</v>
      </c>
      <c r="S803" s="38"/>
      <c r="T803" s="78">
        <v>2</v>
      </c>
      <c r="U803" s="78"/>
      <c r="V803" s="78"/>
      <c r="W803" s="78" t="s">
        <v>47</v>
      </c>
      <c r="X803" s="78" t="s">
        <v>3712</v>
      </c>
      <c r="Y803" s="78">
        <v>1</v>
      </c>
      <c r="Z803" s="78" t="s">
        <v>48</v>
      </c>
      <c r="AA803" s="78" t="s">
        <v>225</v>
      </c>
      <c r="AB803" s="78">
        <v>30</v>
      </c>
    </row>
    <row r="804" spans="1:28" x14ac:dyDescent="0.25">
      <c r="A804" t="str">
        <f>IF(EXACT('BOM A320 FFS'!B1103,obsoleta!D804),"OK","ERROR")</f>
        <v>ERROR</v>
      </c>
      <c r="C804" s="31" t="s">
        <v>286</v>
      </c>
      <c r="D804" s="31" t="s">
        <v>70</v>
      </c>
      <c r="E804" s="31"/>
      <c r="F804" s="52" t="s">
        <v>502</v>
      </c>
      <c r="G804" s="52"/>
      <c r="H804" s="52" t="s">
        <v>504</v>
      </c>
      <c r="I804" s="52"/>
      <c r="J804" s="54">
        <v>1</v>
      </c>
      <c r="K804" s="38">
        <v>600</v>
      </c>
      <c r="L804" s="35">
        <v>600</v>
      </c>
      <c r="M804" s="54" t="s">
        <v>32</v>
      </c>
      <c r="N804" s="37">
        <v>1</v>
      </c>
      <c r="O804" s="35">
        <v>600</v>
      </c>
      <c r="P804" s="35" t="s">
        <v>99</v>
      </c>
      <c r="Q804" s="97">
        <v>45550</v>
      </c>
      <c r="R804" s="35" t="s">
        <v>62</v>
      </c>
      <c r="S804" s="38" t="s">
        <v>505</v>
      </c>
      <c r="T804" s="78">
        <v>2</v>
      </c>
      <c r="U804" s="78"/>
      <c r="V804" s="78"/>
      <c r="W804" s="78" t="s">
        <v>114</v>
      </c>
      <c r="X804" s="78"/>
      <c r="Y804" s="80"/>
      <c r="Z804" s="78"/>
      <c r="AA804" s="78" t="s">
        <v>225</v>
      </c>
      <c r="AB804" s="78"/>
    </row>
    <row r="805" spans="1:28" x14ac:dyDescent="0.25">
      <c r="A805" t="str">
        <f>IF(EXACT('BOM A320 FFS'!B1104,obsoleta!D805),"OK","ERROR")</f>
        <v>ERROR</v>
      </c>
      <c r="C805" s="51" t="s">
        <v>286</v>
      </c>
      <c r="D805" s="51">
        <v>1285001000100</v>
      </c>
      <c r="E805" s="51"/>
      <c r="F805" s="52" t="s">
        <v>524</v>
      </c>
      <c r="G805" s="52" t="s">
        <v>525</v>
      </c>
      <c r="H805" s="52" t="s">
        <v>58</v>
      </c>
      <c r="I805" s="52"/>
      <c r="J805" s="54">
        <v>14</v>
      </c>
      <c r="K805" s="38">
        <v>240</v>
      </c>
      <c r="L805" s="35">
        <v>3360</v>
      </c>
      <c r="M805" s="54" t="s">
        <v>32</v>
      </c>
      <c r="N805" s="37">
        <v>1</v>
      </c>
      <c r="O805" s="35">
        <v>3360</v>
      </c>
      <c r="P805" s="35" t="s">
        <v>33</v>
      </c>
      <c r="Q805" s="97">
        <v>45453</v>
      </c>
      <c r="R805" s="35" t="s">
        <v>62</v>
      </c>
      <c r="S805" s="38"/>
      <c r="T805" s="78">
        <v>2</v>
      </c>
      <c r="U805" s="78"/>
      <c r="V805" s="78"/>
      <c r="W805" s="78" t="s">
        <v>114</v>
      </c>
      <c r="X805" s="78" t="s">
        <v>3713</v>
      </c>
      <c r="Y805" s="80">
        <v>1</v>
      </c>
      <c r="Z805" s="78" t="s">
        <v>48</v>
      </c>
      <c r="AA805" s="78" t="s">
        <v>225</v>
      </c>
      <c r="AB805" s="78">
        <v>15</v>
      </c>
    </row>
    <row r="806" spans="1:28" x14ac:dyDescent="0.25">
      <c r="A806" t="str">
        <f>IF(EXACT('BOM A320 FFS'!B1105,obsoleta!D806),"OK","ERROR")</f>
        <v>ERROR</v>
      </c>
      <c r="C806" s="51" t="s">
        <v>286</v>
      </c>
      <c r="D806" s="51">
        <v>1126690440000</v>
      </c>
      <c r="E806" s="51"/>
      <c r="F806" s="52" t="s">
        <v>758</v>
      </c>
      <c r="G806" s="52" t="s">
        <v>759</v>
      </c>
      <c r="H806" s="52" t="s">
        <v>58</v>
      </c>
      <c r="I806" s="52"/>
      <c r="J806" s="54">
        <v>3</v>
      </c>
      <c r="K806" s="38">
        <v>50</v>
      </c>
      <c r="L806" s="35">
        <v>150</v>
      </c>
      <c r="M806" s="54" t="s">
        <v>32</v>
      </c>
      <c r="N806" s="37">
        <v>1</v>
      </c>
      <c r="O806" s="35">
        <v>150</v>
      </c>
      <c r="P806" s="35" t="s">
        <v>33</v>
      </c>
      <c r="Q806" s="97">
        <v>45453</v>
      </c>
      <c r="R806" s="35" t="s">
        <v>62</v>
      </c>
      <c r="S806" s="38"/>
      <c r="T806" s="78">
        <v>2</v>
      </c>
      <c r="U806" s="78"/>
      <c r="V806" s="78"/>
      <c r="W806" s="78" t="s">
        <v>114</v>
      </c>
      <c r="X806" s="78" t="s">
        <v>3713</v>
      </c>
      <c r="Y806" s="80">
        <v>1</v>
      </c>
      <c r="Z806" s="78" t="s">
        <v>48</v>
      </c>
      <c r="AA806" s="78" t="s">
        <v>225</v>
      </c>
      <c r="AB806" s="78">
        <v>3</v>
      </c>
    </row>
    <row r="807" spans="1:28" x14ac:dyDescent="0.25">
      <c r="A807" t="str">
        <f>IF(EXACT('BOM A320 FFS'!B1106,obsoleta!D807),"OK","ERROR")</f>
        <v>ERROR</v>
      </c>
      <c r="C807" s="51" t="s">
        <v>286</v>
      </c>
      <c r="D807" s="51">
        <v>1146002242500</v>
      </c>
      <c r="E807" s="51"/>
      <c r="F807" s="52" t="s">
        <v>656</v>
      </c>
      <c r="G807" s="52" t="s">
        <v>657</v>
      </c>
      <c r="H807" s="52" t="s">
        <v>58</v>
      </c>
      <c r="I807" s="52"/>
      <c r="J807" s="54">
        <v>3</v>
      </c>
      <c r="K807" s="38">
        <v>90</v>
      </c>
      <c r="L807" s="35">
        <v>270</v>
      </c>
      <c r="M807" s="54" t="s">
        <v>32</v>
      </c>
      <c r="N807" s="37">
        <v>1</v>
      </c>
      <c r="O807" s="35">
        <v>270</v>
      </c>
      <c r="P807" s="35" t="s">
        <v>33</v>
      </c>
      <c r="Q807" s="97">
        <v>45453</v>
      </c>
      <c r="R807" s="35" t="s">
        <v>62</v>
      </c>
      <c r="S807" s="38"/>
      <c r="T807" s="78">
        <v>2</v>
      </c>
      <c r="U807" s="78"/>
      <c r="V807" s="78"/>
      <c r="W807" s="78" t="s">
        <v>114</v>
      </c>
      <c r="X807" s="78" t="s">
        <v>3713</v>
      </c>
      <c r="Y807" s="80">
        <v>1</v>
      </c>
      <c r="Z807" s="78" t="s">
        <v>48</v>
      </c>
      <c r="AA807" s="78" t="s">
        <v>225</v>
      </c>
      <c r="AB807" s="78">
        <v>3</v>
      </c>
    </row>
    <row r="808" spans="1:28" x14ac:dyDescent="0.25">
      <c r="A808" t="str">
        <f>IF(EXACT('BOM A320 FFS'!B1107,obsoleta!D808),"OK","ERROR")</f>
        <v>ERROR</v>
      </c>
      <c r="C808" s="51" t="s">
        <v>286</v>
      </c>
      <c r="D808" s="51">
        <v>1351705469000</v>
      </c>
      <c r="E808" s="51"/>
      <c r="F808" s="52" t="s">
        <v>288</v>
      </c>
      <c r="G808" s="52" t="s">
        <v>289</v>
      </c>
      <c r="H808" s="52" t="s">
        <v>58</v>
      </c>
      <c r="I808" s="52"/>
      <c r="J808" s="54">
        <v>1</v>
      </c>
      <c r="K808" s="38">
        <v>2000</v>
      </c>
      <c r="L808" s="35">
        <v>2000</v>
      </c>
      <c r="M808" s="54" t="s">
        <v>32</v>
      </c>
      <c r="N808" s="37">
        <v>1</v>
      </c>
      <c r="O808" s="35">
        <v>2000</v>
      </c>
      <c r="P808" s="35" t="s">
        <v>33</v>
      </c>
      <c r="Q808" s="97">
        <v>45453</v>
      </c>
      <c r="R808" s="35" t="s">
        <v>62</v>
      </c>
      <c r="S808" s="38"/>
      <c r="T808" s="78">
        <v>2</v>
      </c>
      <c r="U808" s="78"/>
      <c r="V808" s="78"/>
      <c r="W808" s="78" t="s">
        <v>114</v>
      </c>
      <c r="X808" s="78" t="s">
        <v>3713</v>
      </c>
      <c r="Y808" s="80">
        <v>1</v>
      </c>
      <c r="Z808" s="78" t="s">
        <v>48</v>
      </c>
      <c r="AA808" s="78" t="s">
        <v>225</v>
      </c>
      <c r="AB808" s="78">
        <v>1</v>
      </c>
    </row>
    <row r="809" spans="1:28" x14ac:dyDescent="0.25">
      <c r="A809" t="str">
        <f>IF(EXACT('BOM A320 FFS'!B1108,obsoleta!D809),"OK","ERROR")</f>
        <v>ERROR</v>
      </c>
      <c r="C809" s="51" t="s">
        <v>286</v>
      </c>
      <c r="D809" s="51">
        <v>1261121205001</v>
      </c>
      <c r="E809" s="51"/>
      <c r="F809" s="52" t="s">
        <v>1271</v>
      </c>
      <c r="G809" s="52" t="s">
        <v>1272</v>
      </c>
      <c r="H809" s="52" t="s">
        <v>58</v>
      </c>
      <c r="I809" s="52"/>
      <c r="J809" s="54">
        <v>2</v>
      </c>
      <c r="K809" s="38">
        <v>15</v>
      </c>
      <c r="L809" s="35">
        <v>30</v>
      </c>
      <c r="M809" s="54" t="s">
        <v>32</v>
      </c>
      <c r="N809" s="37">
        <v>1</v>
      </c>
      <c r="O809" s="35">
        <v>30</v>
      </c>
      <c r="P809" s="35" t="s">
        <v>33</v>
      </c>
      <c r="Q809" s="97">
        <v>45453</v>
      </c>
      <c r="R809" s="35" t="s">
        <v>62</v>
      </c>
      <c r="S809" s="38"/>
      <c r="T809" s="78">
        <v>2</v>
      </c>
      <c r="U809" s="78"/>
      <c r="V809" s="78"/>
      <c r="W809" s="78" t="s">
        <v>114</v>
      </c>
      <c r="X809" s="78" t="s">
        <v>3713</v>
      </c>
      <c r="Y809" s="80">
        <v>1</v>
      </c>
      <c r="Z809" s="78" t="s">
        <v>48</v>
      </c>
      <c r="AA809" s="78" t="s">
        <v>225</v>
      </c>
      <c r="AB809" s="78">
        <v>2</v>
      </c>
    </row>
    <row r="810" spans="1:28" x14ac:dyDescent="0.25">
      <c r="A810" t="str">
        <f>IF(EXACT('BOM A320 FFS'!B1109,obsoleta!D810),"OK","ERROR")</f>
        <v>ERROR</v>
      </c>
      <c r="C810" s="51" t="s">
        <v>286</v>
      </c>
      <c r="D810" s="51">
        <v>1285000449000</v>
      </c>
      <c r="E810" s="51"/>
      <c r="F810" s="52" t="s">
        <v>1563</v>
      </c>
      <c r="G810" s="52" t="s">
        <v>1564</v>
      </c>
      <c r="H810" s="52" t="s">
        <v>58</v>
      </c>
      <c r="I810" s="52"/>
      <c r="J810" s="54">
        <v>14</v>
      </c>
      <c r="K810" s="38">
        <v>3</v>
      </c>
      <c r="L810" s="35">
        <v>42</v>
      </c>
      <c r="M810" s="54" t="s">
        <v>32</v>
      </c>
      <c r="N810" s="37">
        <v>1</v>
      </c>
      <c r="O810" s="35">
        <v>42</v>
      </c>
      <c r="P810" s="35" t="s">
        <v>33</v>
      </c>
      <c r="Q810" s="97">
        <v>45453</v>
      </c>
      <c r="R810" s="35" t="s">
        <v>62</v>
      </c>
      <c r="S810" s="38"/>
      <c r="T810" s="78">
        <v>2</v>
      </c>
      <c r="U810" s="78"/>
      <c r="V810" s="78"/>
      <c r="W810" s="78" t="s">
        <v>114</v>
      </c>
      <c r="X810" s="78" t="s">
        <v>3713</v>
      </c>
      <c r="Y810" s="80">
        <v>1</v>
      </c>
      <c r="Z810" s="78" t="s">
        <v>48</v>
      </c>
      <c r="AA810" s="78" t="s">
        <v>225</v>
      </c>
      <c r="AB810" s="78">
        <v>15</v>
      </c>
    </row>
    <row r="811" spans="1:28" x14ac:dyDescent="0.25">
      <c r="A811" t="str">
        <f>IF(EXACT('BOM A320 FFS'!B1110,obsoleta!D811),"OK","ERROR")</f>
        <v>ERROR</v>
      </c>
      <c r="C811" s="51" t="s">
        <v>286</v>
      </c>
      <c r="D811" s="51">
        <v>1237525872000</v>
      </c>
      <c r="E811" s="51"/>
      <c r="F811" s="52" t="s">
        <v>1456</v>
      </c>
      <c r="G811" s="52" t="s">
        <v>1457</v>
      </c>
      <c r="H811" s="52" t="s">
        <v>58</v>
      </c>
      <c r="I811" s="52"/>
      <c r="J811" s="54">
        <v>3</v>
      </c>
      <c r="K811" s="38">
        <v>5</v>
      </c>
      <c r="L811" s="35">
        <v>15</v>
      </c>
      <c r="M811" s="54" t="s">
        <v>32</v>
      </c>
      <c r="N811" s="37">
        <v>1</v>
      </c>
      <c r="O811" s="35">
        <v>15</v>
      </c>
      <c r="P811" s="35" t="s">
        <v>33</v>
      </c>
      <c r="Q811" s="97">
        <v>45453</v>
      </c>
      <c r="R811" s="35" t="s">
        <v>62</v>
      </c>
      <c r="S811" s="38"/>
      <c r="T811" s="78">
        <v>2</v>
      </c>
      <c r="U811" s="78"/>
      <c r="V811" s="78"/>
      <c r="W811" s="78" t="s">
        <v>114</v>
      </c>
      <c r="X811" s="78" t="s">
        <v>3713</v>
      </c>
      <c r="Y811" s="80">
        <v>1</v>
      </c>
      <c r="Z811" s="78" t="s">
        <v>48</v>
      </c>
      <c r="AA811" s="78" t="s">
        <v>225</v>
      </c>
      <c r="AB811" s="78">
        <v>3</v>
      </c>
    </row>
    <row r="812" spans="1:28" x14ac:dyDescent="0.25">
      <c r="A812" t="str">
        <f>IF(EXACT('BOM A320 FFS'!B1111,obsoleta!D812),"OK","ERROR")</f>
        <v>ERROR</v>
      </c>
      <c r="C812" s="51" t="s">
        <v>286</v>
      </c>
      <c r="D812" s="51">
        <v>1390800921002</v>
      </c>
      <c r="E812" s="51"/>
      <c r="F812" s="52" t="s">
        <v>1114</v>
      </c>
      <c r="G812" s="52" t="s">
        <v>1115</v>
      </c>
      <c r="H812" s="52" t="s">
        <v>58</v>
      </c>
      <c r="I812" s="52"/>
      <c r="J812" s="54">
        <v>1</v>
      </c>
      <c r="K812" s="38">
        <v>30</v>
      </c>
      <c r="L812" s="35">
        <v>30</v>
      </c>
      <c r="M812" s="54" t="s">
        <v>32</v>
      </c>
      <c r="N812" s="37">
        <v>1</v>
      </c>
      <c r="O812" s="35">
        <v>30</v>
      </c>
      <c r="P812" s="35" t="s">
        <v>33</v>
      </c>
      <c r="Q812" s="97">
        <v>45453</v>
      </c>
      <c r="R812" s="35" t="s">
        <v>62</v>
      </c>
      <c r="S812" s="38"/>
      <c r="T812" s="78">
        <v>2</v>
      </c>
      <c r="U812" s="78"/>
      <c r="V812" s="78"/>
      <c r="W812" s="78" t="s">
        <v>114</v>
      </c>
      <c r="X812" s="78" t="s">
        <v>3713</v>
      </c>
      <c r="Y812" s="80">
        <v>1</v>
      </c>
      <c r="Z812" s="78" t="s">
        <v>48</v>
      </c>
      <c r="AA812" s="78" t="s">
        <v>225</v>
      </c>
      <c r="AB812" s="78">
        <v>1</v>
      </c>
    </row>
    <row r="813" spans="1:28" x14ac:dyDescent="0.25">
      <c r="A813" t="str">
        <f>IF(EXACT('BOM A320 FFS'!B1112,obsoleta!D813),"OK","ERROR")</f>
        <v>ERROR</v>
      </c>
      <c r="C813" s="51" t="s">
        <v>286</v>
      </c>
      <c r="D813" s="51">
        <v>1390800921000</v>
      </c>
      <c r="E813" s="51"/>
      <c r="F813" s="52" t="s">
        <v>1117</v>
      </c>
      <c r="G813" s="52" t="s">
        <v>1118</v>
      </c>
      <c r="H813" s="52" t="s">
        <v>58</v>
      </c>
      <c r="I813" s="52"/>
      <c r="J813" s="54">
        <v>1</v>
      </c>
      <c r="K813" s="38">
        <v>30</v>
      </c>
      <c r="L813" s="35">
        <v>30</v>
      </c>
      <c r="M813" s="54" t="s">
        <v>32</v>
      </c>
      <c r="N813" s="37">
        <v>1</v>
      </c>
      <c r="O813" s="35">
        <v>30</v>
      </c>
      <c r="P813" s="35" t="s">
        <v>33</v>
      </c>
      <c r="Q813" s="97">
        <v>45453</v>
      </c>
      <c r="R813" s="35" t="s">
        <v>62</v>
      </c>
      <c r="S813" s="38"/>
      <c r="T813" s="78">
        <v>2</v>
      </c>
      <c r="U813" s="78"/>
      <c r="V813" s="78"/>
      <c r="W813" s="78" t="s">
        <v>114</v>
      </c>
      <c r="X813" s="78" t="s">
        <v>3713</v>
      </c>
      <c r="Y813" s="80">
        <v>1</v>
      </c>
      <c r="Z813" s="78" t="s">
        <v>48</v>
      </c>
      <c r="AA813" s="78" t="s">
        <v>225</v>
      </c>
      <c r="AB813" s="78">
        <v>2</v>
      </c>
    </row>
    <row r="814" spans="1:28" x14ac:dyDescent="0.25">
      <c r="A814" t="str">
        <f>IF(EXACT('BOM A320 FFS'!B1114,obsoleta!D814),"OK","ERROR")</f>
        <v>ERROR</v>
      </c>
      <c r="C814" s="51" t="s">
        <v>286</v>
      </c>
      <c r="D814" s="51">
        <v>1351708680400</v>
      </c>
      <c r="E814" s="51"/>
      <c r="F814" s="52" t="s">
        <v>451</v>
      </c>
      <c r="G814" s="52">
        <v>600570</v>
      </c>
      <c r="H814" s="52" t="s">
        <v>452</v>
      </c>
      <c r="I814" s="52"/>
      <c r="J814" s="54">
        <v>2</v>
      </c>
      <c r="K814" s="38">
        <v>400</v>
      </c>
      <c r="L814" s="35">
        <v>800</v>
      </c>
      <c r="M814" s="54" t="s">
        <v>32</v>
      </c>
      <c r="N814" s="37">
        <v>1</v>
      </c>
      <c r="O814" s="35">
        <v>800</v>
      </c>
      <c r="P814" s="35" t="s">
        <v>33</v>
      </c>
      <c r="Q814" s="97">
        <v>45453</v>
      </c>
      <c r="R814" s="35" t="s">
        <v>62</v>
      </c>
      <c r="S814" s="38"/>
      <c r="T814" s="78">
        <v>2</v>
      </c>
      <c r="U814" s="78"/>
      <c r="V814" s="78"/>
      <c r="W814" s="78" t="s">
        <v>114</v>
      </c>
      <c r="X814" s="78" t="s">
        <v>3713</v>
      </c>
      <c r="Y814" s="80">
        <v>1</v>
      </c>
      <c r="Z814" s="78" t="s">
        <v>48</v>
      </c>
      <c r="AA814" s="78" t="s">
        <v>225</v>
      </c>
      <c r="AB814" s="78">
        <v>2</v>
      </c>
    </row>
    <row r="815" spans="1:28" x14ac:dyDescent="0.25">
      <c r="A815" t="str">
        <f>IF(EXACT('BOM A320 FFS'!B1116,obsoleta!D815),"OK","ERROR")</f>
        <v>ERROR</v>
      </c>
      <c r="C815" s="51" t="s">
        <v>286</v>
      </c>
      <c r="D815" s="51">
        <v>1282001480200</v>
      </c>
      <c r="E815" s="51"/>
      <c r="F815" s="52" t="s">
        <v>666</v>
      </c>
      <c r="G815" s="52">
        <v>600329</v>
      </c>
      <c r="H815" s="52" t="s">
        <v>452</v>
      </c>
      <c r="I815" s="52"/>
      <c r="J815" s="54">
        <v>12</v>
      </c>
      <c r="K815" s="38">
        <v>80</v>
      </c>
      <c r="L815" s="35">
        <v>960</v>
      </c>
      <c r="M815" s="54" t="s">
        <v>32</v>
      </c>
      <c r="N815" s="37">
        <v>1</v>
      </c>
      <c r="O815" s="35">
        <v>960</v>
      </c>
      <c r="P815" s="35" t="s">
        <v>33</v>
      </c>
      <c r="Q815" s="97">
        <v>45453</v>
      </c>
      <c r="R815" s="35" t="s">
        <v>62</v>
      </c>
      <c r="S815" s="38"/>
      <c r="T815" s="78">
        <v>2</v>
      </c>
      <c r="U815" s="78"/>
      <c r="V815" s="78"/>
      <c r="W815" s="78" t="s">
        <v>114</v>
      </c>
      <c r="X815" s="78" t="s">
        <v>3713</v>
      </c>
      <c r="Y815" s="80">
        <v>1</v>
      </c>
      <c r="Z815" s="78" t="s">
        <v>48</v>
      </c>
      <c r="AA815" s="78" t="s">
        <v>225</v>
      </c>
      <c r="AB815" s="78">
        <v>15</v>
      </c>
    </row>
    <row r="816" spans="1:28" x14ac:dyDescent="0.25">
      <c r="A816" t="str">
        <f>IF(EXACT('BOM A320 FFS'!B1117,obsoleta!D816),"OK","ERROR")</f>
        <v>ERROR</v>
      </c>
      <c r="C816" s="51" t="s">
        <v>286</v>
      </c>
      <c r="D816" s="51">
        <v>1282001480400</v>
      </c>
      <c r="E816" s="51"/>
      <c r="F816" s="52" t="s">
        <v>1028</v>
      </c>
      <c r="G816" s="52">
        <v>600585</v>
      </c>
      <c r="H816" s="52" t="s">
        <v>452</v>
      </c>
      <c r="I816" s="52"/>
      <c r="J816" s="54">
        <v>2</v>
      </c>
      <c r="K816" s="38">
        <v>40</v>
      </c>
      <c r="L816" s="35">
        <v>80</v>
      </c>
      <c r="M816" s="54" t="s">
        <v>32</v>
      </c>
      <c r="N816" s="37">
        <v>1</v>
      </c>
      <c r="O816" s="35">
        <v>80</v>
      </c>
      <c r="P816" s="35" t="s">
        <v>33</v>
      </c>
      <c r="Q816" s="97">
        <v>45453</v>
      </c>
      <c r="R816" s="35" t="s">
        <v>62</v>
      </c>
      <c r="S816" s="38"/>
      <c r="T816" s="78">
        <v>2</v>
      </c>
      <c r="U816" s="78"/>
      <c r="V816" s="78"/>
      <c r="W816" s="78" t="s">
        <v>114</v>
      </c>
      <c r="X816" s="78" t="s">
        <v>3713</v>
      </c>
      <c r="Y816" s="80">
        <v>1</v>
      </c>
      <c r="Z816" s="78" t="s">
        <v>48</v>
      </c>
      <c r="AA816" s="78" t="s">
        <v>225</v>
      </c>
      <c r="AB816" s="78">
        <v>2</v>
      </c>
    </row>
    <row r="817" spans="1:28" x14ac:dyDescent="0.25">
      <c r="A817" t="str">
        <f>IF(EXACT('BOM A320 FFS'!B1118,obsoleta!D817),"OK","ERROR")</f>
        <v>ERROR</v>
      </c>
      <c r="C817" s="51" t="s">
        <v>286</v>
      </c>
      <c r="D817" s="51">
        <v>1309005060200</v>
      </c>
      <c r="E817" s="51"/>
      <c r="F817" s="52" t="s">
        <v>1030</v>
      </c>
      <c r="G817" s="52">
        <v>600356</v>
      </c>
      <c r="H817" s="52" t="s">
        <v>452</v>
      </c>
      <c r="I817" s="52"/>
      <c r="J817" s="54">
        <v>2</v>
      </c>
      <c r="K817" s="38">
        <v>40</v>
      </c>
      <c r="L817" s="35">
        <v>80</v>
      </c>
      <c r="M817" s="54" t="s">
        <v>32</v>
      </c>
      <c r="N817" s="37">
        <v>1</v>
      </c>
      <c r="O817" s="35">
        <v>80</v>
      </c>
      <c r="P817" s="35" t="s">
        <v>33</v>
      </c>
      <c r="Q817" s="97">
        <v>45453</v>
      </c>
      <c r="R817" s="35" t="s">
        <v>62</v>
      </c>
      <c r="S817" s="38"/>
      <c r="T817" s="78">
        <v>2</v>
      </c>
      <c r="U817" s="78"/>
      <c r="V817" s="78"/>
      <c r="W817" s="78" t="s">
        <v>114</v>
      </c>
      <c r="X817" s="78" t="s">
        <v>3713</v>
      </c>
      <c r="Y817" s="80">
        <v>1</v>
      </c>
      <c r="Z817" s="78" t="s">
        <v>48</v>
      </c>
      <c r="AA817" s="78" t="s">
        <v>225</v>
      </c>
      <c r="AB817" s="78">
        <v>2</v>
      </c>
    </row>
    <row r="818" spans="1:28" x14ac:dyDescent="0.25">
      <c r="A818" t="str">
        <f>IF(EXACT('BOM A320 FFS'!B1119,obsoleta!D818),"OK","ERROR")</f>
        <v>ERROR</v>
      </c>
      <c r="C818" s="51" t="s">
        <v>286</v>
      </c>
      <c r="D818" s="51">
        <v>1289980760100</v>
      </c>
      <c r="E818" s="51"/>
      <c r="F818" s="52" t="s">
        <v>726</v>
      </c>
      <c r="G818" s="52">
        <v>600488</v>
      </c>
      <c r="H818" s="52" t="s">
        <v>452</v>
      </c>
      <c r="I818" s="52"/>
      <c r="J818" s="54">
        <v>4</v>
      </c>
      <c r="K818" s="38">
        <v>60</v>
      </c>
      <c r="L818" s="35">
        <v>240</v>
      </c>
      <c r="M818" s="54" t="s">
        <v>32</v>
      </c>
      <c r="N818" s="37">
        <v>1</v>
      </c>
      <c r="O818" s="35">
        <v>240</v>
      </c>
      <c r="P818" s="35" t="s">
        <v>33</v>
      </c>
      <c r="Q818" s="97">
        <v>45453</v>
      </c>
      <c r="R818" s="35" t="s">
        <v>62</v>
      </c>
      <c r="S818" s="38"/>
      <c r="T818" s="78">
        <v>2</v>
      </c>
      <c r="U818" s="78"/>
      <c r="V818" s="78"/>
      <c r="W818" s="78" t="s">
        <v>114</v>
      </c>
      <c r="X818" s="78" t="s">
        <v>3713</v>
      </c>
      <c r="Y818" s="80">
        <v>1</v>
      </c>
      <c r="Z818" s="78" t="s">
        <v>48</v>
      </c>
      <c r="AA818" s="78" t="s">
        <v>225</v>
      </c>
      <c r="AB818" s="78">
        <v>4</v>
      </c>
    </row>
    <row r="819" spans="1:28" x14ac:dyDescent="0.25">
      <c r="A819" t="str">
        <f>IF(EXACT('BOM A320 FFS'!B1120,obsoleta!D819),"OK","ERROR")</f>
        <v>ERROR</v>
      </c>
      <c r="C819" s="51" t="s">
        <v>286</v>
      </c>
      <c r="D819" s="51">
        <v>1229500280000</v>
      </c>
      <c r="E819" s="51"/>
      <c r="F819" s="52" t="s">
        <v>1339</v>
      </c>
      <c r="G819" s="52" t="s">
        <v>1340</v>
      </c>
      <c r="H819" s="52" t="s">
        <v>452</v>
      </c>
      <c r="I819" s="52"/>
      <c r="J819" s="54">
        <v>3</v>
      </c>
      <c r="K819" s="38">
        <v>10</v>
      </c>
      <c r="L819" s="35">
        <v>30</v>
      </c>
      <c r="M819" s="54" t="s">
        <v>32</v>
      </c>
      <c r="N819" s="37">
        <v>1</v>
      </c>
      <c r="O819" s="35">
        <v>30</v>
      </c>
      <c r="P819" s="35" t="s">
        <v>33</v>
      </c>
      <c r="Q819" s="97">
        <v>45453</v>
      </c>
      <c r="R819" s="35" t="s">
        <v>62</v>
      </c>
      <c r="S819" s="38"/>
      <c r="T819" s="78">
        <v>2</v>
      </c>
      <c r="U819" s="78"/>
      <c r="V819" s="78"/>
      <c r="W819" s="78" t="s">
        <v>114</v>
      </c>
      <c r="X819" s="78" t="s">
        <v>3713</v>
      </c>
      <c r="Y819" s="80">
        <v>1</v>
      </c>
      <c r="Z819" s="78" t="s">
        <v>48</v>
      </c>
      <c r="AA819" s="78" t="s">
        <v>225</v>
      </c>
      <c r="AB819" s="78">
        <v>3</v>
      </c>
    </row>
    <row r="820" spans="1:28" x14ac:dyDescent="0.25">
      <c r="A820" t="str">
        <f>IF(EXACT('BOM A320 FFS'!B1121,obsoleta!D820),"OK","ERROR")</f>
        <v>ERROR</v>
      </c>
      <c r="C820" s="51" t="s">
        <v>286</v>
      </c>
      <c r="D820" s="51">
        <v>1229500280101</v>
      </c>
      <c r="E820" s="51"/>
      <c r="F820" s="52" t="s">
        <v>1262</v>
      </c>
      <c r="G820" s="52" t="s">
        <v>1263</v>
      </c>
      <c r="H820" s="52"/>
      <c r="I820" s="52"/>
      <c r="J820" s="54">
        <v>12</v>
      </c>
      <c r="K820" s="38">
        <v>15</v>
      </c>
      <c r="L820" s="35">
        <v>180</v>
      </c>
      <c r="M820" s="54" t="s">
        <v>32</v>
      </c>
      <c r="N820" s="37">
        <v>1</v>
      </c>
      <c r="O820" s="35">
        <v>180</v>
      </c>
      <c r="P820" s="35" t="s">
        <v>33</v>
      </c>
      <c r="Q820" s="97">
        <v>45453</v>
      </c>
      <c r="R820" s="35" t="s">
        <v>62</v>
      </c>
      <c r="S820" s="38"/>
      <c r="T820" s="78">
        <v>2</v>
      </c>
      <c r="U820" s="78"/>
      <c r="V820" s="78"/>
      <c r="W820" s="78" t="s">
        <v>114</v>
      </c>
      <c r="X820" s="78" t="s">
        <v>3713</v>
      </c>
      <c r="Y820" s="80">
        <v>1</v>
      </c>
      <c r="Z820" s="78" t="s">
        <v>48</v>
      </c>
      <c r="AA820" s="78" t="s">
        <v>225</v>
      </c>
      <c r="AB820" s="78">
        <v>12</v>
      </c>
    </row>
    <row r="821" spans="1:28" x14ac:dyDescent="0.25">
      <c r="A821" t="str">
        <f>IF(EXACT('BOM A320 FFS'!B1122,obsoleta!D821),"OK","ERROR")</f>
        <v>ERROR</v>
      </c>
      <c r="C821" s="51" t="s">
        <v>286</v>
      </c>
      <c r="D821" s="51">
        <v>1222700280000</v>
      </c>
      <c r="E821" s="51"/>
      <c r="F821" s="52" t="s">
        <v>765</v>
      </c>
      <c r="G821" s="52" t="s">
        <v>766</v>
      </c>
      <c r="H821" s="52"/>
      <c r="I821" s="52"/>
      <c r="J821" s="54">
        <v>2</v>
      </c>
      <c r="K821" s="38">
        <v>50</v>
      </c>
      <c r="L821" s="35">
        <v>100</v>
      </c>
      <c r="M821" s="54" t="s">
        <v>32</v>
      </c>
      <c r="N821" s="37">
        <v>1</v>
      </c>
      <c r="O821" s="35">
        <v>100</v>
      </c>
      <c r="P821" s="35" t="s">
        <v>33</v>
      </c>
      <c r="Q821" s="97">
        <v>45453</v>
      </c>
      <c r="R821" s="35" t="s">
        <v>62</v>
      </c>
      <c r="S821" s="38"/>
      <c r="T821" s="78">
        <v>2</v>
      </c>
      <c r="U821" s="78"/>
      <c r="V821" s="78"/>
      <c r="W821" s="78" t="s">
        <v>114</v>
      </c>
      <c r="X821" s="78" t="s">
        <v>3713</v>
      </c>
      <c r="Y821" s="80">
        <v>1</v>
      </c>
      <c r="Z821" s="78" t="s">
        <v>48</v>
      </c>
      <c r="AA821" s="78" t="s">
        <v>225</v>
      </c>
      <c r="AB821" s="78">
        <v>2</v>
      </c>
    </row>
    <row r="822" spans="1:28" x14ac:dyDescent="0.25">
      <c r="A822" t="str">
        <f>IF(EXACT('BOM A320 FFS'!B1123,obsoleta!D822),"OK","ERROR")</f>
        <v>ERROR</v>
      </c>
      <c r="C822" s="51" t="s">
        <v>286</v>
      </c>
      <c r="D822" s="51">
        <v>1207000640100</v>
      </c>
      <c r="E822" s="51"/>
      <c r="F822" s="52" t="s">
        <v>1766</v>
      </c>
      <c r="G822" s="52" t="s">
        <v>1767</v>
      </c>
      <c r="H822" s="52"/>
      <c r="I822" s="52"/>
      <c r="J822" s="54">
        <v>100</v>
      </c>
      <c r="K822" s="38">
        <v>1</v>
      </c>
      <c r="L822" s="35">
        <v>100</v>
      </c>
      <c r="M822" s="54" t="s">
        <v>32</v>
      </c>
      <c r="N822" s="37">
        <v>1</v>
      </c>
      <c r="O822" s="35">
        <v>100</v>
      </c>
      <c r="P822" s="35" t="s">
        <v>33</v>
      </c>
      <c r="Q822" s="97">
        <v>45453</v>
      </c>
      <c r="R822" s="35" t="s">
        <v>62</v>
      </c>
      <c r="S822" s="38"/>
      <c r="T822" s="78">
        <v>2</v>
      </c>
      <c r="U822" s="78"/>
      <c r="V822" s="78"/>
      <c r="W822" s="78" t="s">
        <v>114</v>
      </c>
      <c r="X822" s="78" t="s">
        <v>3713</v>
      </c>
      <c r="Y822" s="80">
        <v>1</v>
      </c>
      <c r="Z822" s="78" t="s">
        <v>48</v>
      </c>
      <c r="AA822" s="78" t="s">
        <v>225</v>
      </c>
      <c r="AB822" s="78">
        <v>100</v>
      </c>
    </row>
    <row r="823" spans="1:28" x14ac:dyDescent="0.25">
      <c r="A823" t="str">
        <f>IF(EXACT('BOM A320 FFS'!B1124,obsoleta!D823),"OK","ERROR")</f>
        <v>ERROR</v>
      </c>
      <c r="C823" s="51" t="s">
        <v>286</v>
      </c>
      <c r="D823" s="51">
        <v>1807901190100</v>
      </c>
      <c r="E823" s="51"/>
      <c r="F823" s="52" t="s">
        <v>1008</v>
      </c>
      <c r="G823" s="52" t="s">
        <v>1009</v>
      </c>
      <c r="H823" s="52"/>
      <c r="I823" s="52"/>
      <c r="J823" s="54">
        <v>1</v>
      </c>
      <c r="K823" s="38">
        <v>45</v>
      </c>
      <c r="L823" s="35">
        <v>45</v>
      </c>
      <c r="M823" s="54" t="s">
        <v>32</v>
      </c>
      <c r="N823" s="37">
        <v>1</v>
      </c>
      <c r="O823" s="35">
        <v>45</v>
      </c>
      <c r="P823" s="35" t="s">
        <v>33</v>
      </c>
      <c r="Q823" s="97">
        <v>45453</v>
      </c>
      <c r="R823" s="35" t="s">
        <v>62</v>
      </c>
      <c r="S823" s="38"/>
      <c r="T823" s="78">
        <v>2</v>
      </c>
      <c r="U823" s="78"/>
      <c r="V823" s="78"/>
      <c r="W823" s="78" t="s">
        <v>114</v>
      </c>
      <c r="X823" s="78" t="s">
        <v>3713</v>
      </c>
      <c r="Y823" s="78">
        <v>1</v>
      </c>
      <c r="Z823" s="78" t="s">
        <v>48</v>
      </c>
      <c r="AA823" s="78" t="s">
        <v>225</v>
      </c>
      <c r="AB823" s="78">
        <v>1</v>
      </c>
    </row>
    <row r="824" spans="1:28" x14ac:dyDescent="0.25">
      <c r="A824" t="str">
        <f>IF(EXACT('BOM A320 FFS'!B1126,obsoleta!D824),"OK","ERROR")</f>
        <v>OK</v>
      </c>
      <c r="C824" s="51"/>
      <c r="D824" s="51"/>
      <c r="E824" s="51"/>
      <c r="F824" s="52"/>
      <c r="G824" s="52"/>
      <c r="H824" s="32"/>
      <c r="I824" s="32"/>
      <c r="J824" s="33"/>
      <c r="K824" s="34"/>
      <c r="L824" s="35">
        <v>0</v>
      </c>
      <c r="M824" s="36" t="s">
        <v>32</v>
      </c>
      <c r="N824" s="37">
        <v>1</v>
      </c>
      <c r="O824" s="35">
        <v>0</v>
      </c>
      <c r="P824" s="35"/>
      <c r="Q824" s="97"/>
      <c r="R824" s="35"/>
      <c r="S824" s="38"/>
      <c r="T824" s="78"/>
      <c r="U824" s="78"/>
      <c r="V824" s="78"/>
      <c r="W824" s="78"/>
      <c r="X824" s="78"/>
      <c r="Y824" s="78"/>
      <c r="Z824" s="78"/>
      <c r="AA824" s="78" t="s">
        <v>225</v>
      </c>
      <c r="AB824" s="78"/>
    </row>
    <row r="825" spans="1:28" x14ac:dyDescent="0.25">
      <c r="A825" t="str">
        <f>IF(EXACT('BOM A320 FFS'!B1127,obsoleta!D825),"OK","ERROR")</f>
        <v>ERROR</v>
      </c>
      <c r="C825" s="48"/>
      <c r="D825" s="48" t="s">
        <v>3186</v>
      </c>
      <c r="E825" s="48"/>
      <c r="F825" s="32"/>
      <c r="G825" s="32"/>
      <c r="H825" s="32"/>
      <c r="I825" s="32"/>
      <c r="J825" s="33"/>
      <c r="K825" s="34"/>
      <c r="L825" s="35">
        <v>0</v>
      </c>
      <c r="M825" s="36" t="s">
        <v>32</v>
      </c>
      <c r="N825" s="37">
        <v>1</v>
      </c>
      <c r="O825" s="35">
        <v>0</v>
      </c>
      <c r="P825" s="35"/>
      <c r="Q825" s="97"/>
      <c r="R825" s="35"/>
      <c r="S825" s="38"/>
      <c r="T825" s="78"/>
      <c r="U825" s="78"/>
      <c r="V825" s="78"/>
      <c r="W825" s="78"/>
      <c r="X825" s="78"/>
      <c r="Y825" s="78"/>
      <c r="Z825" s="78"/>
      <c r="AA825" s="78" t="s">
        <v>225</v>
      </c>
      <c r="AB825" s="78"/>
    </row>
    <row r="826" spans="1:28" x14ac:dyDescent="0.25">
      <c r="A826" t="str">
        <f>IF(EXACT('BOM A320 FFS'!B1133,obsoleta!D826),"OK","ERROR")</f>
        <v>ERROR</v>
      </c>
      <c r="C826" s="31" t="s">
        <v>108</v>
      </c>
      <c r="D826" s="71">
        <v>1136090086600</v>
      </c>
      <c r="E826" s="71"/>
      <c r="F826" s="32" t="s">
        <v>2729</v>
      </c>
      <c r="G826" s="32" t="s">
        <v>2730</v>
      </c>
      <c r="H826" s="32"/>
      <c r="I826" s="32"/>
      <c r="J826" s="33">
        <v>1</v>
      </c>
      <c r="K826" s="34"/>
      <c r="L826" s="35">
        <v>0</v>
      </c>
      <c r="M826" s="36" t="s">
        <v>32</v>
      </c>
      <c r="N826" s="37">
        <v>1</v>
      </c>
      <c r="O826" s="35">
        <v>0</v>
      </c>
      <c r="P826" s="35" t="s">
        <v>99</v>
      </c>
      <c r="Q826" s="97">
        <v>45442</v>
      </c>
      <c r="R826" s="35" t="s">
        <v>62</v>
      </c>
      <c r="S826" s="38" t="s">
        <v>2731</v>
      </c>
      <c r="T826" s="78">
        <v>2</v>
      </c>
      <c r="U826" s="78"/>
      <c r="V826" s="78"/>
      <c r="W826" s="78" t="s">
        <v>114</v>
      </c>
      <c r="X826" s="78"/>
      <c r="Y826" s="78"/>
      <c r="Z826" s="78"/>
      <c r="AA826" s="78" t="s">
        <v>225</v>
      </c>
      <c r="AB826" s="78"/>
    </row>
    <row r="827" spans="1:28" x14ac:dyDescent="0.25">
      <c r="A827" t="str">
        <f>IF(EXACT('BOM A320 FFS'!B1134,obsoleta!D827),"OK","ERROR")</f>
        <v>ERROR</v>
      </c>
      <c r="C827" s="31" t="s">
        <v>108</v>
      </c>
      <c r="D827" s="71">
        <v>1135022486201</v>
      </c>
      <c r="E827" s="71"/>
      <c r="F827" s="32" t="s">
        <v>2832</v>
      </c>
      <c r="G827" s="32" t="s">
        <v>2833</v>
      </c>
      <c r="H827" s="32"/>
      <c r="I827" s="32"/>
      <c r="J827" s="33">
        <v>1</v>
      </c>
      <c r="K827" s="34"/>
      <c r="L827" s="35">
        <v>0</v>
      </c>
      <c r="M827" s="36" t="s">
        <v>32</v>
      </c>
      <c r="N827" s="37">
        <v>1</v>
      </c>
      <c r="O827" s="35">
        <v>0</v>
      </c>
      <c r="P827" s="35" t="s">
        <v>99</v>
      </c>
      <c r="Q827" s="97">
        <v>45442</v>
      </c>
      <c r="R827" s="35" t="s">
        <v>62</v>
      </c>
      <c r="S827" s="38" t="s">
        <v>2834</v>
      </c>
      <c r="T827" s="78">
        <v>2</v>
      </c>
      <c r="U827" s="78"/>
      <c r="V827" s="78"/>
      <c r="W827" s="78" t="s">
        <v>114</v>
      </c>
      <c r="X827" s="78"/>
      <c r="Y827" s="78"/>
      <c r="Z827" s="78"/>
      <c r="AA827" s="78" t="s">
        <v>225</v>
      </c>
      <c r="AB827" s="78"/>
    </row>
    <row r="828" spans="1:28" x14ac:dyDescent="0.25">
      <c r="A828" t="str">
        <f>IF(EXACT('BOM A320 FFS'!B1136,obsoleta!D828),"OK","ERROR")</f>
        <v>ERROR</v>
      </c>
      <c r="C828" s="31" t="s">
        <v>108</v>
      </c>
      <c r="D828" s="71">
        <v>1136234080402</v>
      </c>
      <c r="E828" s="71"/>
      <c r="F828" s="32" t="s">
        <v>3017</v>
      </c>
      <c r="G828" s="32" t="s">
        <v>3018</v>
      </c>
      <c r="H828" s="32"/>
      <c r="I828" s="32"/>
      <c r="J828" s="33">
        <v>1</v>
      </c>
      <c r="K828" s="34"/>
      <c r="L828" s="35">
        <v>0</v>
      </c>
      <c r="M828" s="36" t="s">
        <v>32</v>
      </c>
      <c r="N828" s="37">
        <v>1</v>
      </c>
      <c r="O828" s="35">
        <v>0</v>
      </c>
      <c r="P828" s="35" t="s">
        <v>99</v>
      </c>
      <c r="Q828" s="97">
        <v>45442</v>
      </c>
      <c r="R828" s="35" t="s">
        <v>62</v>
      </c>
      <c r="S828" s="38"/>
      <c r="T828" s="78">
        <v>2</v>
      </c>
      <c r="U828" s="78"/>
      <c r="V828" s="78"/>
      <c r="W828" s="78" t="s">
        <v>114</v>
      </c>
      <c r="X828" s="78"/>
      <c r="Y828" s="78"/>
      <c r="Z828" s="78"/>
      <c r="AA828" s="78" t="s">
        <v>225</v>
      </c>
      <c r="AB828" s="78"/>
    </row>
    <row r="829" spans="1:28" x14ac:dyDescent="0.25">
      <c r="A829" t="str">
        <f>IF(EXACT('BOM A320 FFS'!B1137,obsoleta!D829),"OK","ERROR")</f>
        <v>ERROR</v>
      </c>
      <c r="C829" s="31" t="s">
        <v>108</v>
      </c>
      <c r="D829" s="71">
        <v>1136034481602</v>
      </c>
      <c r="E829" s="71"/>
      <c r="F829" s="32" t="s">
        <v>2733</v>
      </c>
      <c r="G829" s="32" t="s">
        <v>2734</v>
      </c>
      <c r="H829" s="32"/>
      <c r="I829" s="32"/>
      <c r="J829" s="33">
        <v>1</v>
      </c>
      <c r="K829" s="34"/>
      <c r="L829" s="35">
        <v>0</v>
      </c>
      <c r="M829" s="36" t="s">
        <v>32</v>
      </c>
      <c r="N829" s="37">
        <v>1</v>
      </c>
      <c r="O829" s="35">
        <v>0</v>
      </c>
      <c r="P829" s="35" t="s">
        <v>99</v>
      </c>
      <c r="Q829" s="97">
        <v>45442</v>
      </c>
      <c r="R829" s="35" t="s">
        <v>62</v>
      </c>
      <c r="S829" s="38" t="s">
        <v>2735</v>
      </c>
      <c r="T829" s="78">
        <v>2</v>
      </c>
      <c r="U829" s="78"/>
      <c r="V829" s="78"/>
      <c r="W829" s="78" t="s">
        <v>114</v>
      </c>
      <c r="X829" s="78"/>
      <c r="Y829" s="78"/>
      <c r="Z829" s="78"/>
      <c r="AA829" s="78" t="s">
        <v>225</v>
      </c>
      <c r="AB829" s="78"/>
    </row>
    <row r="830" spans="1:28" x14ac:dyDescent="0.25">
      <c r="A830" t="str">
        <f>IF(EXACT('BOM A320 FFS'!B1138,obsoleta!D830),"OK","ERROR")</f>
        <v>ERROR</v>
      </c>
      <c r="C830" s="31" t="s">
        <v>108</v>
      </c>
      <c r="D830" s="71">
        <v>1135022486200</v>
      </c>
      <c r="E830" s="71"/>
      <c r="F830" s="32" t="s">
        <v>2836</v>
      </c>
      <c r="G830" s="32" t="s">
        <v>2837</v>
      </c>
      <c r="H830" s="32"/>
      <c r="I830" s="32"/>
      <c r="J830" s="33">
        <v>1</v>
      </c>
      <c r="K830" s="34"/>
      <c r="L830" s="35">
        <v>0</v>
      </c>
      <c r="M830" s="36" t="s">
        <v>32</v>
      </c>
      <c r="N830" s="37">
        <v>1</v>
      </c>
      <c r="O830" s="35">
        <v>0</v>
      </c>
      <c r="P830" s="35" t="s">
        <v>99</v>
      </c>
      <c r="Q830" s="97">
        <v>45442</v>
      </c>
      <c r="R830" s="35" t="s">
        <v>62</v>
      </c>
      <c r="S830" s="38" t="s">
        <v>2838</v>
      </c>
      <c r="T830" s="78">
        <v>2</v>
      </c>
      <c r="U830" s="78"/>
      <c r="V830" s="78"/>
      <c r="W830" s="78" t="s">
        <v>114</v>
      </c>
      <c r="X830" s="78"/>
      <c r="Y830" s="78"/>
      <c r="Z830" s="78"/>
      <c r="AA830" s="78" t="s">
        <v>225</v>
      </c>
      <c r="AB830" s="78"/>
    </row>
    <row r="831" spans="1:28" x14ac:dyDescent="0.25">
      <c r="A831" t="str">
        <f>IF(EXACT('BOM A320 FFS'!B1139,obsoleta!D831),"OK","ERROR")</f>
        <v>ERROR</v>
      </c>
      <c r="C831" s="31" t="s">
        <v>108</v>
      </c>
      <c r="D831" s="71">
        <v>1136231380200</v>
      </c>
      <c r="E831" s="71"/>
      <c r="F831" s="32" t="s">
        <v>3020</v>
      </c>
      <c r="G831" s="32" t="s">
        <v>3021</v>
      </c>
      <c r="H831" s="32"/>
      <c r="I831" s="32"/>
      <c r="J831" s="33">
        <v>1</v>
      </c>
      <c r="K831" s="34"/>
      <c r="L831" s="35">
        <v>0</v>
      </c>
      <c r="M831" s="36" t="s">
        <v>32</v>
      </c>
      <c r="N831" s="37">
        <v>1</v>
      </c>
      <c r="O831" s="35">
        <v>0</v>
      </c>
      <c r="P831" s="35" t="s">
        <v>99</v>
      </c>
      <c r="Q831" s="97">
        <v>45442</v>
      </c>
      <c r="R831" s="35" t="s">
        <v>62</v>
      </c>
      <c r="S831" s="38" t="s">
        <v>3022</v>
      </c>
      <c r="T831" s="78">
        <v>2</v>
      </c>
      <c r="U831" s="78"/>
      <c r="V831" s="78"/>
      <c r="W831" s="78" t="s">
        <v>114</v>
      </c>
      <c r="X831" s="78"/>
      <c r="Y831" s="78"/>
      <c r="Z831" s="78"/>
      <c r="AA831" s="78" t="s">
        <v>225</v>
      </c>
      <c r="AB831" s="78"/>
    </row>
    <row r="832" spans="1:28" x14ac:dyDescent="0.25">
      <c r="A832" t="str">
        <f>IF(EXACT('BOM A320 FFS'!B1140,obsoleta!D832),"OK","ERROR")</f>
        <v>ERROR</v>
      </c>
      <c r="C832" s="31" t="s">
        <v>108</v>
      </c>
      <c r="D832" s="71">
        <v>1237000122101</v>
      </c>
      <c r="E832" s="71"/>
      <c r="F832" s="32" t="s">
        <v>3024</v>
      </c>
      <c r="G832" s="32">
        <v>1706010000</v>
      </c>
      <c r="H832" s="32"/>
      <c r="I832" s="32"/>
      <c r="J832" s="33">
        <v>7</v>
      </c>
      <c r="K832" s="34"/>
      <c r="L832" s="35">
        <v>0</v>
      </c>
      <c r="M832" s="36" t="s">
        <v>32</v>
      </c>
      <c r="N832" s="37">
        <v>1</v>
      </c>
      <c r="O832" s="35">
        <v>0</v>
      </c>
      <c r="P832" s="35" t="s">
        <v>99</v>
      </c>
      <c r="Q832" s="97">
        <v>45442</v>
      </c>
      <c r="R832" s="35" t="s">
        <v>62</v>
      </c>
      <c r="S832" s="38" t="s">
        <v>3025</v>
      </c>
      <c r="T832" s="78">
        <v>2</v>
      </c>
      <c r="U832" s="78"/>
      <c r="V832" s="78"/>
      <c r="W832" s="78" t="s">
        <v>114</v>
      </c>
      <c r="X832" s="78"/>
      <c r="Y832" s="78"/>
      <c r="Z832" s="78"/>
      <c r="AA832" s="78" t="s">
        <v>225</v>
      </c>
      <c r="AB832" s="78"/>
    </row>
    <row r="833" spans="1:28" x14ac:dyDescent="0.25">
      <c r="A833" t="str">
        <f>IF(EXACT('BOM A320 FFS'!B1142,obsoleta!D833),"OK","ERROR")</f>
        <v>ERROR</v>
      </c>
      <c r="C833" s="31" t="s">
        <v>108</v>
      </c>
      <c r="D833" s="71">
        <v>1237000262001</v>
      </c>
      <c r="E833" s="71"/>
      <c r="F833" s="32" t="s">
        <v>3015</v>
      </c>
      <c r="G833" s="32">
        <v>3211480</v>
      </c>
      <c r="H833" s="32"/>
      <c r="I833" s="32"/>
      <c r="J833" s="33">
        <v>7</v>
      </c>
      <c r="K833" s="34"/>
      <c r="L833" s="35">
        <v>0</v>
      </c>
      <c r="M833" s="36" t="s">
        <v>32</v>
      </c>
      <c r="N833" s="37">
        <v>1</v>
      </c>
      <c r="O833" s="35">
        <v>0</v>
      </c>
      <c r="P833" s="35" t="s">
        <v>99</v>
      </c>
      <c r="Q833" s="97">
        <v>45442</v>
      </c>
      <c r="R833" s="35" t="s">
        <v>62</v>
      </c>
      <c r="S833" s="38"/>
      <c r="T833" s="78">
        <v>2</v>
      </c>
      <c r="U833" s="78"/>
      <c r="V833" s="78"/>
      <c r="W833" s="78" t="s">
        <v>114</v>
      </c>
      <c r="X833" s="78"/>
      <c r="Y833" s="78"/>
      <c r="Z833" s="78"/>
      <c r="AA833" s="78" t="s">
        <v>225</v>
      </c>
      <c r="AB833" s="78"/>
    </row>
    <row r="834" spans="1:28" x14ac:dyDescent="0.25">
      <c r="A834" t="str">
        <f>IF(EXACT('BOM A320 FFS'!B1143,obsoleta!D834),"OK","ERROR")</f>
        <v>ERROR</v>
      </c>
      <c r="C834" s="31" t="s">
        <v>108</v>
      </c>
      <c r="D834" s="71">
        <v>1237000122005</v>
      </c>
      <c r="E834" s="71"/>
      <c r="F834" s="32" t="s">
        <v>3027</v>
      </c>
      <c r="G834" s="32" t="s">
        <v>3028</v>
      </c>
      <c r="H834" s="32"/>
      <c r="I834" s="32"/>
      <c r="J834" s="33">
        <v>4</v>
      </c>
      <c r="K834" s="34"/>
      <c r="L834" s="35">
        <v>0</v>
      </c>
      <c r="M834" s="36" t="s">
        <v>32</v>
      </c>
      <c r="N834" s="37">
        <v>1</v>
      </c>
      <c r="O834" s="35">
        <v>0</v>
      </c>
      <c r="P834" s="35" t="s">
        <v>99</v>
      </c>
      <c r="Q834" s="97">
        <v>45442</v>
      </c>
      <c r="R834" s="35" t="s">
        <v>62</v>
      </c>
      <c r="S834" s="38"/>
      <c r="T834" s="78">
        <v>2</v>
      </c>
      <c r="U834" s="78"/>
      <c r="V834" s="78"/>
      <c r="W834" s="78" t="s">
        <v>114</v>
      </c>
      <c r="X834" s="78"/>
      <c r="Y834" s="78"/>
      <c r="Z834" s="78"/>
      <c r="AA834" s="78" t="s">
        <v>225</v>
      </c>
      <c r="AB834" s="78"/>
    </row>
    <row r="835" spans="1:28" x14ac:dyDescent="0.25">
      <c r="A835" t="str">
        <f>IF(EXACT('BOM A320 FFS'!B1145,obsoleta!D835),"OK","ERROR")</f>
        <v>ERROR</v>
      </c>
      <c r="C835" s="31" t="s">
        <v>108</v>
      </c>
      <c r="D835" s="71">
        <v>1706701900200</v>
      </c>
      <c r="E835" s="71"/>
      <c r="F835" s="32" t="s">
        <v>2602</v>
      </c>
      <c r="G835" s="32" t="s">
        <v>2603</v>
      </c>
      <c r="H835" s="32"/>
      <c r="I835" s="32"/>
      <c r="J835" s="33">
        <v>1</v>
      </c>
      <c r="K835" s="34"/>
      <c r="L835" s="35">
        <v>0</v>
      </c>
      <c r="M835" s="36" t="s">
        <v>32</v>
      </c>
      <c r="N835" s="37">
        <v>1</v>
      </c>
      <c r="O835" s="35">
        <v>0</v>
      </c>
      <c r="P835" s="35" t="s">
        <v>99</v>
      </c>
      <c r="Q835" s="97">
        <v>45442</v>
      </c>
      <c r="R835" s="35" t="s">
        <v>62</v>
      </c>
      <c r="S835" s="38"/>
      <c r="T835" s="78">
        <v>2</v>
      </c>
      <c r="U835" s="78"/>
      <c r="V835" s="78"/>
      <c r="W835" s="78" t="s">
        <v>114</v>
      </c>
      <c r="X835" s="78"/>
      <c r="Y835" s="78"/>
      <c r="Z835" s="78"/>
      <c r="AA835" s="78" t="s">
        <v>225</v>
      </c>
      <c r="AB835" s="78"/>
    </row>
    <row r="836" spans="1:28" x14ac:dyDescent="0.25">
      <c r="A836" t="str">
        <f>IF(EXACT('BOM A320 FFS'!B1147,obsoleta!D836),"OK","ERROR")</f>
        <v>ERROR</v>
      </c>
      <c r="C836" s="31" t="s">
        <v>108</v>
      </c>
      <c r="D836" s="71">
        <v>1706201190100</v>
      </c>
      <c r="E836" s="71"/>
      <c r="F836" s="32" t="s">
        <v>3178</v>
      </c>
      <c r="G836" s="32" t="s">
        <v>2605</v>
      </c>
      <c r="H836" s="32"/>
      <c r="I836" s="32"/>
      <c r="J836" s="33">
        <v>1</v>
      </c>
      <c r="K836" s="34"/>
      <c r="L836" s="35">
        <v>0</v>
      </c>
      <c r="M836" s="36" t="s">
        <v>32</v>
      </c>
      <c r="N836" s="37">
        <v>1</v>
      </c>
      <c r="O836" s="35">
        <v>0</v>
      </c>
      <c r="P836" s="35" t="s">
        <v>99</v>
      </c>
      <c r="Q836" s="97">
        <v>45442</v>
      </c>
      <c r="R836" s="35" t="s">
        <v>62</v>
      </c>
      <c r="S836" s="38"/>
      <c r="T836" s="78">
        <v>2</v>
      </c>
      <c r="U836" s="78"/>
      <c r="V836" s="78"/>
      <c r="W836" s="78" t="s">
        <v>114</v>
      </c>
      <c r="X836" s="78"/>
      <c r="Y836" s="78"/>
      <c r="Z836" s="78"/>
      <c r="AA836" s="78" t="s">
        <v>225</v>
      </c>
      <c r="AB836" s="78"/>
    </row>
    <row r="837" spans="1:28" x14ac:dyDescent="0.25">
      <c r="A837" t="str">
        <f>IF(EXACT('BOM A320 FFS'!B1148,obsoleta!D837),"OK","ERROR")</f>
        <v>ERROR</v>
      </c>
      <c r="C837" s="31" t="s">
        <v>108</v>
      </c>
      <c r="D837" s="71">
        <v>1705505480000</v>
      </c>
      <c r="E837" s="71"/>
      <c r="F837" s="32" t="s">
        <v>2771</v>
      </c>
      <c r="G837" s="32" t="s">
        <v>2772</v>
      </c>
      <c r="H837" s="32"/>
      <c r="I837" s="32"/>
      <c r="J837" s="33">
        <v>1</v>
      </c>
      <c r="K837" s="34"/>
      <c r="L837" s="35">
        <v>0</v>
      </c>
      <c r="M837" s="36" t="s">
        <v>32</v>
      </c>
      <c r="N837" s="37">
        <v>1</v>
      </c>
      <c r="O837" s="35">
        <v>0</v>
      </c>
      <c r="P837" s="35" t="s">
        <v>99</v>
      </c>
      <c r="Q837" s="97">
        <v>45442</v>
      </c>
      <c r="R837" s="35" t="s">
        <v>62</v>
      </c>
      <c r="S837" s="38"/>
      <c r="T837" s="78">
        <v>2</v>
      </c>
      <c r="U837" s="78"/>
      <c r="V837" s="78"/>
      <c r="W837" s="78" t="s">
        <v>114</v>
      </c>
      <c r="X837" s="78"/>
      <c r="Y837" s="78"/>
      <c r="Z837" s="78"/>
      <c r="AA837" s="78" t="s">
        <v>225</v>
      </c>
      <c r="AB837" s="78"/>
    </row>
    <row r="838" spans="1:28" x14ac:dyDescent="0.25">
      <c r="A838" t="str">
        <f>IF(EXACT('BOM A320 FFS'!B1149,obsoleta!D838),"OK","ERROR")</f>
        <v>ERROR</v>
      </c>
      <c r="C838" s="31" t="s">
        <v>108</v>
      </c>
      <c r="D838" s="71">
        <v>1237714100000</v>
      </c>
      <c r="E838" s="71"/>
      <c r="F838" s="32" t="s">
        <v>2455</v>
      </c>
      <c r="G838" s="32" t="s">
        <v>2456</v>
      </c>
      <c r="H838" s="32"/>
      <c r="I838" s="32"/>
      <c r="J838" s="33">
        <v>2</v>
      </c>
      <c r="K838" s="34"/>
      <c r="L838" s="35">
        <v>0</v>
      </c>
      <c r="M838" s="36" t="s">
        <v>32</v>
      </c>
      <c r="N838" s="37">
        <v>1</v>
      </c>
      <c r="O838" s="35">
        <v>0</v>
      </c>
      <c r="P838" s="35" t="s">
        <v>99</v>
      </c>
      <c r="Q838" s="97">
        <v>45442</v>
      </c>
      <c r="R838" s="35" t="s">
        <v>62</v>
      </c>
      <c r="S838" s="38" t="s">
        <v>2457</v>
      </c>
      <c r="T838" s="78">
        <v>2</v>
      </c>
      <c r="U838" s="78"/>
      <c r="V838" s="78"/>
      <c r="W838" s="78" t="s">
        <v>114</v>
      </c>
      <c r="X838" s="78"/>
      <c r="Y838" s="78"/>
      <c r="Z838" s="78"/>
      <c r="AA838" s="78" t="s">
        <v>225</v>
      </c>
      <c r="AB838" s="78"/>
    </row>
    <row r="839" spans="1:28" x14ac:dyDescent="0.25">
      <c r="A839" t="str">
        <f>IF(EXACT('BOM A320 FFS'!B1150,obsoleta!D839),"OK","ERROR")</f>
        <v>ERROR</v>
      </c>
      <c r="C839" s="31" t="s">
        <v>108</v>
      </c>
      <c r="D839" s="71">
        <v>1237711415200</v>
      </c>
      <c r="E839" s="71"/>
      <c r="F839" s="32" t="s">
        <v>2436</v>
      </c>
      <c r="G839" s="32" t="s">
        <v>2437</v>
      </c>
      <c r="H839" s="32"/>
      <c r="I839" s="32"/>
      <c r="J839" s="33">
        <v>3</v>
      </c>
      <c r="K839" s="34"/>
      <c r="L839" s="35">
        <v>0</v>
      </c>
      <c r="M839" s="36" t="s">
        <v>32</v>
      </c>
      <c r="N839" s="37">
        <v>1</v>
      </c>
      <c r="O839" s="35">
        <v>0</v>
      </c>
      <c r="P839" s="35" t="s">
        <v>99</v>
      </c>
      <c r="Q839" s="97">
        <v>45442</v>
      </c>
      <c r="R839" s="35" t="s">
        <v>62</v>
      </c>
      <c r="S839" s="38"/>
      <c r="T839" s="78">
        <v>2</v>
      </c>
      <c r="U839" s="78"/>
      <c r="V839" s="78"/>
      <c r="W839" s="78" t="s">
        <v>114</v>
      </c>
      <c r="X839" s="78"/>
      <c r="Y839" s="78"/>
      <c r="Z839" s="78"/>
      <c r="AA839" s="78" t="s">
        <v>225</v>
      </c>
      <c r="AB839" s="78"/>
    </row>
    <row r="840" spans="1:28" x14ac:dyDescent="0.25">
      <c r="A840" t="str">
        <f>IF(EXACT('BOM A320 FFS'!B1151,obsoleta!D840),"OK","ERROR")</f>
        <v>ERROR</v>
      </c>
      <c r="C840" s="31" t="s">
        <v>108</v>
      </c>
      <c r="D840" s="71">
        <v>1237091470401</v>
      </c>
      <c r="E840" s="71"/>
      <c r="F840" s="32" t="s">
        <v>2727</v>
      </c>
      <c r="G840" s="32">
        <v>1608860000</v>
      </c>
      <c r="H840" s="32"/>
      <c r="I840" s="32"/>
      <c r="J840" s="33">
        <v>1</v>
      </c>
      <c r="K840" s="34"/>
      <c r="L840" s="35">
        <v>0</v>
      </c>
      <c r="M840" s="36" t="s">
        <v>32</v>
      </c>
      <c r="N840" s="37">
        <v>1</v>
      </c>
      <c r="O840" s="35">
        <v>0</v>
      </c>
      <c r="P840" s="35" t="s">
        <v>99</v>
      </c>
      <c r="Q840" s="97">
        <v>45442</v>
      </c>
      <c r="R840" s="35" t="s">
        <v>62</v>
      </c>
      <c r="S840" s="38"/>
      <c r="T840" s="78">
        <v>2</v>
      </c>
      <c r="U840" s="78"/>
      <c r="V840" s="78"/>
      <c r="W840" s="78" t="s">
        <v>114</v>
      </c>
      <c r="X840" s="78"/>
      <c r="Y840" s="78"/>
      <c r="Z840" s="78"/>
      <c r="AA840" s="78" t="s">
        <v>225</v>
      </c>
      <c r="AB840" s="78"/>
    </row>
    <row r="841" spans="1:28" x14ac:dyDescent="0.25">
      <c r="A841" t="str">
        <f>IF(EXACT('BOM A320 FFS'!B1152,obsoleta!D841),"OK","ERROR")</f>
        <v>ERROR</v>
      </c>
      <c r="C841" s="31" t="s">
        <v>108</v>
      </c>
      <c r="D841" s="71">
        <v>1237092052100</v>
      </c>
      <c r="E841" s="71"/>
      <c r="F841" s="32" t="s">
        <v>2475</v>
      </c>
      <c r="G841" s="32" t="s">
        <v>2476</v>
      </c>
      <c r="H841" s="32"/>
      <c r="I841" s="32"/>
      <c r="J841" s="33">
        <v>1</v>
      </c>
      <c r="K841" s="34"/>
      <c r="L841" s="35">
        <v>0</v>
      </c>
      <c r="M841" s="36" t="s">
        <v>32</v>
      </c>
      <c r="N841" s="37">
        <v>1</v>
      </c>
      <c r="O841" s="35">
        <v>0</v>
      </c>
      <c r="P841" s="35" t="s">
        <v>99</v>
      </c>
      <c r="Q841" s="97">
        <v>45442</v>
      </c>
      <c r="R841" s="35" t="s">
        <v>62</v>
      </c>
      <c r="S841" s="38"/>
      <c r="T841" s="78">
        <v>2</v>
      </c>
      <c r="U841" s="78"/>
      <c r="V841" s="78"/>
      <c r="W841" s="78" t="s">
        <v>114</v>
      </c>
      <c r="X841" s="78"/>
      <c r="Y841" s="78"/>
      <c r="Z841" s="78"/>
      <c r="AA841" s="78" t="s">
        <v>225</v>
      </c>
      <c r="AB841" s="78"/>
    </row>
    <row r="842" spans="1:28" x14ac:dyDescent="0.25">
      <c r="A842" t="str">
        <f>IF(EXACT('BOM A320 FFS'!B1154,obsoleta!D842),"OK","ERROR")</f>
        <v>ERROR</v>
      </c>
      <c r="C842" s="31" t="s">
        <v>108</v>
      </c>
      <c r="D842" s="71">
        <v>1237092052300</v>
      </c>
      <c r="E842" s="71"/>
      <c r="F842" s="32" t="s">
        <v>2473</v>
      </c>
      <c r="G842" s="32">
        <v>1706130000</v>
      </c>
      <c r="H842" s="32"/>
      <c r="I842" s="32"/>
      <c r="J842" s="33">
        <v>1</v>
      </c>
      <c r="K842" s="34"/>
      <c r="L842" s="35">
        <v>0</v>
      </c>
      <c r="M842" s="36" t="s">
        <v>32</v>
      </c>
      <c r="N842" s="37">
        <v>1</v>
      </c>
      <c r="O842" s="35">
        <v>0</v>
      </c>
      <c r="P842" s="35" t="s">
        <v>99</v>
      </c>
      <c r="Q842" s="97">
        <v>45442</v>
      </c>
      <c r="R842" s="35" t="s">
        <v>62</v>
      </c>
      <c r="S842" s="38"/>
      <c r="T842" s="78">
        <v>2</v>
      </c>
      <c r="U842" s="78"/>
      <c r="V842" s="78"/>
      <c r="W842" s="78" t="s">
        <v>114</v>
      </c>
      <c r="X842" s="78"/>
      <c r="Y842" s="78"/>
      <c r="Z842" s="78"/>
      <c r="AA842" s="78" t="s">
        <v>225</v>
      </c>
      <c r="AB842" s="78"/>
    </row>
    <row r="843" spans="1:28" x14ac:dyDescent="0.25">
      <c r="A843" t="str">
        <f>IF(EXACT('BOM A320 FFS'!B1155,obsoleta!D843),"OK","ERROR")</f>
        <v>ERROR</v>
      </c>
      <c r="C843" s="31" t="s">
        <v>108</v>
      </c>
      <c r="D843" s="71">
        <v>1218095002000</v>
      </c>
      <c r="E843" s="71"/>
      <c r="F843" s="32" t="s">
        <v>2897</v>
      </c>
      <c r="G843" s="32">
        <v>33</v>
      </c>
      <c r="H843" s="32"/>
      <c r="I843" s="32"/>
      <c r="J843" s="33">
        <v>1</v>
      </c>
      <c r="K843" s="34"/>
      <c r="L843" s="35">
        <v>0</v>
      </c>
      <c r="M843" s="36" t="s">
        <v>32</v>
      </c>
      <c r="N843" s="37">
        <v>1</v>
      </c>
      <c r="O843" s="35">
        <v>0</v>
      </c>
      <c r="P843" s="35" t="s">
        <v>99</v>
      </c>
      <c r="Q843" s="97">
        <v>45442</v>
      </c>
      <c r="R843" s="35" t="s">
        <v>62</v>
      </c>
      <c r="S843" s="38" t="s">
        <v>2898</v>
      </c>
      <c r="T843" s="78">
        <v>2</v>
      </c>
      <c r="U843" s="78"/>
      <c r="V843" s="78"/>
      <c r="W843" s="78" t="s">
        <v>114</v>
      </c>
      <c r="X843" s="78"/>
      <c r="Y843" s="78"/>
      <c r="Z843" s="78"/>
      <c r="AA843" s="78" t="s">
        <v>225</v>
      </c>
      <c r="AB843" s="78"/>
    </row>
    <row r="844" spans="1:28" x14ac:dyDescent="0.25">
      <c r="A844" t="str">
        <f>IF(EXACT('BOM A320 FFS'!B1156,obsoleta!D844),"OK","ERROR")</f>
        <v>ERROR</v>
      </c>
      <c r="C844" s="31" t="s">
        <v>108</v>
      </c>
      <c r="D844" s="71">
        <v>1218000320303</v>
      </c>
      <c r="E844" s="71"/>
      <c r="F844" s="32" t="s">
        <v>2850</v>
      </c>
      <c r="G844" s="32" t="s">
        <v>2851</v>
      </c>
      <c r="H844" s="28"/>
      <c r="I844" s="28"/>
      <c r="J844" s="40">
        <v>1</v>
      </c>
      <c r="K844" s="26"/>
      <c r="L844" s="30">
        <v>0</v>
      </c>
      <c r="M844" s="26" t="s">
        <v>32</v>
      </c>
      <c r="N844" s="26">
        <v>1</v>
      </c>
      <c r="O844" s="30">
        <v>0</v>
      </c>
      <c r="P844" s="30" t="s">
        <v>99</v>
      </c>
      <c r="Q844" s="96">
        <v>45442</v>
      </c>
      <c r="R844" s="30" t="s">
        <v>62</v>
      </c>
      <c r="S844" s="30" t="s">
        <v>2852</v>
      </c>
      <c r="T844" s="82">
        <v>2</v>
      </c>
      <c r="U844" s="82"/>
      <c r="V844" s="82"/>
      <c r="W844" s="82" t="s">
        <v>114</v>
      </c>
      <c r="X844" s="82"/>
      <c r="Y844" s="82"/>
      <c r="Z844" s="82"/>
      <c r="AA844" s="82" t="s">
        <v>225</v>
      </c>
      <c r="AB844" s="82"/>
    </row>
    <row r="845" spans="1:28" x14ac:dyDescent="0.25">
      <c r="A845" t="str">
        <f>IF(EXACT('BOM A320 FFS'!B1159,obsoleta!D845),"OK","ERROR")</f>
        <v>ERROR</v>
      </c>
      <c r="C845" s="39"/>
      <c r="D845" s="39"/>
      <c r="E845" s="39"/>
      <c r="F845" s="28"/>
      <c r="G845" s="28"/>
      <c r="H845" s="21"/>
      <c r="I845" s="21"/>
      <c r="J845" s="22"/>
      <c r="K845" s="25"/>
      <c r="L845" s="25"/>
      <c r="M845" s="24"/>
      <c r="N845" s="24"/>
      <c r="O845" s="49"/>
      <c r="P845" s="49"/>
      <c r="Q845" s="100"/>
      <c r="R845" s="49"/>
      <c r="S845" s="25"/>
      <c r="T845" s="25"/>
      <c r="U845" s="25"/>
      <c r="V845" s="25"/>
      <c r="W845" s="25"/>
      <c r="X845" s="25"/>
      <c r="Y845" s="25"/>
      <c r="Z845" s="25"/>
      <c r="AA845" s="25" t="s">
        <v>225</v>
      </c>
      <c r="AB845" s="25"/>
    </row>
    <row r="846" spans="1:28" ht="18.75" x14ac:dyDescent="0.3">
      <c r="A846" t="str">
        <f>IF(EXACT('BOM A320 FFS'!B1161,obsoleta!D846),"OK","ERROR")</f>
        <v>ERROR</v>
      </c>
      <c r="C846" s="19"/>
      <c r="D846" s="19" t="s">
        <v>1582</v>
      </c>
      <c r="E846" s="19"/>
      <c r="F846" s="20"/>
      <c r="G846" s="21"/>
      <c r="H846" s="52"/>
      <c r="I846" s="32"/>
      <c r="J846" s="54"/>
      <c r="K846" s="38"/>
      <c r="L846" s="35"/>
      <c r="M846" s="54"/>
      <c r="N846" s="37"/>
      <c r="O846" s="35"/>
      <c r="P846" s="35"/>
      <c r="Q846" s="97"/>
      <c r="R846" s="35"/>
      <c r="S846" s="79"/>
      <c r="T846" s="78"/>
      <c r="U846" s="78"/>
      <c r="V846" s="78"/>
      <c r="W846" s="78"/>
      <c r="X846" s="78"/>
      <c r="Y846" s="80"/>
      <c r="Z846" s="78"/>
      <c r="AA846" s="78" t="s">
        <v>225</v>
      </c>
      <c r="AB846" s="78"/>
    </row>
    <row r="847" spans="1:28" ht="36.75" x14ac:dyDescent="0.25">
      <c r="A847" t="str">
        <f>IF(EXACT('BOM A320 FFS'!B1162,obsoleta!D847),"OK","ERROR")</f>
        <v>ERROR</v>
      </c>
      <c r="C847" s="52" t="s">
        <v>298</v>
      </c>
      <c r="D847" s="70" t="s">
        <v>299</v>
      </c>
      <c r="E847" s="70"/>
      <c r="F847" s="32" t="s">
        <v>300</v>
      </c>
      <c r="G847" s="70">
        <v>973528190300</v>
      </c>
      <c r="H847" s="52"/>
      <c r="I847" s="32" t="s">
        <v>301</v>
      </c>
      <c r="J847" s="54">
        <v>5</v>
      </c>
      <c r="K847" s="38">
        <v>1800</v>
      </c>
      <c r="L847" s="35">
        <v>9000</v>
      </c>
      <c r="M847" s="54" t="s">
        <v>32</v>
      </c>
      <c r="N847" s="37">
        <v>1</v>
      </c>
      <c r="O847" s="35">
        <v>9000</v>
      </c>
      <c r="P847" s="35" t="s">
        <v>33</v>
      </c>
      <c r="Q847" s="97">
        <v>45453</v>
      </c>
      <c r="R847" s="35" t="s">
        <v>62</v>
      </c>
      <c r="S847" s="79" t="s">
        <v>302</v>
      </c>
      <c r="T847" s="78">
        <v>1</v>
      </c>
      <c r="U847" s="78" t="s">
        <v>34</v>
      </c>
      <c r="V847" s="78"/>
      <c r="W847" s="78" t="s">
        <v>303</v>
      </c>
      <c r="X847" s="78" t="s">
        <v>839</v>
      </c>
      <c r="Y847" s="80">
        <v>1</v>
      </c>
      <c r="Z847" s="78" t="s">
        <v>48</v>
      </c>
      <c r="AA847" s="78" t="s">
        <v>225</v>
      </c>
      <c r="AB847" s="78">
        <v>5</v>
      </c>
    </row>
    <row r="848" spans="1:28" x14ac:dyDescent="0.25">
      <c r="A848" t="str">
        <f>IF(EXACT('BOM A320 FFS'!B1163,obsoleta!D848),"OK","ERROR")</f>
        <v>ERROR</v>
      </c>
      <c r="C848" s="52" t="s">
        <v>298</v>
      </c>
      <c r="D848" s="69" t="s">
        <v>623</v>
      </c>
      <c r="E848" s="69"/>
      <c r="F848" s="32" t="s">
        <v>624</v>
      </c>
      <c r="G848" s="32">
        <v>972881220000</v>
      </c>
      <c r="H848" s="52"/>
      <c r="I848" s="32" t="s">
        <v>301</v>
      </c>
      <c r="J848" s="54">
        <v>7</v>
      </c>
      <c r="K848" s="38">
        <v>100</v>
      </c>
      <c r="L848" s="35">
        <v>700</v>
      </c>
      <c r="M848" s="54" t="s">
        <v>32</v>
      </c>
      <c r="N848" s="37">
        <v>1</v>
      </c>
      <c r="O848" s="35">
        <v>700</v>
      </c>
      <c r="P848" s="35" t="s">
        <v>33</v>
      </c>
      <c r="Q848" s="97">
        <v>45453</v>
      </c>
      <c r="R848" s="35" t="s">
        <v>62</v>
      </c>
      <c r="S848" s="38"/>
      <c r="T848" s="78">
        <v>2</v>
      </c>
      <c r="U848" s="78"/>
      <c r="V848" s="78"/>
      <c r="W848" s="78" t="s">
        <v>114</v>
      </c>
      <c r="X848" s="80" t="s">
        <v>3713</v>
      </c>
      <c r="Y848" s="80">
        <v>1</v>
      </c>
      <c r="Z848" s="78" t="s">
        <v>48</v>
      </c>
      <c r="AA848" s="78" t="s">
        <v>225</v>
      </c>
      <c r="AB848" s="78">
        <v>7</v>
      </c>
    </row>
    <row r="849" spans="1:28" x14ac:dyDescent="0.25">
      <c r="A849" t="str">
        <f>IF(EXACT('BOM A320 FFS'!B1164,obsoleta!D849),"OK","ERROR")</f>
        <v>ERROR</v>
      </c>
      <c r="C849" s="51" t="s">
        <v>298</v>
      </c>
      <c r="D849" s="51" t="s">
        <v>2302</v>
      </c>
      <c r="E849" s="51"/>
      <c r="F849" s="32" t="s">
        <v>2303</v>
      </c>
      <c r="G849" s="32">
        <v>972828203300</v>
      </c>
      <c r="H849" s="52"/>
      <c r="I849" s="32" t="s">
        <v>301</v>
      </c>
      <c r="J849" s="54">
        <v>1</v>
      </c>
      <c r="K849" s="38"/>
      <c r="L849" s="35">
        <v>0</v>
      </c>
      <c r="M849" s="54" t="s">
        <v>32</v>
      </c>
      <c r="N849" s="37">
        <v>1</v>
      </c>
      <c r="O849" s="35">
        <v>0</v>
      </c>
      <c r="P849" s="35" t="s">
        <v>33</v>
      </c>
      <c r="Q849" s="97">
        <v>45453</v>
      </c>
      <c r="R849" s="35" t="s">
        <v>62</v>
      </c>
      <c r="S849" s="38"/>
      <c r="T849" s="78">
        <v>2</v>
      </c>
      <c r="U849" s="78"/>
      <c r="V849" s="78"/>
      <c r="W849" s="78" t="s">
        <v>232</v>
      </c>
      <c r="X849" s="78" t="s">
        <v>3781</v>
      </c>
      <c r="Y849" s="80">
        <v>1</v>
      </c>
      <c r="Z849" s="78" t="s">
        <v>48</v>
      </c>
      <c r="AA849" s="78" t="s">
        <v>225</v>
      </c>
      <c r="AB849" s="78">
        <v>1</v>
      </c>
    </row>
    <row r="850" spans="1:28" x14ac:dyDescent="0.25">
      <c r="A850" t="str">
        <f>IF(EXACT('BOM A320 FFS'!B1165,obsoleta!D850),"OK","ERROR")</f>
        <v>ERROR</v>
      </c>
      <c r="C850" s="51" t="s">
        <v>298</v>
      </c>
      <c r="D850" s="51" t="s">
        <v>2286</v>
      </c>
      <c r="E850" s="51"/>
      <c r="F850" s="32" t="s">
        <v>2287</v>
      </c>
      <c r="G850" s="32">
        <v>972828200000</v>
      </c>
      <c r="H850" s="52"/>
      <c r="I850" s="32" t="s">
        <v>301</v>
      </c>
      <c r="J850" s="54">
        <v>1</v>
      </c>
      <c r="K850" s="38"/>
      <c r="L850" s="35">
        <v>0</v>
      </c>
      <c r="M850" s="54" t="s">
        <v>32</v>
      </c>
      <c r="N850" s="37">
        <v>1</v>
      </c>
      <c r="O850" s="35">
        <v>0</v>
      </c>
      <c r="P850" s="35" t="s">
        <v>33</v>
      </c>
      <c r="Q850" s="97">
        <v>45453</v>
      </c>
      <c r="R850" s="35" t="s">
        <v>62</v>
      </c>
      <c r="S850" s="38"/>
      <c r="T850" s="78">
        <v>2</v>
      </c>
      <c r="U850" s="78"/>
      <c r="V850" s="78"/>
      <c r="W850" s="78" t="s">
        <v>114</v>
      </c>
      <c r="X850" s="80" t="s">
        <v>3713</v>
      </c>
      <c r="Y850" s="80">
        <v>1</v>
      </c>
      <c r="Z850" s="78" t="s">
        <v>48</v>
      </c>
      <c r="AA850" s="78" t="s">
        <v>225</v>
      </c>
      <c r="AB850" s="78">
        <v>1</v>
      </c>
    </row>
    <row r="851" spans="1:28" x14ac:dyDescent="0.25">
      <c r="A851" t="str">
        <f>IF(EXACT('BOM A320 FFS'!B1166,obsoleta!D851),"OK","ERROR")</f>
        <v>ERROR</v>
      </c>
      <c r="C851" s="51" t="s">
        <v>298</v>
      </c>
      <c r="D851" s="51" t="s">
        <v>2281</v>
      </c>
      <c r="E851" s="51"/>
      <c r="F851" s="32" t="s">
        <v>2282</v>
      </c>
      <c r="G851" s="32">
        <v>972828300800</v>
      </c>
      <c r="H851" s="52"/>
      <c r="I851" s="32" t="s">
        <v>301</v>
      </c>
      <c r="J851" s="54">
        <v>1</v>
      </c>
      <c r="K851" s="38"/>
      <c r="L851" s="35">
        <v>0</v>
      </c>
      <c r="M851" s="54" t="s">
        <v>32</v>
      </c>
      <c r="N851" s="37">
        <v>1</v>
      </c>
      <c r="O851" s="35">
        <v>0</v>
      </c>
      <c r="P851" s="35" t="s">
        <v>33</v>
      </c>
      <c r="Q851" s="97">
        <v>45453</v>
      </c>
      <c r="R851" s="35" t="s">
        <v>62</v>
      </c>
      <c r="S851" s="38"/>
      <c r="T851" s="78">
        <v>2</v>
      </c>
      <c r="U851" s="78"/>
      <c r="V851" s="78"/>
      <c r="W851" s="78" t="s">
        <v>232</v>
      </c>
      <c r="X851" s="78" t="s">
        <v>3781</v>
      </c>
      <c r="Y851" s="78">
        <v>1</v>
      </c>
      <c r="Z851" s="78" t="s">
        <v>48</v>
      </c>
      <c r="AA851" s="78" t="s">
        <v>225</v>
      </c>
      <c r="AB851" s="78">
        <v>1</v>
      </c>
    </row>
    <row r="852" spans="1:28" x14ac:dyDescent="0.25">
      <c r="A852" t="str">
        <f>IF(EXACT('BOM A320 FFS'!B1167,obsoleta!D852),"OK","ERROR")</f>
        <v>ERROR</v>
      </c>
      <c r="C852" s="52" t="s">
        <v>298</v>
      </c>
      <c r="D852" s="69" t="s">
        <v>2298</v>
      </c>
      <c r="E852" s="69"/>
      <c r="F852" s="32" t="s">
        <v>2299</v>
      </c>
      <c r="G852" s="32">
        <v>971788191000</v>
      </c>
      <c r="H852" s="52"/>
      <c r="I852" s="32" t="s">
        <v>2291</v>
      </c>
      <c r="J852" s="54">
        <v>1</v>
      </c>
      <c r="K852" s="38"/>
      <c r="L852" s="35">
        <v>0</v>
      </c>
      <c r="M852" s="54" t="s">
        <v>32</v>
      </c>
      <c r="N852" s="37">
        <v>1</v>
      </c>
      <c r="O852" s="35">
        <v>0</v>
      </c>
      <c r="P852" s="35" t="s">
        <v>33</v>
      </c>
      <c r="Q852" s="97">
        <v>45453</v>
      </c>
      <c r="R852" s="35" t="s">
        <v>62</v>
      </c>
      <c r="S852" s="38"/>
      <c r="T852" s="78">
        <v>2</v>
      </c>
      <c r="U852" s="78"/>
      <c r="V852" s="78"/>
      <c r="W852" s="78" t="s">
        <v>114</v>
      </c>
      <c r="X852" s="78"/>
      <c r="Y852" s="78"/>
      <c r="Z852" s="78"/>
      <c r="AA852" s="78" t="s">
        <v>225</v>
      </c>
      <c r="AB852" s="78"/>
    </row>
    <row r="853" spans="1:28" x14ac:dyDescent="0.25">
      <c r="A853" t="str">
        <f>IF(EXACT('BOM A320 FFS'!B1168,obsoleta!D853),"OK","ERROR")</f>
        <v>ERROR</v>
      </c>
      <c r="C853" s="52" t="s">
        <v>298</v>
      </c>
      <c r="D853" s="69" t="s">
        <v>2296</v>
      </c>
      <c r="E853" s="69"/>
      <c r="F853" s="32" t="s">
        <v>2297</v>
      </c>
      <c r="G853" s="32">
        <v>971788190900</v>
      </c>
      <c r="H853" s="52"/>
      <c r="I853" s="32" t="s">
        <v>2291</v>
      </c>
      <c r="J853" s="54">
        <v>1</v>
      </c>
      <c r="K853" s="38"/>
      <c r="L853" s="35">
        <v>0</v>
      </c>
      <c r="M853" s="54" t="s">
        <v>32</v>
      </c>
      <c r="N853" s="37">
        <v>1</v>
      </c>
      <c r="O853" s="35">
        <v>0</v>
      </c>
      <c r="P853" s="35" t="s">
        <v>33</v>
      </c>
      <c r="Q853" s="97">
        <v>45453</v>
      </c>
      <c r="R853" s="35" t="s">
        <v>62</v>
      </c>
      <c r="S853" s="38"/>
      <c r="T853" s="78">
        <v>2</v>
      </c>
      <c r="U853" s="78"/>
      <c r="V853" s="78"/>
      <c r="W853" s="78" t="s">
        <v>114</v>
      </c>
      <c r="X853" s="78"/>
      <c r="Y853" s="80"/>
      <c r="Z853" s="78"/>
      <c r="AA853" s="78" t="s">
        <v>225</v>
      </c>
      <c r="AB853" s="78"/>
    </row>
    <row r="854" spans="1:28" x14ac:dyDescent="0.25">
      <c r="A854" t="str">
        <f>IF(EXACT('BOM A320 FFS'!B1169,obsoleta!D854),"OK","ERROR")</f>
        <v>ERROR</v>
      </c>
      <c r="C854" s="52" t="s">
        <v>298</v>
      </c>
      <c r="D854" s="69" t="s">
        <v>2294</v>
      </c>
      <c r="E854" s="69"/>
      <c r="F854" s="32" t="s">
        <v>2295</v>
      </c>
      <c r="G854" s="32">
        <v>972888133000</v>
      </c>
      <c r="H854" s="155"/>
      <c r="I854" s="154" t="s">
        <v>301</v>
      </c>
      <c r="J854" s="156">
        <v>2</v>
      </c>
      <c r="K854" s="157"/>
      <c r="L854" s="158">
        <v>0</v>
      </c>
      <c r="M854" s="156" t="s">
        <v>32</v>
      </c>
      <c r="N854" s="159">
        <v>1</v>
      </c>
      <c r="O854" s="158">
        <v>0</v>
      </c>
      <c r="P854" s="158" t="s">
        <v>33</v>
      </c>
      <c r="Q854" s="160">
        <v>45453</v>
      </c>
      <c r="R854" s="158" t="s">
        <v>62</v>
      </c>
      <c r="S854" s="157"/>
      <c r="T854" s="161">
        <v>2</v>
      </c>
      <c r="U854" s="161"/>
      <c r="V854" s="161"/>
      <c r="W854" s="161" t="s">
        <v>371</v>
      </c>
      <c r="X854" s="162" t="s">
        <v>3707</v>
      </c>
      <c r="Y854" s="162">
        <v>1</v>
      </c>
      <c r="Z854" s="161" t="s">
        <v>48</v>
      </c>
      <c r="AA854" s="161" t="s">
        <v>225</v>
      </c>
      <c r="AB854" s="161">
        <v>2</v>
      </c>
    </row>
    <row r="855" spans="1:28" x14ac:dyDescent="0.25">
      <c r="A855" t="str">
        <f>IF(EXACT('BOM A320 FFS'!B1170,obsoleta!D855),"OK","ERROR")</f>
        <v>ERROR</v>
      </c>
      <c r="C855" s="52" t="s">
        <v>298</v>
      </c>
      <c r="D855" s="153" t="s">
        <v>2292</v>
      </c>
      <c r="E855" s="153"/>
      <c r="F855" s="154" t="s">
        <v>2293</v>
      </c>
      <c r="G855" s="32">
        <v>972881240300</v>
      </c>
      <c r="H855" s="155"/>
      <c r="I855" s="154" t="s">
        <v>2291</v>
      </c>
      <c r="J855" s="156">
        <v>1</v>
      </c>
      <c r="K855" s="157"/>
      <c r="L855" s="158">
        <v>0</v>
      </c>
      <c r="M855" s="156" t="s">
        <v>32</v>
      </c>
      <c r="N855" s="159">
        <v>1</v>
      </c>
      <c r="O855" s="158">
        <v>0</v>
      </c>
      <c r="P855" s="158" t="s">
        <v>33</v>
      </c>
      <c r="Q855" s="160">
        <v>45453</v>
      </c>
      <c r="R855" s="158" t="s">
        <v>62</v>
      </c>
      <c r="S855" s="157" t="s">
        <v>3782</v>
      </c>
      <c r="T855" s="161">
        <v>2</v>
      </c>
      <c r="U855" s="161"/>
      <c r="V855" s="161"/>
      <c r="W855" s="161" t="s">
        <v>161</v>
      </c>
      <c r="X855" s="162" t="s">
        <v>3779</v>
      </c>
      <c r="Y855" s="162"/>
      <c r="Z855" s="161" t="s">
        <v>48</v>
      </c>
      <c r="AA855" s="161" t="s">
        <v>225</v>
      </c>
      <c r="AB855" s="161">
        <v>1</v>
      </c>
    </row>
    <row r="856" spans="1:28" x14ac:dyDescent="0.25">
      <c r="A856" t="str">
        <f>IF(EXACT('BOM A320 FFS'!B1171,obsoleta!D856),"OK","ERROR")</f>
        <v>ERROR</v>
      </c>
      <c r="C856" s="52" t="s">
        <v>298</v>
      </c>
      <c r="D856" s="153" t="s">
        <v>2289</v>
      </c>
      <c r="E856" s="153"/>
      <c r="F856" s="154" t="s">
        <v>2290</v>
      </c>
      <c r="G856" s="32">
        <v>972882240300</v>
      </c>
      <c r="H856" s="52"/>
      <c r="I856" s="32" t="s">
        <v>2291</v>
      </c>
      <c r="J856" s="54">
        <v>1</v>
      </c>
      <c r="K856" s="38"/>
      <c r="L856" s="35">
        <v>0</v>
      </c>
      <c r="M856" s="54" t="s">
        <v>32</v>
      </c>
      <c r="N856" s="37">
        <v>1</v>
      </c>
      <c r="O856" s="35">
        <v>0</v>
      </c>
      <c r="P856" s="35" t="s">
        <v>33</v>
      </c>
      <c r="Q856" s="97">
        <v>45453</v>
      </c>
      <c r="R856" s="35" t="s">
        <v>62</v>
      </c>
      <c r="S856" s="38" t="s">
        <v>3782</v>
      </c>
      <c r="T856" s="78">
        <v>2</v>
      </c>
      <c r="U856" s="78"/>
      <c r="V856" s="78"/>
      <c r="W856" s="78" t="s">
        <v>161</v>
      </c>
      <c r="X856" s="78" t="s">
        <v>3779</v>
      </c>
      <c r="Y856" s="78"/>
      <c r="Z856" s="78" t="s">
        <v>48</v>
      </c>
      <c r="AA856" s="78" t="s">
        <v>225</v>
      </c>
      <c r="AB856" s="78">
        <v>1</v>
      </c>
    </row>
    <row r="857" spans="1:28" x14ac:dyDescent="0.25">
      <c r="A857" t="str">
        <f>IF(EXACT('BOM A320 FFS'!B1172,obsoleta!D857),"OK","ERROR")</f>
        <v>ERROR</v>
      </c>
      <c r="C857" s="52" t="s">
        <v>298</v>
      </c>
      <c r="D857" s="69" t="s">
        <v>70</v>
      </c>
      <c r="E857" s="69"/>
      <c r="F857" s="32" t="s">
        <v>2288</v>
      </c>
      <c r="G857" s="32" t="s">
        <v>70</v>
      </c>
      <c r="H857" s="52"/>
      <c r="I857" s="32" t="s">
        <v>301</v>
      </c>
      <c r="J857" s="54">
        <v>1</v>
      </c>
      <c r="K857" s="38"/>
      <c r="L857" s="35">
        <v>0</v>
      </c>
      <c r="M857" s="54" t="s">
        <v>32</v>
      </c>
      <c r="N857" s="37">
        <v>1</v>
      </c>
      <c r="O857" s="35">
        <v>0</v>
      </c>
      <c r="P857" s="35" t="s">
        <v>99</v>
      </c>
      <c r="Q857" s="97">
        <v>45442</v>
      </c>
      <c r="R857" s="35" t="s">
        <v>62</v>
      </c>
      <c r="S857" s="38"/>
      <c r="T857" s="78">
        <v>2</v>
      </c>
      <c r="U857" s="78"/>
      <c r="V857" s="78"/>
      <c r="W857" s="78" t="s">
        <v>54</v>
      </c>
      <c r="X857" s="78"/>
      <c r="Y857" s="78"/>
      <c r="Z857" s="78"/>
      <c r="AA857" s="78" t="s">
        <v>225</v>
      </c>
      <c r="AB857" s="78"/>
    </row>
    <row r="858" spans="1:28" x14ac:dyDescent="0.25">
      <c r="A858" t="str">
        <f>IF(EXACT('BOM A320 FFS'!B1173,obsoleta!D858),"OK","ERROR")</f>
        <v>ERROR</v>
      </c>
      <c r="C858" s="31" t="s">
        <v>298</v>
      </c>
      <c r="D858" s="31" t="s">
        <v>70</v>
      </c>
      <c r="E858" s="31"/>
      <c r="F858" s="32" t="s">
        <v>2285</v>
      </c>
      <c r="G858" s="32" t="s">
        <v>70</v>
      </c>
      <c r="H858" s="52"/>
      <c r="I858" s="32" t="s">
        <v>301</v>
      </c>
      <c r="J858" s="54">
        <v>1</v>
      </c>
      <c r="K858" s="38"/>
      <c r="L858" s="35">
        <v>0</v>
      </c>
      <c r="M858" s="54" t="s">
        <v>32</v>
      </c>
      <c r="N858" s="37">
        <v>1</v>
      </c>
      <c r="O858" s="35">
        <v>0</v>
      </c>
      <c r="P858" s="35" t="s">
        <v>99</v>
      </c>
      <c r="Q858" s="97">
        <v>45442</v>
      </c>
      <c r="R858" s="35" t="s">
        <v>62</v>
      </c>
      <c r="S858" s="38"/>
      <c r="T858" s="78">
        <v>2</v>
      </c>
      <c r="U858" s="78"/>
      <c r="V858" s="78"/>
      <c r="W858" s="78" t="s">
        <v>54</v>
      </c>
      <c r="X858" s="78"/>
      <c r="Y858" s="78"/>
      <c r="Z858" s="78"/>
      <c r="AA858" s="78" t="s">
        <v>225</v>
      </c>
      <c r="AB858" s="78"/>
    </row>
    <row r="859" spans="1:28" x14ac:dyDescent="0.25">
      <c r="A859" t="str">
        <f>IF(EXACT('BOM A320 FFS'!B1174,obsoleta!D859),"OK","ERROR")</f>
        <v>ERROR</v>
      </c>
      <c r="C859" s="51" t="s">
        <v>298</v>
      </c>
      <c r="D859" s="51" t="s">
        <v>70</v>
      </c>
      <c r="E859" s="51"/>
      <c r="F859" s="32" t="s">
        <v>2284</v>
      </c>
      <c r="G859" s="32" t="s">
        <v>70</v>
      </c>
      <c r="H859" s="52"/>
      <c r="I859" s="32" t="s">
        <v>301</v>
      </c>
      <c r="J859" s="54">
        <v>1</v>
      </c>
      <c r="K859" s="38"/>
      <c r="L859" s="35">
        <v>0</v>
      </c>
      <c r="M859" s="54" t="s">
        <v>32</v>
      </c>
      <c r="N859" s="37">
        <v>1</v>
      </c>
      <c r="O859" s="35">
        <v>0</v>
      </c>
      <c r="P859" s="35" t="s">
        <v>99</v>
      </c>
      <c r="Q859" s="97">
        <v>45442</v>
      </c>
      <c r="R859" s="35" t="s">
        <v>62</v>
      </c>
      <c r="S859" s="38"/>
      <c r="T859" s="78">
        <v>2</v>
      </c>
      <c r="U859" s="78"/>
      <c r="V859" s="78"/>
      <c r="W859" s="78" t="s">
        <v>54</v>
      </c>
      <c r="X859" s="78"/>
      <c r="Y859" s="78"/>
      <c r="Z859" s="78"/>
      <c r="AA859" s="78" t="s">
        <v>225</v>
      </c>
      <c r="AB859" s="78"/>
    </row>
    <row r="860" spans="1:28" x14ac:dyDescent="0.25">
      <c r="A860" t="str">
        <f>IF(EXACT('BOM A320 FFS'!B1175,obsoleta!D860),"OK","ERROR")</f>
        <v>ERROR</v>
      </c>
      <c r="C860" s="51" t="s">
        <v>298</v>
      </c>
      <c r="D860" s="51" t="s">
        <v>70</v>
      </c>
      <c r="E860" s="51"/>
      <c r="F860" s="32" t="s">
        <v>2283</v>
      </c>
      <c r="G860" s="32" t="s">
        <v>70</v>
      </c>
      <c r="H860" s="52"/>
      <c r="I860" s="32" t="s">
        <v>301</v>
      </c>
      <c r="J860" s="54">
        <v>1</v>
      </c>
      <c r="K860" s="38"/>
      <c r="L860" s="35">
        <v>0</v>
      </c>
      <c r="M860" s="54" t="s">
        <v>32</v>
      </c>
      <c r="N860" s="37">
        <v>1</v>
      </c>
      <c r="O860" s="35">
        <v>0</v>
      </c>
      <c r="P860" s="35" t="s">
        <v>99</v>
      </c>
      <c r="Q860" s="97">
        <v>45442</v>
      </c>
      <c r="R860" s="35" t="s">
        <v>62</v>
      </c>
      <c r="S860" s="38"/>
      <c r="T860" s="78">
        <v>2</v>
      </c>
      <c r="U860" s="78"/>
      <c r="V860" s="78"/>
      <c r="W860" s="78" t="s">
        <v>54</v>
      </c>
      <c r="X860" s="78"/>
      <c r="Y860" s="78"/>
      <c r="Z860" s="78"/>
      <c r="AA860" s="78" t="s">
        <v>225</v>
      </c>
      <c r="AB860" s="78"/>
    </row>
    <row r="861" spans="1:28" x14ac:dyDescent="0.25">
      <c r="A861" t="str">
        <f>IF(EXACT('BOM A320 FFS'!B1180,obsoleta!D861),"OK","ERROR")</f>
        <v>ERROR</v>
      </c>
      <c r="C861" s="51" t="s">
        <v>298</v>
      </c>
      <c r="D861" s="51" t="s">
        <v>694</v>
      </c>
      <c r="E861" s="51"/>
      <c r="F861" s="32" t="s">
        <v>695</v>
      </c>
      <c r="G861" s="32">
        <v>970185470500</v>
      </c>
      <c r="H861" s="52"/>
      <c r="I861" s="32" t="s">
        <v>301</v>
      </c>
      <c r="J861" s="54">
        <v>1</v>
      </c>
      <c r="K861" s="38"/>
      <c r="L861" s="35">
        <v>70</v>
      </c>
      <c r="M861" s="54" t="s">
        <v>32</v>
      </c>
      <c r="N861" s="37">
        <v>1</v>
      </c>
      <c r="O861" s="35">
        <v>70</v>
      </c>
      <c r="P861" s="35" t="s">
        <v>33</v>
      </c>
      <c r="Q861" s="97">
        <v>45453</v>
      </c>
      <c r="R861" s="35" t="s">
        <v>62</v>
      </c>
      <c r="S861" s="38" t="s">
        <v>696</v>
      </c>
      <c r="T861" s="78">
        <v>1</v>
      </c>
      <c r="U861" s="78" t="s">
        <v>34</v>
      </c>
      <c r="V861" s="78"/>
      <c r="W861" s="78" t="s">
        <v>40</v>
      </c>
      <c r="X861" s="78"/>
      <c r="Y861" s="78">
        <v>1</v>
      </c>
      <c r="Z861" s="78" t="s">
        <v>48</v>
      </c>
      <c r="AA861" s="78" t="s">
        <v>225</v>
      </c>
      <c r="AB861" s="78">
        <v>1</v>
      </c>
    </row>
    <row r="862" spans="1:28" x14ac:dyDescent="0.25">
      <c r="A862" t="str">
        <f>IF(EXACT('BOM A320 FFS'!B1182,obsoleta!D862),"OK","ERROR")</f>
        <v>ERROR</v>
      </c>
      <c r="C862" s="51" t="s">
        <v>298</v>
      </c>
      <c r="D862" s="51" t="s">
        <v>691</v>
      </c>
      <c r="E862" s="51"/>
      <c r="F862" s="32" t="s">
        <v>692</v>
      </c>
      <c r="G862" s="32">
        <v>970185470100</v>
      </c>
      <c r="H862" s="52"/>
      <c r="I862" s="52" t="s">
        <v>301</v>
      </c>
      <c r="J862" s="54">
        <v>1</v>
      </c>
      <c r="K862" s="38"/>
      <c r="L862" s="35">
        <v>70</v>
      </c>
      <c r="M862" s="54" t="s">
        <v>32</v>
      </c>
      <c r="N862" s="37">
        <v>1</v>
      </c>
      <c r="O862" s="35">
        <v>70</v>
      </c>
      <c r="P862" s="35" t="s">
        <v>33</v>
      </c>
      <c r="Q862" s="97">
        <v>45453</v>
      </c>
      <c r="R862" s="35" t="s">
        <v>62</v>
      </c>
      <c r="S862" s="79" t="s">
        <v>693</v>
      </c>
      <c r="T862" s="78">
        <v>1</v>
      </c>
      <c r="U862" s="78" t="s">
        <v>34</v>
      </c>
      <c r="V862" s="78"/>
      <c r="W862" s="78" t="s">
        <v>40</v>
      </c>
      <c r="X862" s="78"/>
      <c r="Y862" s="78">
        <v>1</v>
      </c>
      <c r="Z862" s="78" t="s">
        <v>48</v>
      </c>
      <c r="AA862" s="78" t="s">
        <v>225</v>
      </c>
      <c r="AB862" s="78">
        <v>1</v>
      </c>
    </row>
    <row r="863" spans="1:28" ht="24.75" x14ac:dyDescent="0.25">
      <c r="A863" t="str">
        <f>IF(EXACT('BOM A320 FFS'!B1183,obsoleta!D863),"OK","ERROR")</f>
        <v>ERROR</v>
      </c>
      <c r="C863" s="51" t="s">
        <v>298</v>
      </c>
      <c r="D863" s="51" t="s">
        <v>673</v>
      </c>
      <c r="E863" s="51"/>
      <c r="F863" s="52" t="s">
        <v>674</v>
      </c>
      <c r="G863" s="51">
        <v>970185470200</v>
      </c>
      <c r="H863" s="52"/>
      <c r="I863" s="52" t="s">
        <v>301</v>
      </c>
      <c r="J863" s="54">
        <v>5</v>
      </c>
      <c r="K863" s="38"/>
      <c r="L863" s="35">
        <v>70</v>
      </c>
      <c r="M863" s="54" t="s">
        <v>32</v>
      </c>
      <c r="N863" s="37">
        <v>1</v>
      </c>
      <c r="O863" s="35">
        <v>70</v>
      </c>
      <c r="P863" s="35" t="s">
        <v>33</v>
      </c>
      <c r="Q863" s="97">
        <v>45453</v>
      </c>
      <c r="R863" s="35" t="s">
        <v>62</v>
      </c>
      <c r="S863" s="79" t="s">
        <v>675</v>
      </c>
      <c r="T863" s="78">
        <v>1</v>
      </c>
      <c r="U863" s="78" t="s">
        <v>34</v>
      </c>
      <c r="V863" s="78"/>
      <c r="W863" s="78" t="s">
        <v>40</v>
      </c>
      <c r="X863" s="78"/>
      <c r="Y863" s="78">
        <v>1</v>
      </c>
      <c r="Z863" s="78" t="s">
        <v>48</v>
      </c>
      <c r="AA863" s="78" t="s">
        <v>225</v>
      </c>
      <c r="AB863" s="78">
        <v>5</v>
      </c>
    </row>
    <row r="864" spans="1:28" x14ac:dyDescent="0.25">
      <c r="A864" t="str">
        <f>IF(EXACT('BOM A320 FFS'!B1185,obsoleta!D864),"OK","ERROR")</f>
        <v>ERROR</v>
      </c>
      <c r="C864" s="51" t="s">
        <v>298</v>
      </c>
      <c r="D864" s="51" t="s">
        <v>714</v>
      </c>
      <c r="E864" s="51"/>
      <c r="F864" s="52" t="s">
        <v>715</v>
      </c>
      <c r="G864" s="51">
        <v>970785011700</v>
      </c>
      <c r="H864" s="52"/>
      <c r="I864" s="52" t="s">
        <v>301</v>
      </c>
      <c r="J864" s="54">
        <v>1</v>
      </c>
      <c r="K864" s="38"/>
      <c r="L864" s="35">
        <v>70</v>
      </c>
      <c r="M864" s="54" t="s">
        <v>32</v>
      </c>
      <c r="N864" s="37">
        <v>1</v>
      </c>
      <c r="O864" s="35">
        <v>70</v>
      </c>
      <c r="P864" s="35" t="s">
        <v>33</v>
      </c>
      <c r="Q864" s="97">
        <v>45453</v>
      </c>
      <c r="R864" s="35" t="s">
        <v>62</v>
      </c>
      <c r="S864" s="38" t="s">
        <v>687</v>
      </c>
      <c r="T864" s="78">
        <v>1</v>
      </c>
      <c r="U864" s="78" t="s">
        <v>34</v>
      </c>
      <c r="V864" s="78"/>
      <c r="W864" s="78" t="s">
        <v>40</v>
      </c>
      <c r="X864" s="78"/>
      <c r="Y864" s="78">
        <v>1</v>
      </c>
      <c r="Z864" s="78" t="s">
        <v>48</v>
      </c>
      <c r="AA864" s="78" t="s">
        <v>225</v>
      </c>
      <c r="AB864" s="78">
        <v>1</v>
      </c>
    </row>
    <row r="865" spans="1:28" x14ac:dyDescent="0.25">
      <c r="A865" t="str">
        <f>IF(EXACT('BOM A320 FFS'!B1186,obsoleta!D865),"OK","ERROR")</f>
        <v>ERROR</v>
      </c>
      <c r="C865" s="51" t="s">
        <v>298</v>
      </c>
      <c r="D865" s="51" t="s">
        <v>685</v>
      </c>
      <c r="E865" s="51"/>
      <c r="F865" s="52" t="s">
        <v>686</v>
      </c>
      <c r="G865" s="51">
        <v>970785241600</v>
      </c>
      <c r="H865" s="52"/>
      <c r="I865" s="52" t="s">
        <v>301</v>
      </c>
      <c r="J865" s="54">
        <v>1</v>
      </c>
      <c r="K865" s="38"/>
      <c r="L865" s="35">
        <v>70</v>
      </c>
      <c r="M865" s="54" t="s">
        <v>32</v>
      </c>
      <c r="N865" s="37">
        <v>1</v>
      </c>
      <c r="O865" s="35">
        <v>70</v>
      </c>
      <c r="P865" s="35" t="s">
        <v>33</v>
      </c>
      <c r="Q865" s="97">
        <v>45453</v>
      </c>
      <c r="R865" s="35" t="s">
        <v>62</v>
      </c>
      <c r="S865" s="38" t="s">
        <v>687</v>
      </c>
      <c r="T865" s="78">
        <v>1</v>
      </c>
      <c r="U865" s="78" t="s">
        <v>34</v>
      </c>
      <c r="V865" s="78"/>
      <c r="W865" s="78" t="s">
        <v>40</v>
      </c>
      <c r="X865" s="78"/>
      <c r="Y865" s="78">
        <v>1</v>
      </c>
      <c r="Z865" s="78" t="s">
        <v>48</v>
      </c>
      <c r="AA865" s="78" t="s">
        <v>225</v>
      </c>
      <c r="AB865" s="78">
        <v>1</v>
      </c>
    </row>
    <row r="866" spans="1:28" x14ac:dyDescent="0.25">
      <c r="A866" t="str">
        <f>IF(EXACT('BOM A320 FFS'!B1187,obsoleta!D866),"OK","ERROR")</f>
        <v>ERROR</v>
      </c>
      <c r="C866" s="51" t="s">
        <v>298</v>
      </c>
      <c r="D866" s="51" t="s">
        <v>712</v>
      </c>
      <c r="E866" s="51"/>
      <c r="F866" s="52" t="s">
        <v>713</v>
      </c>
      <c r="G866" s="51">
        <v>970785241700</v>
      </c>
      <c r="H866" s="52"/>
      <c r="I866" s="52" t="s">
        <v>301</v>
      </c>
      <c r="J866" s="54">
        <v>1</v>
      </c>
      <c r="K866" s="38"/>
      <c r="L866" s="35">
        <v>70</v>
      </c>
      <c r="M866" s="54" t="s">
        <v>32</v>
      </c>
      <c r="N866" s="37">
        <v>1</v>
      </c>
      <c r="O866" s="35">
        <v>70</v>
      </c>
      <c r="P866" s="35" t="s">
        <v>33</v>
      </c>
      <c r="Q866" s="97">
        <v>45453</v>
      </c>
      <c r="R866" s="35" t="s">
        <v>62</v>
      </c>
      <c r="S866" s="38" t="s">
        <v>687</v>
      </c>
      <c r="T866" s="78">
        <v>1</v>
      </c>
      <c r="U866" s="78" t="s">
        <v>34</v>
      </c>
      <c r="V866" s="78"/>
      <c r="W866" s="78" t="s">
        <v>40</v>
      </c>
      <c r="X866" s="78"/>
      <c r="Y866" s="78">
        <v>1</v>
      </c>
      <c r="Z866" s="78" t="s">
        <v>48</v>
      </c>
      <c r="AA866" s="78" t="s">
        <v>225</v>
      </c>
      <c r="AB866" s="78">
        <v>1</v>
      </c>
    </row>
    <row r="867" spans="1:28" x14ac:dyDescent="0.25">
      <c r="A867" t="str">
        <f>IF(EXACT('BOM A320 FFS'!B1188,obsoleta!D867),"OK","ERROR")</f>
        <v>ERROR</v>
      </c>
      <c r="C867" s="51" t="s">
        <v>298</v>
      </c>
      <c r="D867" s="51" t="s">
        <v>682</v>
      </c>
      <c r="E867" s="51"/>
      <c r="F867" s="52" t="s">
        <v>683</v>
      </c>
      <c r="G867" s="51">
        <v>970785470300</v>
      </c>
      <c r="H867" s="52"/>
      <c r="I867" s="52" t="s">
        <v>301</v>
      </c>
      <c r="J867" s="54">
        <v>2</v>
      </c>
      <c r="K867" s="38"/>
      <c r="L867" s="35">
        <v>70</v>
      </c>
      <c r="M867" s="54" t="s">
        <v>32</v>
      </c>
      <c r="N867" s="37">
        <v>1</v>
      </c>
      <c r="O867" s="35">
        <v>70</v>
      </c>
      <c r="P867" s="35" t="s">
        <v>33</v>
      </c>
      <c r="Q867" s="97">
        <v>45453</v>
      </c>
      <c r="R867" s="35" t="s">
        <v>62</v>
      </c>
      <c r="S867" s="38" t="s">
        <v>684</v>
      </c>
      <c r="T867" s="78">
        <v>1</v>
      </c>
      <c r="U867" s="78" t="s">
        <v>34</v>
      </c>
      <c r="V867" s="78"/>
      <c r="W867" s="78" t="s">
        <v>40</v>
      </c>
      <c r="X867" s="78"/>
      <c r="Y867" s="78">
        <v>1</v>
      </c>
      <c r="Z867" s="78" t="s">
        <v>48</v>
      </c>
      <c r="AA867" s="78" t="s">
        <v>225</v>
      </c>
      <c r="AB867" s="78">
        <v>2</v>
      </c>
    </row>
    <row r="868" spans="1:28" x14ac:dyDescent="0.25">
      <c r="A868" t="str">
        <f>IF(EXACT('BOM A320 FFS'!B1189,obsoleta!D868),"OK","ERROR")</f>
        <v>ERROR</v>
      </c>
      <c r="C868" s="51" t="s">
        <v>298</v>
      </c>
      <c r="D868" s="51" t="s">
        <v>709</v>
      </c>
      <c r="E868" s="51"/>
      <c r="F868" s="52" t="s">
        <v>710</v>
      </c>
      <c r="G868" s="51">
        <v>970785470400</v>
      </c>
      <c r="H868" s="52"/>
      <c r="I868" s="52" t="s">
        <v>301</v>
      </c>
      <c r="J868" s="54">
        <v>1</v>
      </c>
      <c r="K868" s="38"/>
      <c r="L868" s="35">
        <v>70</v>
      </c>
      <c r="M868" s="54" t="s">
        <v>32</v>
      </c>
      <c r="N868" s="37">
        <v>1</v>
      </c>
      <c r="O868" s="35">
        <v>70</v>
      </c>
      <c r="P868" s="35" t="s">
        <v>33</v>
      </c>
      <c r="Q868" s="97">
        <v>45453</v>
      </c>
      <c r="R868" s="35" t="s">
        <v>62</v>
      </c>
      <c r="S868" s="38" t="s">
        <v>711</v>
      </c>
      <c r="T868" s="78">
        <v>1</v>
      </c>
      <c r="U868" s="78" t="s">
        <v>34</v>
      </c>
      <c r="V868" s="78"/>
      <c r="W868" s="78" t="s">
        <v>40</v>
      </c>
      <c r="X868" s="78"/>
      <c r="Y868" s="78">
        <v>1</v>
      </c>
      <c r="Z868" s="78" t="s">
        <v>48</v>
      </c>
      <c r="AA868" s="78" t="s">
        <v>225</v>
      </c>
      <c r="AB868" s="78">
        <v>1</v>
      </c>
    </row>
    <row r="869" spans="1:28" x14ac:dyDescent="0.25">
      <c r="A869" t="str">
        <f>IF(EXACT('BOM A320 FFS'!B1191,obsoleta!D869),"OK","ERROR")</f>
        <v>ERROR</v>
      </c>
      <c r="C869" s="51" t="s">
        <v>298</v>
      </c>
      <c r="D869" s="51" t="s">
        <v>706</v>
      </c>
      <c r="E869" s="51"/>
      <c r="F869" s="52" t="s">
        <v>707</v>
      </c>
      <c r="G869" s="51">
        <v>970785470100</v>
      </c>
      <c r="H869" s="52"/>
      <c r="I869" s="52" t="s">
        <v>301</v>
      </c>
      <c r="J869" s="54">
        <v>1</v>
      </c>
      <c r="K869" s="38"/>
      <c r="L869" s="35">
        <v>70</v>
      </c>
      <c r="M869" s="54" t="s">
        <v>32</v>
      </c>
      <c r="N869" s="37">
        <v>1</v>
      </c>
      <c r="O869" s="35">
        <v>70</v>
      </c>
      <c r="P869" s="35" t="s">
        <v>33</v>
      </c>
      <c r="Q869" s="97">
        <v>45453</v>
      </c>
      <c r="R869" s="35" t="s">
        <v>62</v>
      </c>
      <c r="S869" s="38" t="s">
        <v>708</v>
      </c>
      <c r="T869" s="78">
        <v>1</v>
      </c>
      <c r="U869" s="78" t="s">
        <v>34</v>
      </c>
      <c r="V869" s="78"/>
      <c r="W869" s="78" t="s">
        <v>40</v>
      </c>
      <c r="X869" s="78"/>
      <c r="Y869" s="78">
        <v>1</v>
      </c>
      <c r="Z869" s="78" t="s">
        <v>48</v>
      </c>
      <c r="AA869" s="78" t="s">
        <v>225</v>
      </c>
      <c r="AB869" s="78">
        <v>1</v>
      </c>
    </row>
    <row r="870" spans="1:28" x14ac:dyDescent="0.25">
      <c r="A870" t="str">
        <f>IF(EXACT('BOM A320 FFS'!B1192,obsoleta!D870),"OK","ERROR")</f>
        <v>ERROR</v>
      </c>
      <c r="C870" s="51" t="s">
        <v>298</v>
      </c>
      <c r="D870" s="51" t="s">
        <v>703</v>
      </c>
      <c r="E870" s="51"/>
      <c r="F870" s="52" t="s">
        <v>704</v>
      </c>
      <c r="G870" s="51">
        <v>970785470700</v>
      </c>
      <c r="H870" s="52"/>
      <c r="I870" s="52" t="s">
        <v>301</v>
      </c>
      <c r="J870" s="54">
        <v>1</v>
      </c>
      <c r="K870" s="38"/>
      <c r="L870" s="35">
        <v>70</v>
      </c>
      <c r="M870" s="54" t="s">
        <v>32</v>
      </c>
      <c r="N870" s="37">
        <v>1</v>
      </c>
      <c r="O870" s="35">
        <v>70</v>
      </c>
      <c r="P870" s="35" t="s">
        <v>33</v>
      </c>
      <c r="Q870" s="97">
        <v>45453</v>
      </c>
      <c r="R870" s="35" t="s">
        <v>62</v>
      </c>
      <c r="S870" s="38" t="s">
        <v>705</v>
      </c>
      <c r="T870" s="78">
        <v>1</v>
      </c>
      <c r="U870" s="78" t="s">
        <v>34</v>
      </c>
      <c r="V870" s="78"/>
      <c r="W870" s="78" t="s">
        <v>40</v>
      </c>
      <c r="X870" s="78"/>
      <c r="Y870" s="78">
        <v>1</v>
      </c>
      <c r="Z870" s="78" t="s">
        <v>48</v>
      </c>
      <c r="AA870" s="78" t="s">
        <v>225</v>
      </c>
      <c r="AB870" s="78">
        <v>1</v>
      </c>
    </row>
    <row r="871" spans="1:28" x14ac:dyDescent="0.25">
      <c r="A871" t="str">
        <f>IF(EXACT('BOM A320 FFS'!B1193,obsoleta!D871),"OK","ERROR")</f>
        <v>ERROR</v>
      </c>
      <c r="C871" s="51" t="s">
        <v>298</v>
      </c>
      <c r="D871" s="51" t="s">
        <v>700</v>
      </c>
      <c r="E871" s="51"/>
      <c r="F871" s="52" t="s">
        <v>701</v>
      </c>
      <c r="G871" s="51">
        <v>970785470800</v>
      </c>
      <c r="H871" s="52"/>
      <c r="I871" s="52" t="s">
        <v>301</v>
      </c>
      <c r="J871" s="54">
        <v>1</v>
      </c>
      <c r="K871" s="38"/>
      <c r="L871" s="35">
        <v>70</v>
      </c>
      <c r="M871" s="54" t="s">
        <v>32</v>
      </c>
      <c r="N871" s="37">
        <v>1</v>
      </c>
      <c r="O871" s="35">
        <v>70</v>
      </c>
      <c r="P871" s="35" t="s">
        <v>33</v>
      </c>
      <c r="Q871" s="97">
        <v>45453</v>
      </c>
      <c r="R871" s="35" t="s">
        <v>62</v>
      </c>
      <c r="S871" s="38" t="s">
        <v>702</v>
      </c>
      <c r="T871" s="78">
        <v>1</v>
      </c>
      <c r="U871" s="78" t="s">
        <v>34</v>
      </c>
      <c r="V871" s="78"/>
      <c r="W871" s="78" t="s">
        <v>40</v>
      </c>
      <c r="X871" s="78"/>
      <c r="Y871" s="78">
        <v>1</v>
      </c>
      <c r="Z871" s="78" t="s">
        <v>48</v>
      </c>
      <c r="AA871" s="78" t="s">
        <v>225</v>
      </c>
      <c r="AB871" s="78">
        <v>1</v>
      </c>
    </row>
    <row r="872" spans="1:28" x14ac:dyDescent="0.25">
      <c r="A872" t="str">
        <f>IF(EXACT('BOM A320 FFS'!B1195,obsoleta!D872),"OK","ERROR")</f>
        <v>ERROR</v>
      </c>
      <c r="C872" s="51" t="s">
        <v>298</v>
      </c>
      <c r="D872" s="51" t="s">
        <v>697</v>
      </c>
      <c r="E872" s="51"/>
      <c r="F872" s="52" t="s">
        <v>698</v>
      </c>
      <c r="G872" s="51">
        <v>970785470900</v>
      </c>
      <c r="H872" s="52"/>
      <c r="I872" s="52" t="s">
        <v>301</v>
      </c>
      <c r="J872" s="54">
        <v>1</v>
      </c>
      <c r="K872" s="38"/>
      <c r="L872" s="35">
        <v>70</v>
      </c>
      <c r="M872" s="54" t="s">
        <v>32</v>
      </c>
      <c r="N872" s="37">
        <v>1</v>
      </c>
      <c r="O872" s="35">
        <v>70</v>
      </c>
      <c r="P872" s="35" t="s">
        <v>33</v>
      </c>
      <c r="Q872" s="97">
        <v>45453</v>
      </c>
      <c r="R872" s="35" t="s">
        <v>62</v>
      </c>
      <c r="S872" s="38" t="s">
        <v>699</v>
      </c>
      <c r="T872" s="78">
        <v>1</v>
      </c>
      <c r="U872" s="78" t="s">
        <v>34</v>
      </c>
      <c r="V872" s="78"/>
      <c r="W872" s="78" t="s">
        <v>40</v>
      </c>
      <c r="X872" s="78"/>
      <c r="Y872" s="78">
        <v>1</v>
      </c>
      <c r="Z872" s="78" t="s">
        <v>48</v>
      </c>
      <c r="AA872" s="78" t="s">
        <v>225</v>
      </c>
      <c r="AB872" s="78">
        <v>1</v>
      </c>
    </row>
    <row r="873" spans="1:28" x14ac:dyDescent="0.25">
      <c r="A873" t="str">
        <f>IF(EXACT('BOM A320 FFS'!B1196,obsoleta!D873),"OK","ERROR")</f>
        <v>ERROR</v>
      </c>
      <c r="C873" s="51" t="s">
        <v>298</v>
      </c>
      <c r="D873" s="51" t="s">
        <v>688</v>
      </c>
      <c r="E873" s="51"/>
      <c r="F873" s="52" t="s">
        <v>689</v>
      </c>
      <c r="G873" s="51">
        <v>970785470600</v>
      </c>
      <c r="H873" s="9"/>
      <c r="I873" s="9" t="s">
        <v>301</v>
      </c>
      <c r="J873" s="61">
        <v>1</v>
      </c>
      <c r="K873" s="47"/>
      <c r="L873" s="89">
        <v>70</v>
      </c>
      <c r="M873" s="61" t="s">
        <v>32</v>
      </c>
      <c r="N873" s="90">
        <v>1</v>
      </c>
      <c r="O873" s="89">
        <v>70</v>
      </c>
      <c r="P873" s="89" t="s">
        <v>33</v>
      </c>
      <c r="Q873" s="101">
        <v>45453</v>
      </c>
      <c r="R873" s="89" t="s">
        <v>62</v>
      </c>
      <c r="S873" s="47" t="s">
        <v>690</v>
      </c>
      <c r="T873" s="82">
        <v>1</v>
      </c>
      <c r="U873" s="82" t="s">
        <v>34</v>
      </c>
      <c r="V873" s="82"/>
      <c r="W873" s="82" t="s">
        <v>40</v>
      </c>
      <c r="X873" s="82"/>
      <c r="Y873" s="82">
        <v>1</v>
      </c>
      <c r="Z873" s="82" t="s">
        <v>48</v>
      </c>
      <c r="AA873" s="82" t="s">
        <v>225</v>
      </c>
      <c r="AB873" s="82">
        <v>1</v>
      </c>
    </row>
    <row r="874" spans="1:28" x14ac:dyDescent="0.25">
      <c r="A874" t="str">
        <f>IF(EXACT('BOM A320 FFS'!B1207,obsoleta!D874),"OK","ERROR")</f>
        <v>ERROR</v>
      </c>
      <c r="C874" s="126"/>
      <c r="D874" s="126"/>
      <c r="E874" s="126"/>
      <c r="F874" s="9"/>
      <c r="G874" s="126"/>
      <c r="H874" s="9"/>
      <c r="I874" s="9"/>
      <c r="J874" s="61"/>
      <c r="K874" s="47"/>
      <c r="L874" s="89"/>
      <c r="M874" s="61"/>
      <c r="N874" s="90"/>
      <c r="O874" s="89"/>
      <c r="P874" s="89"/>
      <c r="Q874" s="101"/>
      <c r="R874" s="89"/>
      <c r="S874" s="47"/>
      <c r="T874" s="82"/>
      <c r="U874" s="82"/>
      <c r="V874" s="82"/>
      <c r="W874" s="82"/>
      <c r="X874" s="82"/>
      <c r="Y874" s="82"/>
      <c r="Z874" s="82"/>
      <c r="AA874" s="82"/>
      <c r="AB874" s="82"/>
    </row>
    <row r="875" spans="1:28" x14ac:dyDescent="0.25">
      <c r="A875" t="str">
        <f>IF(EXACT('BOM A320 FFS'!B1208,obsoleta!D875),"OK","ERROR")</f>
        <v>ERROR</v>
      </c>
      <c r="C875" s="126"/>
      <c r="D875" s="63" t="s">
        <v>3678</v>
      </c>
      <c r="E875" s="63"/>
      <c r="F875" s="9"/>
      <c r="G875" s="126"/>
      <c r="H875" s="122"/>
      <c r="I875" s="115"/>
      <c r="J875" s="115"/>
      <c r="K875" s="47"/>
      <c r="L875" s="89"/>
      <c r="M875" s="61"/>
      <c r="N875" s="90"/>
      <c r="O875" s="89"/>
      <c r="P875" s="89"/>
      <c r="Q875" s="101"/>
      <c r="R875" s="89"/>
      <c r="S875" s="47"/>
      <c r="T875" s="82"/>
      <c r="U875" s="82"/>
      <c r="V875" s="82"/>
      <c r="W875" s="82"/>
      <c r="X875" s="82"/>
      <c r="Y875" s="82"/>
      <c r="Z875" s="82"/>
      <c r="AA875" s="82"/>
      <c r="AB875" s="82"/>
    </row>
    <row r="876" spans="1:28" x14ac:dyDescent="0.25">
      <c r="A876" t="str">
        <f>IF(EXACT('BOM A320 FFS'!B1209,obsoleta!D876),"OK","ERROR")</f>
        <v>ERROR</v>
      </c>
      <c r="C876" s="122"/>
      <c r="D876" s="123" t="s">
        <v>1881</v>
      </c>
      <c r="E876" s="123" t="s">
        <v>3758</v>
      </c>
      <c r="F876" s="124" t="s">
        <v>1882</v>
      </c>
      <c r="G876" s="115" t="s">
        <v>1883</v>
      </c>
      <c r="H876" s="115" t="s">
        <v>461</v>
      </c>
      <c r="I876" s="115" t="s">
        <v>3758</v>
      </c>
      <c r="J876" s="115" t="s">
        <v>3758</v>
      </c>
      <c r="K876" s="47"/>
      <c r="L876" s="89"/>
      <c r="M876" s="61"/>
      <c r="N876" s="90"/>
      <c r="O876" s="89"/>
      <c r="P876" s="89"/>
      <c r="Q876" s="101"/>
      <c r="R876" s="89"/>
      <c r="S876" s="47"/>
      <c r="T876" s="82"/>
      <c r="U876" s="82"/>
      <c r="V876" s="82"/>
      <c r="W876" s="82"/>
      <c r="X876" s="82"/>
      <c r="Y876" s="82"/>
      <c r="Z876" s="82"/>
      <c r="AA876" s="82"/>
      <c r="AB876" s="82"/>
    </row>
    <row r="877" spans="1:28" x14ac:dyDescent="0.25">
      <c r="A877" t="str">
        <f>IF(EXACT('BOM A320 FFS'!B1210,obsoleta!D877),"OK","ERROR")</f>
        <v>ERROR</v>
      </c>
      <c r="C877" s="122"/>
      <c r="D877" s="123" t="s">
        <v>2050</v>
      </c>
      <c r="E877" s="123" t="s">
        <v>3758</v>
      </c>
      <c r="F877" s="115" t="s">
        <v>3783</v>
      </c>
      <c r="G877" s="124" t="s">
        <v>2052</v>
      </c>
      <c r="H877" s="122" t="s">
        <v>1843</v>
      </c>
      <c r="I877" s="115" t="s">
        <v>3758</v>
      </c>
      <c r="J877" s="115" t="s">
        <v>3758</v>
      </c>
      <c r="K877" s="47"/>
      <c r="L877" s="89"/>
      <c r="M877" s="61"/>
      <c r="N877" s="90"/>
      <c r="O877" s="89"/>
      <c r="P877" s="89"/>
      <c r="Q877" s="101"/>
      <c r="R877" s="89"/>
      <c r="S877" s="47"/>
      <c r="T877" s="82"/>
      <c r="U877" s="82"/>
      <c r="V877" s="82"/>
      <c r="W877" s="82"/>
      <c r="X877" s="82"/>
      <c r="Y877" s="82"/>
      <c r="Z877" s="82"/>
      <c r="AA877" s="82"/>
      <c r="AB877" s="82"/>
    </row>
    <row r="878" spans="1:28" x14ac:dyDescent="0.25">
      <c r="A878" t="str">
        <f>IF(EXACT('BOM A320 FFS'!B1211,obsoleta!D878),"OK","ERROR")</f>
        <v>ERROR</v>
      </c>
      <c r="C878" s="122"/>
      <c r="D878" s="125">
        <v>1540112000001</v>
      </c>
      <c r="E878" s="125" t="s">
        <v>3758</v>
      </c>
      <c r="F878" s="122" t="s">
        <v>1928</v>
      </c>
      <c r="G878" s="122" t="s">
        <v>1929</v>
      </c>
      <c r="H878" t="s">
        <v>1930</v>
      </c>
      <c r="I878" s="9" t="s">
        <v>3758</v>
      </c>
      <c r="J878" s="61" t="s">
        <v>3758</v>
      </c>
      <c r="K878" s="47"/>
      <c r="L878" s="89"/>
      <c r="M878" s="61"/>
      <c r="N878" s="90"/>
      <c r="O878" s="89"/>
      <c r="P878" s="89"/>
      <c r="Q878" s="101"/>
      <c r="R878" s="89"/>
      <c r="S878" s="47"/>
      <c r="T878" s="82"/>
      <c r="U878" s="82"/>
      <c r="V878" s="82"/>
      <c r="W878" s="82"/>
      <c r="X878" s="82"/>
      <c r="Y878" s="82"/>
      <c r="Z878" s="82"/>
      <c r="AA878" s="82"/>
      <c r="AB878" s="82"/>
    </row>
    <row r="879" spans="1:28" x14ac:dyDescent="0.25">
      <c r="A879" t="str">
        <f>IF(EXACT('BOM A320 FFS'!B1227,obsoleta!D879),"OK","ERROR")</f>
        <v>ERROR</v>
      </c>
      <c r="H879" s="9"/>
      <c r="I879" s="9"/>
      <c r="J879" s="61"/>
      <c r="K879" s="47"/>
      <c r="L879" s="89"/>
      <c r="M879" s="61"/>
      <c r="N879" s="90"/>
      <c r="O879" s="89"/>
      <c r="P879" s="89"/>
      <c r="Q879" s="101"/>
      <c r="R879" s="89"/>
      <c r="S879" s="47"/>
      <c r="T879" s="82"/>
      <c r="U879" s="82"/>
      <c r="V879" s="82"/>
      <c r="W879" s="82"/>
      <c r="X879" s="82"/>
      <c r="Y879" s="82"/>
      <c r="Z879" s="82"/>
      <c r="AA879" s="82"/>
      <c r="AB879" s="82"/>
    </row>
    <row r="880" spans="1:28" x14ac:dyDescent="0.25">
      <c r="A880" t="str">
        <f>IF(EXACT('BOM A320 FFS'!B1233,obsoleta!D880),"OK","ERROR")</f>
        <v>ERROR</v>
      </c>
      <c r="C880" s="126"/>
      <c r="D880" s="126"/>
      <c r="E880" s="126"/>
      <c r="F880" s="9"/>
      <c r="G880" s="126"/>
      <c r="H880" s="28"/>
      <c r="I880" s="28"/>
      <c r="J880" s="40"/>
      <c r="K880" s="26"/>
      <c r="L880" s="30"/>
      <c r="M880" s="26"/>
      <c r="N880" s="26"/>
      <c r="O880" s="30"/>
      <c r="P880" s="30"/>
      <c r="Q880" s="96"/>
      <c r="R880" s="30"/>
      <c r="S880" s="30"/>
      <c r="T880" s="82"/>
      <c r="U880" s="82"/>
      <c r="V880" s="82"/>
      <c r="W880" s="82"/>
      <c r="X880" s="82"/>
      <c r="Y880" s="82"/>
      <c r="Z880" s="82"/>
      <c r="AA880" s="82"/>
      <c r="AB880" s="82"/>
    </row>
    <row r="881" spans="1:28" x14ac:dyDescent="0.25">
      <c r="A881" t="str">
        <f>IF(EXACT('BOM A320 FFS'!B1234,obsoleta!D881),"OK","ERROR")</f>
        <v>ERROR</v>
      </c>
      <c r="C881" s="39"/>
      <c r="D881" s="39"/>
      <c r="E881" s="39"/>
      <c r="F881" s="28"/>
      <c r="G881" s="28"/>
      <c r="H881" s="21"/>
      <c r="I881" s="21"/>
      <c r="J881" s="22"/>
      <c r="K881" s="25"/>
      <c r="L881" s="25"/>
      <c r="M881" s="24"/>
      <c r="N881" s="24"/>
      <c r="O881" s="49"/>
      <c r="P881" s="49"/>
      <c r="Q881" s="100"/>
      <c r="R881" s="49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spans="1:28" ht="18.75" x14ac:dyDescent="0.3">
      <c r="A882" t="str">
        <f>IF(EXACT('BOM A320 FFS'!B1235,obsoleta!D882),"OK","ERROR")</f>
        <v>ERROR</v>
      </c>
      <c r="C882" s="19"/>
      <c r="D882" s="19" t="s">
        <v>27</v>
      </c>
      <c r="E882" s="19"/>
      <c r="F882" s="20"/>
      <c r="G882" s="21"/>
      <c r="H882" s="66"/>
      <c r="I882" s="66"/>
      <c r="J882" s="67"/>
      <c r="K882" s="64"/>
      <c r="L882" s="68"/>
      <c r="M882" s="64"/>
      <c r="N882" s="64"/>
      <c r="O882" s="68"/>
      <c r="P882" s="68"/>
      <c r="Q882" s="102"/>
      <c r="R882" s="68"/>
      <c r="S882" s="68"/>
      <c r="T882" s="68"/>
      <c r="U882" s="68"/>
      <c r="V882" s="68"/>
      <c r="W882" s="68"/>
      <c r="X882" s="68"/>
      <c r="Y882" s="68"/>
      <c r="Z882" s="68"/>
      <c r="AA882" s="68" t="s">
        <v>225</v>
      </c>
      <c r="AB882" s="68"/>
    </row>
    <row r="883" spans="1:28" x14ac:dyDescent="0.25">
      <c r="A883" t="str">
        <f>IF(EXACT('BOM A320 FFS'!B1348,obsoleta!D883),"OK","ERROR")</f>
        <v>ERROR</v>
      </c>
      <c r="C883" s="65"/>
      <c r="D883" s="65" t="s">
        <v>3681</v>
      </c>
      <c r="E883" s="65"/>
      <c r="F883" s="64"/>
      <c r="G883" s="66"/>
      <c r="H883" s="28"/>
      <c r="I883" s="28"/>
      <c r="J883" s="40"/>
      <c r="K883" s="26"/>
      <c r="L883" s="30"/>
      <c r="M883" s="26"/>
      <c r="N883" s="26"/>
      <c r="O883" s="30"/>
      <c r="P883" s="30"/>
      <c r="Q883" s="96"/>
      <c r="R883" s="30"/>
      <c r="S883" s="30"/>
      <c r="T883" s="81"/>
      <c r="U883" s="81"/>
      <c r="V883" s="81"/>
      <c r="W883" s="81"/>
      <c r="X883" s="81"/>
      <c r="Y883" s="81"/>
      <c r="Z883" s="81"/>
      <c r="AA883" s="81" t="s">
        <v>225</v>
      </c>
      <c r="AB883" s="81"/>
    </row>
    <row r="884" spans="1:28" x14ac:dyDescent="0.25">
      <c r="A884" t="str">
        <f>IF(EXACT('BOM A320 FFS'!B1349,obsoleta!D884),"OK","ERROR")</f>
        <v>ERROR</v>
      </c>
      <c r="C884" s="63"/>
      <c r="D884" s="63" t="s">
        <v>3682</v>
      </c>
      <c r="E884" s="63"/>
      <c r="F884" s="26"/>
      <c r="G884" s="28"/>
      <c r="H884" s="52"/>
      <c r="I884" s="52"/>
      <c r="J884" s="54"/>
      <c r="K884" s="38"/>
      <c r="L884" s="35"/>
      <c r="M884" s="54"/>
      <c r="N884" s="37"/>
      <c r="O884" s="35"/>
      <c r="P884" s="35"/>
      <c r="Q884" s="97"/>
      <c r="R884" s="35"/>
      <c r="S884" s="38"/>
      <c r="T884" s="78"/>
      <c r="U884" s="78"/>
      <c r="V884" s="78"/>
      <c r="W884" s="78"/>
      <c r="X884" s="78"/>
      <c r="Y884" s="78"/>
      <c r="Z884" s="78"/>
      <c r="AA884" s="78" t="s">
        <v>225</v>
      </c>
      <c r="AB884" s="78"/>
    </row>
    <row r="885" spans="1:28" x14ac:dyDescent="0.25">
      <c r="A885" t="str">
        <f>IF(EXACT('BOM A320 FFS'!B1350,obsoleta!D885),"OK","ERROR")</f>
        <v>ERROR</v>
      </c>
      <c r="C885" s="51" t="s">
        <v>27</v>
      </c>
      <c r="D885" s="51">
        <v>1232525308000</v>
      </c>
      <c r="E885" s="51"/>
      <c r="F885" s="52" t="s">
        <v>558</v>
      </c>
      <c r="G885" s="52" t="s">
        <v>559</v>
      </c>
      <c r="H885" s="52" t="s">
        <v>560</v>
      </c>
      <c r="I885" s="52"/>
      <c r="J885" s="54">
        <v>2</v>
      </c>
      <c r="K885" s="38">
        <v>193.71</v>
      </c>
      <c r="L885" s="35">
        <v>387.42</v>
      </c>
      <c r="M885" s="54" t="s">
        <v>32</v>
      </c>
      <c r="N885" s="37">
        <v>1</v>
      </c>
      <c r="O885" s="35">
        <v>387.42</v>
      </c>
      <c r="P885" s="35" t="s">
        <v>33</v>
      </c>
      <c r="Q885" s="97">
        <v>45457</v>
      </c>
      <c r="R885" s="35" t="s">
        <v>62</v>
      </c>
      <c r="S885" s="38"/>
      <c r="T885" s="78">
        <v>2</v>
      </c>
      <c r="U885" s="78"/>
      <c r="V885" s="78"/>
      <c r="W885" s="78" t="s">
        <v>81</v>
      </c>
      <c r="X885" s="78" t="s">
        <v>104</v>
      </c>
      <c r="Y885" s="78">
        <v>2</v>
      </c>
      <c r="Z885" s="78" t="s">
        <v>86</v>
      </c>
      <c r="AA885" s="78" t="s">
        <v>225</v>
      </c>
      <c r="AB885" s="78">
        <v>2</v>
      </c>
    </row>
    <row r="886" spans="1:28" x14ac:dyDescent="0.25">
      <c r="A886" t="str">
        <f>IF(EXACT('BOM A320 FFS'!B1351,obsoleta!D886),"OK","ERROR")</f>
        <v>ERROR</v>
      </c>
      <c r="C886" s="51" t="s">
        <v>27</v>
      </c>
      <c r="D886" s="51">
        <v>1805710000000</v>
      </c>
      <c r="E886" s="51"/>
      <c r="F886" s="52" t="s">
        <v>744</v>
      </c>
      <c r="G886" s="52" t="s">
        <v>745</v>
      </c>
      <c r="H886" s="52" t="s">
        <v>560</v>
      </c>
      <c r="I886" s="52"/>
      <c r="J886" s="54">
        <v>3</v>
      </c>
      <c r="K886" s="38">
        <v>53.5</v>
      </c>
      <c r="L886" s="35">
        <v>160.5</v>
      </c>
      <c r="M886" s="54" t="s">
        <v>32</v>
      </c>
      <c r="N886" s="37">
        <v>1</v>
      </c>
      <c r="O886" s="35">
        <v>160.5</v>
      </c>
      <c r="P886" s="35" t="s">
        <v>33</v>
      </c>
      <c r="Q886" s="97">
        <v>45457</v>
      </c>
      <c r="R886" s="35" t="s">
        <v>62</v>
      </c>
      <c r="S886" s="38"/>
      <c r="T886" s="78">
        <v>2</v>
      </c>
      <c r="U886" s="78"/>
      <c r="V886" s="78"/>
      <c r="W886" s="78" t="s">
        <v>81</v>
      </c>
      <c r="X886" s="78" t="s">
        <v>104</v>
      </c>
      <c r="Y886" s="78">
        <v>2</v>
      </c>
      <c r="Z886" s="78" t="s">
        <v>86</v>
      </c>
      <c r="AA886" s="78" t="s">
        <v>225</v>
      </c>
      <c r="AB886" s="78">
        <v>3</v>
      </c>
    </row>
    <row r="887" spans="1:28" x14ac:dyDescent="0.25">
      <c r="A887" t="str">
        <f>IF(EXACT('BOM A320 FFS'!B1352,obsoleta!D887),"OK","ERROR")</f>
        <v>ERROR</v>
      </c>
      <c r="C887" s="51" t="s">
        <v>27</v>
      </c>
      <c r="D887" s="51" t="s">
        <v>1185</v>
      </c>
      <c r="E887" s="51"/>
      <c r="F887" s="52" t="s">
        <v>1186</v>
      </c>
      <c r="G887" s="52" t="s">
        <v>1187</v>
      </c>
      <c r="H887" s="52" t="s">
        <v>1188</v>
      </c>
      <c r="I887" s="52" t="s">
        <v>461</v>
      </c>
      <c r="J887" s="54">
        <v>20</v>
      </c>
      <c r="K887" s="38">
        <v>22.84</v>
      </c>
      <c r="L887" s="35">
        <v>456.8</v>
      </c>
      <c r="M887" s="54" t="s">
        <v>32</v>
      </c>
      <c r="N887" s="37">
        <v>1</v>
      </c>
      <c r="O887" s="35">
        <v>456.8</v>
      </c>
      <c r="P887" s="35" t="s">
        <v>33</v>
      </c>
      <c r="Q887" s="97">
        <v>45457</v>
      </c>
      <c r="R887" s="35" t="s">
        <v>62</v>
      </c>
      <c r="S887" s="38"/>
      <c r="T887" s="78">
        <v>2</v>
      </c>
      <c r="U887" s="78"/>
      <c r="V887" s="78"/>
      <c r="W887" s="78" t="s">
        <v>81</v>
      </c>
      <c r="X887" s="78" t="s">
        <v>104</v>
      </c>
      <c r="Y887" s="78">
        <v>2</v>
      </c>
      <c r="Z887" s="78" t="s">
        <v>86</v>
      </c>
      <c r="AA887" s="78" t="s">
        <v>225</v>
      </c>
      <c r="AB887" s="78">
        <v>20</v>
      </c>
    </row>
    <row r="888" spans="1:28" x14ac:dyDescent="0.25">
      <c r="A888" t="str">
        <f>IF(EXACT('BOM A320 FFS'!B1353,obsoleta!D888),"OK","ERROR")</f>
        <v>ERROR</v>
      </c>
      <c r="C888" s="51" t="s">
        <v>27</v>
      </c>
      <c r="D888" s="51">
        <v>1800600900000</v>
      </c>
      <c r="E888" s="51"/>
      <c r="F888" s="52" t="s">
        <v>1127</v>
      </c>
      <c r="G888" s="52" t="s">
        <v>1128</v>
      </c>
      <c r="H888" s="52" t="s">
        <v>1129</v>
      </c>
      <c r="I888" s="52" t="s">
        <v>461</v>
      </c>
      <c r="J888" s="54">
        <v>1</v>
      </c>
      <c r="K888" s="38">
        <v>29.25</v>
      </c>
      <c r="L888" s="35">
        <v>29.25</v>
      </c>
      <c r="M888" s="54" t="s">
        <v>32</v>
      </c>
      <c r="N888" s="37">
        <v>1</v>
      </c>
      <c r="O888" s="35">
        <v>29.25</v>
      </c>
      <c r="P888" s="35" t="s">
        <v>33</v>
      </c>
      <c r="Q888" s="97">
        <v>45457</v>
      </c>
      <c r="R888" s="35" t="s">
        <v>62</v>
      </c>
      <c r="S888" s="38"/>
      <c r="T888" s="78">
        <v>2</v>
      </c>
      <c r="U888" s="78"/>
      <c r="V888" s="78"/>
      <c r="W888" s="78" t="s">
        <v>81</v>
      </c>
      <c r="X888" s="78" t="s">
        <v>104</v>
      </c>
      <c r="Y888" s="78">
        <v>2</v>
      </c>
      <c r="Z888" s="78" t="s">
        <v>86</v>
      </c>
      <c r="AA888" s="78" t="s">
        <v>225</v>
      </c>
      <c r="AB888" s="78">
        <v>1</v>
      </c>
    </row>
    <row r="889" spans="1:28" x14ac:dyDescent="0.25">
      <c r="A889" t="str">
        <f>IF(EXACT('BOM A320 FFS'!B1354,obsoleta!D889),"OK","ERROR")</f>
        <v>ERROR</v>
      </c>
      <c r="C889" s="51" t="s">
        <v>27</v>
      </c>
      <c r="D889" s="51">
        <v>1807990092800</v>
      </c>
      <c r="E889" s="51"/>
      <c r="F889" s="52" t="s">
        <v>1212</v>
      </c>
      <c r="G889" s="52" t="s">
        <v>1213</v>
      </c>
      <c r="H889" s="52" t="s">
        <v>1214</v>
      </c>
      <c r="I889" s="52" t="s">
        <v>461</v>
      </c>
      <c r="J889" s="54">
        <v>5</v>
      </c>
      <c r="K889" s="38">
        <v>19.22</v>
      </c>
      <c r="L889" s="35">
        <v>96.1</v>
      </c>
      <c r="M889" s="54" t="s">
        <v>32</v>
      </c>
      <c r="N889" s="37">
        <v>1</v>
      </c>
      <c r="O889" s="35">
        <v>96.1</v>
      </c>
      <c r="P889" s="35" t="s">
        <v>33</v>
      </c>
      <c r="Q889" s="97">
        <v>45457</v>
      </c>
      <c r="R889" s="35" t="s">
        <v>62</v>
      </c>
      <c r="S889" s="38"/>
      <c r="T889" s="78">
        <v>2</v>
      </c>
      <c r="U889" s="78"/>
      <c r="V889" s="78"/>
      <c r="W889" s="78" t="s">
        <v>81</v>
      </c>
      <c r="X889" s="78" t="s">
        <v>104</v>
      </c>
      <c r="Y889" s="78">
        <v>2</v>
      </c>
      <c r="Z889" s="78" t="s">
        <v>86</v>
      </c>
      <c r="AA889" s="78" t="s">
        <v>225</v>
      </c>
      <c r="AB889" s="78">
        <v>5</v>
      </c>
    </row>
    <row r="890" spans="1:28" x14ac:dyDescent="0.25">
      <c r="A890" t="str">
        <f>IF(EXACT('BOM A320 FFS'!B1355,obsoleta!D890),"OK","ERROR")</f>
        <v>ERROR</v>
      </c>
      <c r="C890" s="51" t="s">
        <v>27</v>
      </c>
      <c r="D890" s="51">
        <v>1232525506100</v>
      </c>
      <c r="E890" s="51"/>
      <c r="F890" s="52" t="s">
        <v>3784</v>
      </c>
      <c r="G890" s="52" t="s">
        <v>3785</v>
      </c>
      <c r="H890" s="52" t="s">
        <v>3786</v>
      </c>
      <c r="I890" s="52" t="s">
        <v>461</v>
      </c>
      <c r="J890" s="54">
        <v>2</v>
      </c>
      <c r="K890" s="38">
        <v>7.08</v>
      </c>
      <c r="L890" s="35">
        <v>14.16</v>
      </c>
      <c r="M890" s="54" t="s">
        <v>32</v>
      </c>
      <c r="N890" s="37">
        <v>1</v>
      </c>
      <c r="O890" s="35">
        <v>14.16</v>
      </c>
      <c r="P890" s="35" t="s">
        <v>33</v>
      </c>
      <c r="Q890" s="97">
        <v>45457</v>
      </c>
      <c r="R890" s="35" t="s">
        <v>62</v>
      </c>
      <c r="S890" s="38"/>
      <c r="T890" s="78">
        <v>1</v>
      </c>
      <c r="U890" s="78" t="s">
        <v>34</v>
      </c>
      <c r="V890" s="78"/>
      <c r="W890" s="78" t="s">
        <v>81</v>
      </c>
      <c r="X890" s="78" t="s">
        <v>104</v>
      </c>
      <c r="Y890" s="78">
        <v>2</v>
      </c>
      <c r="Z890" s="78" t="s">
        <v>86</v>
      </c>
      <c r="AA890" s="78" t="s">
        <v>225</v>
      </c>
      <c r="AB890" s="78">
        <v>2</v>
      </c>
    </row>
    <row r="891" spans="1:28" x14ac:dyDescent="0.25">
      <c r="A891" t="e">
        <f>IF(EXACT('BOM A320 FFS'!#REF!,obsoleta!D891),"OK","ERROR")</f>
        <v>#REF!</v>
      </c>
      <c r="C891" s="51" t="s">
        <v>27</v>
      </c>
      <c r="D891" s="51" t="s">
        <v>3787</v>
      </c>
      <c r="E891" s="51"/>
      <c r="F891" s="52"/>
      <c r="G891" s="52"/>
      <c r="H891" s="163" t="s">
        <v>80</v>
      </c>
      <c r="I891" s="163" t="s">
        <v>80</v>
      </c>
      <c r="J891" s="152"/>
      <c r="K891" s="148"/>
      <c r="L891" s="144">
        <v>0</v>
      </c>
      <c r="M891" s="152" t="s">
        <v>32</v>
      </c>
      <c r="N891" s="146">
        <v>1</v>
      </c>
      <c r="O891" s="144">
        <v>0</v>
      </c>
      <c r="P891" s="144" t="s">
        <v>130</v>
      </c>
      <c r="Q891" s="147">
        <v>45427</v>
      </c>
      <c r="R891" s="144" t="s">
        <v>62</v>
      </c>
      <c r="S891" s="148"/>
      <c r="T891" s="149">
        <v>1</v>
      </c>
      <c r="U891" s="149" t="s">
        <v>34</v>
      </c>
      <c r="V891" s="149"/>
      <c r="W891" s="149" t="s">
        <v>81</v>
      </c>
      <c r="X891" s="149"/>
      <c r="Y891" s="149"/>
      <c r="Z891" s="149" t="s">
        <v>86</v>
      </c>
      <c r="AA891" s="149" t="s">
        <v>225</v>
      </c>
      <c r="AB891" s="149"/>
    </row>
    <row r="892" spans="1:28" x14ac:dyDescent="0.25">
      <c r="A892" t="e">
        <f>IF(EXACT('BOM A320 FFS'!#REF!,obsoleta!D892),"OK","ERROR")</f>
        <v>#REF!</v>
      </c>
      <c r="C892" s="51" t="s">
        <v>27</v>
      </c>
      <c r="D892" s="150" t="s">
        <v>3788</v>
      </c>
      <c r="E892" s="150"/>
      <c r="F892" s="151" t="s">
        <v>3789</v>
      </c>
      <c r="G892" s="151"/>
      <c r="H892" s="52" t="s">
        <v>80</v>
      </c>
      <c r="I892" s="52" t="s">
        <v>80</v>
      </c>
      <c r="J892" s="54">
        <v>1</v>
      </c>
      <c r="K892" s="38"/>
      <c r="L892" s="35">
        <v>0</v>
      </c>
      <c r="M892" s="54" t="s">
        <v>32</v>
      </c>
      <c r="N892" s="37">
        <v>1</v>
      </c>
      <c r="O892" s="35">
        <v>0</v>
      </c>
      <c r="P892" s="35" t="s">
        <v>33</v>
      </c>
      <c r="Q892" s="97">
        <v>45457</v>
      </c>
      <c r="R892" s="35" t="s">
        <v>62</v>
      </c>
      <c r="S892" s="38"/>
      <c r="T892" s="78">
        <v>1</v>
      </c>
      <c r="U892" s="78" t="s">
        <v>34</v>
      </c>
      <c r="V892" s="78"/>
      <c r="W892" s="78" t="s">
        <v>81</v>
      </c>
      <c r="X892" s="78" t="s">
        <v>104</v>
      </c>
      <c r="Y892" s="78">
        <v>2</v>
      </c>
      <c r="Z892" s="78" t="s">
        <v>86</v>
      </c>
      <c r="AA892" s="78" t="s">
        <v>225</v>
      </c>
      <c r="AB892" s="78">
        <v>1</v>
      </c>
    </row>
    <row r="893" spans="1:28" x14ac:dyDescent="0.25">
      <c r="A893" t="str">
        <f>IF(EXACT('BOM A320 FFS'!B1356,obsoleta!D893),"OK","ERROR")</f>
        <v>ERROR</v>
      </c>
      <c r="C893" s="51" t="s">
        <v>27</v>
      </c>
      <c r="D893" s="51">
        <v>1312600040400</v>
      </c>
      <c r="E893" s="51"/>
      <c r="F893" s="52" t="s">
        <v>185</v>
      </c>
      <c r="G893" s="52" t="s">
        <v>186</v>
      </c>
      <c r="H893" s="66" t="s">
        <v>187</v>
      </c>
      <c r="I893" s="66" t="s">
        <v>187</v>
      </c>
      <c r="J893" s="67">
        <v>1</v>
      </c>
      <c r="K893" s="68">
        <v>6333</v>
      </c>
      <c r="L893" s="68">
        <v>6333</v>
      </c>
      <c r="M893" s="64" t="s">
        <v>32</v>
      </c>
      <c r="N893" s="64">
        <v>1</v>
      </c>
      <c r="O893" s="68">
        <v>6333</v>
      </c>
      <c r="P893" s="68" t="s">
        <v>33</v>
      </c>
      <c r="Q893" s="102">
        <v>45457</v>
      </c>
      <c r="R893" s="68" t="s">
        <v>62</v>
      </c>
      <c r="S893" s="68"/>
      <c r="T893" s="68">
        <v>2</v>
      </c>
      <c r="U893" s="68"/>
      <c r="V893" s="68"/>
      <c r="W893" s="68" t="s">
        <v>81</v>
      </c>
      <c r="X893" s="68" t="s">
        <v>104</v>
      </c>
      <c r="Y893" s="68">
        <v>2</v>
      </c>
      <c r="Z893" s="68" t="s">
        <v>86</v>
      </c>
      <c r="AA893" s="68" t="s">
        <v>225</v>
      </c>
      <c r="AB893" s="68">
        <v>1</v>
      </c>
    </row>
    <row r="894" spans="1:28" x14ac:dyDescent="0.25">
      <c r="A894" t="str">
        <f>IF(EXACT('BOM A320 FFS'!B1357,obsoleta!D894),"OK","ERROR")</f>
        <v>ERROR</v>
      </c>
      <c r="C894" s="65"/>
      <c r="D894" s="65" t="s">
        <v>3683</v>
      </c>
      <c r="E894" s="65"/>
      <c r="F894" s="64"/>
      <c r="G894" s="66"/>
      <c r="H894" s="52"/>
      <c r="I894" s="52"/>
      <c r="J894" s="54"/>
      <c r="K894" s="38"/>
      <c r="L894" s="35"/>
      <c r="M894" s="54"/>
      <c r="N894" s="37"/>
      <c r="O894" s="35"/>
      <c r="P894" s="35"/>
      <c r="Q894" s="97"/>
      <c r="R894" s="35"/>
      <c r="S894" s="38"/>
      <c r="T894" s="78"/>
      <c r="U894" s="78"/>
      <c r="V894" s="78"/>
      <c r="W894" s="78"/>
      <c r="X894" s="78"/>
      <c r="Y894" s="78"/>
      <c r="Z894" s="78"/>
      <c r="AA894" s="78" t="s">
        <v>225</v>
      </c>
      <c r="AB894" s="78"/>
    </row>
    <row r="895" spans="1:28" x14ac:dyDescent="0.25">
      <c r="A895" t="str">
        <f>IF(EXACT('BOM A320 FFS'!B1358,obsoleta!D895),"OK","ERROR")</f>
        <v>ERROR</v>
      </c>
      <c r="C895" s="51" t="s">
        <v>27</v>
      </c>
      <c r="D895" s="51">
        <v>3140301350000</v>
      </c>
      <c r="E895" s="51"/>
      <c r="F895" s="52" t="s">
        <v>101</v>
      </c>
      <c r="G895" s="52" t="s">
        <v>102</v>
      </c>
      <c r="H895" s="52" t="s">
        <v>103</v>
      </c>
      <c r="I895" s="52" t="s">
        <v>103</v>
      </c>
      <c r="J895" s="54">
        <v>3</v>
      </c>
      <c r="K895" s="38">
        <v>33000</v>
      </c>
      <c r="L895" s="35">
        <v>99000</v>
      </c>
      <c r="M895" s="54" t="s">
        <v>32</v>
      </c>
      <c r="N895" s="37">
        <v>1</v>
      </c>
      <c r="O895" s="35">
        <v>99000</v>
      </c>
      <c r="P895" s="35" t="s">
        <v>33</v>
      </c>
      <c r="Q895" s="97">
        <v>45457</v>
      </c>
      <c r="R895" s="35" t="s">
        <v>62</v>
      </c>
      <c r="S895" s="38"/>
      <c r="T895" s="78">
        <v>2</v>
      </c>
      <c r="U895" s="78"/>
      <c r="V895" s="78"/>
      <c r="W895" s="78" t="s">
        <v>81</v>
      </c>
      <c r="X895" s="78" t="s">
        <v>104</v>
      </c>
      <c r="Y895" s="78">
        <v>2</v>
      </c>
      <c r="Z895" s="78" t="s">
        <v>86</v>
      </c>
      <c r="AA895" s="78" t="s">
        <v>225</v>
      </c>
      <c r="AB895" s="78">
        <v>3</v>
      </c>
    </row>
    <row r="896" spans="1:28" x14ac:dyDescent="0.25">
      <c r="A896" t="str">
        <f>IF(EXACT('BOM A320 FFS'!B1359,obsoleta!D896),"OK","ERROR")</f>
        <v>ERROR</v>
      </c>
      <c r="C896" s="51" t="s">
        <v>27</v>
      </c>
      <c r="D896" s="51">
        <v>3140390474100</v>
      </c>
      <c r="E896" s="51"/>
      <c r="F896" s="52" t="s">
        <v>182</v>
      </c>
      <c r="G896" s="52" t="s">
        <v>183</v>
      </c>
      <c r="H896" s="52" t="s">
        <v>103</v>
      </c>
      <c r="I896" s="52" t="s">
        <v>103</v>
      </c>
      <c r="J896" s="54">
        <v>3</v>
      </c>
      <c r="K896" s="38">
        <v>6600</v>
      </c>
      <c r="L896" s="35">
        <v>19800</v>
      </c>
      <c r="M896" s="54" t="s">
        <v>32</v>
      </c>
      <c r="N896" s="37">
        <v>1</v>
      </c>
      <c r="O896" s="35">
        <v>19800</v>
      </c>
      <c r="P896" s="35" t="s">
        <v>33</v>
      </c>
      <c r="Q896" s="97">
        <v>45457</v>
      </c>
      <c r="R896" s="35" t="s">
        <v>62</v>
      </c>
      <c r="S896" s="38"/>
      <c r="T896" s="78">
        <v>2</v>
      </c>
      <c r="U896" s="78"/>
      <c r="V896" s="78"/>
      <c r="W896" s="78" t="s">
        <v>81</v>
      </c>
      <c r="X896" s="78" t="s">
        <v>104</v>
      </c>
      <c r="Y896" s="78">
        <v>2</v>
      </c>
      <c r="Z896" s="78" t="s">
        <v>86</v>
      </c>
      <c r="AA896" s="78" t="s">
        <v>225</v>
      </c>
      <c r="AB896" s="78">
        <v>3</v>
      </c>
    </row>
    <row r="897" spans="1:28" x14ac:dyDescent="0.25">
      <c r="A897" t="str">
        <f>IF(EXACT('BOM A320 FFS'!B1360,obsoleta!D897),"OK","ERROR")</f>
        <v>ERROR</v>
      </c>
      <c r="C897" s="51" t="s">
        <v>27</v>
      </c>
      <c r="D897" s="51">
        <v>1229598250100</v>
      </c>
      <c r="E897" s="51"/>
      <c r="F897" s="52" t="s">
        <v>352</v>
      </c>
      <c r="G897" s="52" t="s">
        <v>353</v>
      </c>
      <c r="H897" s="52" t="s">
        <v>354</v>
      </c>
      <c r="I897" s="52"/>
      <c r="J897" s="54">
        <v>6</v>
      </c>
      <c r="K897" s="38">
        <v>916.5</v>
      </c>
      <c r="L897" s="35">
        <v>5499</v>
      </c>
      <c r="M897" s="54" t="s">
        <v>32</v>
      </c>
      <c r="N897" s="37">
        <v>1</v>
      </c>
      <c r="O897" s="35">
        <v>5499</v>
      </c>
      <c r="P897" s="35" t="s">
        <v>33</v>
      </c>
      <c r="Q897" s="97">
        <v>45457</v>
      </c>
      <c r="R897" s="35" t="s">
        <v>62</v>
      </c>
      <c r="S897" s="38"/>
      <c r="T897" s="78">
        <v>2</v>
      </c>
      <c r="U897" s="78"/>
      <c r="V897" s="78"/>
      <c r="W897" s="78" t="s">
        <v>81</v>
      </c>
      <c r="X897" s="78" t="s">
        <v>104</v>
      </c>
      <c r="Y897" s="78">
        <v>2</v>
      </c>
      <c r="Z897" s="78" t="s">
        <v>86</v>
      </c>
      <c r="AA897" s="78" t="s">
        <v>225</v>
      </c>
      <c r="AB897" s="78">
        <v>6</v>
      </c>
    </row>
    <row r="898" spans="1:28" x14ac:dyDescent="0.25">
      <c r="A898" t="str">
        <f>IF(EXACT('BOM A320 FFS'!B1361,obsoleta!D898),"OK","ERROR")</f>
        <v>ERROR</v>
      </c>
      <c r="C898" s="51" t="s">
        <v>27</v>
      </c>
      <c r="D898" s="51">
        <v>3210104721600</v>
      </c>
      <c r="E898" s="51"/>
      <c r="F898" s="52" t="s">
        <v>1278</v>
      </c>
      <c r="G898" s="52" t="s">
        <v>1279</v>
      </c>
      <c r="H898" s="52" t="s">
        <v>1054</v>
      </c>
      <c r="I898" s="52" t="s">
        <v>1054</v>
      </c>
      <c r="J898" s="54">
        <v>3</v>
      </c>
      <c r="K898" s="38">
        <v>14.33</v>
      </c>
      <c r="L898" s="35">
        <v>42.99</v>
      </c>
      <c r="M898" s="54" t="s">
        <v>32</v>
      </c>
      <c r="N898" s="37">
        <v>1</v>
      </c>
      <c r="O898" s="35">
        <v>42.99</v>
      </c>
      <c r="P898" s="35" t="s">
        <v>33</v>
      </c>
      <c r="Q898" s="97">
        <v>45457</v>
      </c>
      <c r="R898" s="35" t="s">
        <v>62</v>
      </c>
      <c r="S898" s="38"/>
      <c r="T898" s="78">
        <v>2</v>
      </c>
      <c r="U898" s="78"/>
      <c r="V898" s="78"/>
      <c r="W898" s="78" t="s">
        <v>81</v>
      </c>
      <c r="X898" s="78" t="s">
        <v>104</v>
      </c>
      <c r="Y898" s="78">
        <v>2</v>
      </c>
      <c r="Z898" s="78" t="s">
        <v>86</v>
      </c>
      <c r="AA898" s="78" t="s">
        <v>225</v>
      </c>
      <c r="AB898" s="78">
        <v>3</v>
      </c>
    </row>
    <row r="899" spans="1:28" x14ac:dyDescent="0.25">
      <c r="A899" t="str">
        <f>IF(EXACT('BOM A320 FFS'!B1362,obsoleta!D899),"OK","ERROR")</f>
        <v>ERROR</v>
      </c>
      <c r="C899" s="51" t="s">
        <v>27</v>
      </c>
      <c r="D899" s="51">
        <v>3170103090800</v>
      </c>
      <c r="E899" s="51"/>
      <c r="F899" s="52" t="s">
        <v>649</v>
      </c>
      <c r="G899" s="52" t="s">
        <v>650</v>
      </c>
      <c r="H899" s="52" t="s">
        <v>297</v>
      </c>
      <c r="I899" s="52" t="s">
        <v>297</v>
      </c>
      <c r="J899" s="54">
        <v>1</v>
      </c>
      <c r="K899" s="38">
        <v>95</v>
      </c>
      <c r="L899" s="35">
        <v>95</v>
      </c>
      <c r="M899" s="54" t="s">
        <v>32</v>
      </c>
      <c r="N899" s="37">
        <v>1</v>
      </c>
      <c r="O899" s="35">
        <v>95</v>
      </c>
      <c r="P899" s="35" t="s">
        <v>33</v>
      </c>
      <c r="Q899" s="97">
        <v>45457</v>
      </c>
      <c r="R899" s="35" t="s">
        <v>62</v>
      </c>
      <c r="S899" s="38"/>
      <c r="T899" s="78">
        <v>2</v>
      </c>
      <c r="U899" s="78"/>
      <c r="V899" s="78"/>
      <c r="W899" s="78" t="s">
        <v>81</v>
      </c>
      <c r="X899" s="78" t="s">
        <v>104</v>
      </c>
      <c r="Y899" s="78">
        <v>2</v>
      </c>
      <c r="Z899" s="78" t="s">
        <v>86</v>
      </c>
      <c r="AA899" s="78" t="s">
        <v>225</v>
      </c>
      <c r="AB899" s="78">
        <v>1</v>
      </c>
    </row>
    <row r="900" spans="1:28" x14ac:dyDescent="0.25">
      <c r="A900" t="str">
        <f>IF(EXACT('BOM A320 FFS'!B1363,obsoleta!D900),"OK","ERROR")</f>
        <v>ERROR</v>
      </c>
      <c r="C900" s="51" t="s">
        <v>27</v>
      </c>
      <c r="D900" s="51">
        <v>3210104720700</v>
      </c>
      <c r="E900" s="51"/>
      <c r="F900" s="52" t="s">
        <v>1052</v>
      </c>
      <c r="G900" s="52" t="s">
        <v>1053</v>
      </c>
      <c r="H900" s="66" t="s">
        <v>1054</v>
      </c>
      <c r="I900" s="66" t="s">
        <v>1054</v>
      </c>
      <c r="J900" s="67">
        <v>2</v>
      </c>
      <c r="K900" s="64">
        <v>33.25</v>
      </c>
      <c r="L900" s="68">
        <v>66.5</v>
      </c>
      <c r="M900" s="64" t="s">
        <v>32</v>
      </c>
      <c r="N900" s="64">
        <v>1</v>
      </c>
      <c r="O900" s="68">
        <v>66.5</v>
      </c>
      <c r="P900" s="68" t="s">
        <v>33</v>
      </c>
      <c r="Q900" s="102">
        <v>45457</v>
      </c>
      <c r="R900" s="68" t="s">
        <v>62</v>
      </c>
      <c r="S900" s="68"/>
      <c r="T900" s="68">
        <v>2</v>
      </c>
      <c r="U900" s="68"/>
      <c r="V900" s="68"/>
      <c r="W900" s="68" t="s">
        <v>81</v>
      </c>
      <c r="X900" s="68" t="s">
        <v>104</v>
      </c>
      <c r="Y900" s="68">
        <v>2</v>
      </c>
      <c r="Z900" s="68" t="s">
        <v>86</v>
      </c>
      <c r="AA900" s="68" t="s">
        <v>225</v>
      </c>
      <c r="AB900" s="68">
        <v>2</v>
      </c>
    </row>
    <row r="901" spans="1:28" x14ac:dyDescent="0.25">
      <c r="A901" t="str">
        <f>IF(EXACT('BOM A320 FFS'!B1364,obsoleta!D901),"OK","ERROR")</f>
        <v>ERROR</v>
      </c>
      <c r="C901" s="65"/>
      <c r="D901" s="65" t="s">
        <v>3684</v>
      </c>
      <c r="E901" s="65"/>
      <c r="F901" s="64"/>
      <c r="G901" s="66"/>
      <c r="H901" s="52"/>
      <c r="I901" s="52"/>
      <c r="J901" s="54"/>
      <c r="K901" s="38"/>
      <c r="L901" s="35"/>
      <c r="M901" s="54"/>
      <c r="N901" s="37"/>
      <c r="O901" s="35"/>
      <c r="P901" s="35"/>
      <c r="Q901" s="97"/>
      <c r="R901" s="35"/>
      <c r="S901" s="38"/>
      <c r="T901" s="78"/>
      <c r="U901" s="78"/>
      <c r="V901" s="78"/>
      <c r="W901" s="78"/>
      <c r="X901" s="78"/>
      <c r="Y901" s="78"/>
      <c r="Z901" s="78"/>
      <c r="AA901" s="78" t="s">
        <v>225</v>
      </c>
      <c r="AB901" s="78"/>
    </row>
    <row r="902" spans="1:28" x14ac:dyDescent="0.25">
      <c r="A902" t="str">
        <f>IF(EXACT('BOM A320 FFS'!B1365,obsoleta!D902),"OK","ERROR")</f>
        <v>ERROR</v>
      </c>
      <c r="C902" s="51" t="s">
        <v>27</v>
      </c>
      <c r="D902" s="51">
        <v>3010200471700</v>
      </c>
      <c r="E902" s="51"/>
      <c r="F902" s="52" t="s">
        <v>360</v>
      </c>
      <c r="G902" s="52" t="s">
        <v>361</v>
      </c>
      <c r="H902" s="52" t="s">
        <v>362</v>
      </c>
      <c r="I902" s="52"/>
      <c r="J902" s="54">
        <v>1</v>
      </c>
      <c r="K902" s="38">
        <v>850</v>
      </c>
      <c r="L902" s="35">
        <v>850</v>
      </c>
      <c r="M902" s="54" t="s">
        <v>32</v>
      </c>
      <c r="N902" s="37">
        <v>1</v>
      </c>
      <c r="O902" s="35">
        <v>850</v>
      </c>
      <c r="P902" s="35" t="s">
        <v>33</v>
      </c>
      <c r="Q902" s="97">
        <v>45457</v>
      </c>
      <c r="R902" s="35" t="s">
        <v>62</v>
      </c>
      <c r="S902" s="38"/>
      <c r="T902" s="78">
        <v>2</v>
      </c>
      <c r="U902" s="78"/>
      <c r="V902" s="78"/>
      <c r="W902" s="78" t="s">
        <v>81</v>
      </c>
      <c r="X902" s="78" t="s">
        <v>104</v>
      </c>
      <c r="Y902" s="78">
        <v>2</v>
      </c>
      <c r="Z902" s="78" t="s">
        <v>86</v>
      </c>
      <c r="AA902" s="78" t="s">
        <v>225</v>
      </c>
      <c r="AB902" s="78">
        <v>1</v>
      </c>
    </row>
    <row r="903" spans="1:28" x14ac:dyDescent="0.25">
      <c r="A903" t="str">
        <f>IF(EXACT('BOM A320 FFS'!B1366,obsoleta!D903),"OK","ERROR")</f>
        <v>ERROR</v>
      </c>
      <c r="C903" s="51" t="s">
        <v>27</v>
      </c>
      <c r="D903" s="51">
        <v>3210104722600</v>
      </c>
      <c r="E903" s="51"/>
      <c r="F903" s="52" t="s">
        <v>1251</v>
      </c>
      <c r="G903" s="52" t="s">
        <v>1252</v>
      </c>
      <c r="H903" s="52" t="s">
        <v>1054</v>
      </c>
      <c r="I903" s="52" t="s">
        <v>1054</v>
      </c>
      <c r="J903" s="54">
        <v>2</v>
      </c>
      <c r="K903" s="38">
        <v>15.41</v>
      </c>
      <c r="L903" s="35">
        <v>30.82</v>
      </c>
      <c r="M903" s="54" t="s">
        <v>32</v>
      </c>
      <c r="N903" s="37">
        <v>1</v>
      </c>
      <c r="O903" s="35">
        <v>30.82</v>
      </c>
      <c r="P903" s="35" t="s">
        <v>33</v>
      </c>
      <c r="Q903" s="97">
        <v>45457</v>
      </c>
      <c r="R903" s="35" t="s">
        <v>62</v>
      </c>
      <c r="S903" s="38"/>
      <c r="T903" s="78">
        <v>2</v>
      </c>
      <c r="U903" s="78"/>
      <c r="V903" s="78"/>
      <c r="W903" s="78" t="s">
        <v>81</v>
      </c>
      <c r="X903" s="78" t="s">
        <v>104</v>
      </c>
      <c r="Y903" s="78">
        <v>2</v>
      </c>
      <c r="Z903" s="78" t="s">
        <v>86</v>
      </c>
      <c r="AA903" s="78" t="s">
        <v>225</v>
      </c>
      <c r="AB903" s="78">
        <v>2</v>
      </c>
    </row>
    <row r="904" spans="1:28" x14ac:dyDescent="0.25">
      <c r="A904" t="str">
        <f>IF(EXACT('BOM A320 FFS'!B1367,obsoleta!D904),"OK","ERROR")</f>
        <v>ERROR</v>
      </c>
      <c r="C904" s="51" t="s">
        <v>27</v>
      </c>
      <c r="D904" s="51">
        <v>1241300250900</v>
      </c>
      <c r="E904" s="51"/>
      <c r="F904" s="52" t="s">
        <v>419</v>
      </c>
      <c r="G904" s="52" t="s">
        <v>420</v>
      </c>
      <c r="H904" s="52" t="s">
        <v>421</v>
      </c>
      <c r="I904" s="52" t="s">
        <v>421</v>
      </c>
      <c r="J904" s="54">
        <v>3</v>
      </c>
      <c r="K904" s="38">
        <v>558.47</v>
      </c>
      <c r="L904" s="35">
        <v>1675.41</v>
      </c>
      <c r="M904" s="54" t="s">
        <v>32</v>
      </c>
      <c r="N904" s="37">
        <v>1</v>
      </c>
      <c r="O904" s="35">
        <v>1675.41</v>
      </c>
      <c r="P904" s="35" t="s">
        <v>33</v>
      </c>
      <c r="Q904" s="97">
        <v>45457</v>
      </c>
      <c r="R904" s="35" t="s">
        <v>62</v>
      </c>
      <c r="S904" s="38"/>
      <c r="T904" s="78">
        <v>2</v>
      </c>
      <c r="U904" s="78"/>
      <c r="V904" s="78"/>
      <c r="W904" s="78" t="s">
        <v>81</v>
      </c>
      <c r="X904" s="78" t="s">
        <v>104</v>
      </c>
      <c r="Y904" s="78">
        <v>2</v>
      </c>
      <c r="Z904" s="78" t="s">
        <v>86</v>
      </c>
      <c r="AA904" s="78" t="s">
        <v>225</v>
      </c>
      <c r="AB904" s="78">
        <v>3</v>
      </c>
    </row>
    <row r="905" spans="1:28" x14ac:dyDescent="0.25">
      <c r="A905" t="str">
        <f>IF(EXACT('BOM A320 FFS'!B1368,obsoleta!D905),"OK","ERROR")</f>
        <v>ERROR</v>
      </c>
      <c r="C905" s="51" t="s">
        <v>27</v>
      </c>
      <c r="D905" s="51">
        <v>1240100630300</v>
      </c>
      <c r="E905" s="51"/>
      <c r="F905" s="52" t="s">
        <v>533</v>
      </c>
      <c r="G905" s="52" t="s">
        <v>534</v>
      </c>
      <c r="H905" s="52" t="s">
        <v>421</v>
      </c>
      <c r="I905" s="52" t="s">
        <v>421</v>
      </c>
      <c r="J905" s="54">
        <v>3</v>
      </c>
      <c r="K905" s="38">
        <v>210.83</v>
      </c>
      <c r="L905" s="35">
        <v>632.49</v>
      </c>
      <c r="M905" s="54" t="s">
        <v>32</v>
      </c>
      <c r="N905" s="37">
        <v>1</v>
      </c>
      <c r="O905" s="35">
        <v>632.49</v>
      </c>
      <c r="P905" s="35" t="s">
        <v>33</v>
      </c>
      <c r="Q905" s="97">
        <v>45457</v>
      </c>
      <c r="R905" s="35" t="s">
        <v>62</v>
      </c>
      <c r="S905" s="38"/>
      <c r="T905" s="78">
        <v>2</v>
      </c>
      <c r="U905" s="78"/>
      <c r="V905" s="78"/>
      <c r="W905" s="78" t="s">
        <v>81</v>
      </c>
      <c r="X905" s="78" t="s">
        <v>104</v>
      </c>
      <c r="Y905" s="78">
        <v>2</v>
      </c>
      <c r="Z905" s="78" t="s">
        <v>86</v>
      </c>
      <c r="AA905" s="78" t="s">
        <v>225</v>
      </c>
      <c r="AB905" s="78">
        <v>3</v>
      </c>
    </row>
    <row r="906" spans="1:28" x14ac:dyDescent="0.25">
      <c r="A906" t="str">
        <f>IF(EXACT('BOM A320 FFS'!B1369,obsoleta!D906),"OK","ERROR")</f>
        <v>ERROR</v>
      </c>
      <c r="C906" s="51" t="s">
        <v>27</v>
      </c>
      <c r="D906" s="51">
        <v>1263511005000</v>
      </c>
      <c r="E906" s="51"/>
      <c r="F906" s="52" t="s">
        <v>3790</v>
      </c>
      <c r="G906" s="52" t="s">
        <v>459</v>
      </c>
      <c r="H906" s="52" t="s">
        <v>460</v>
      </c>
      <c r="I906" s="52" t="s">
        <v>461</v>
      </c>
      <c r="J906" s="54">
        <v>1</v>
      </c>
      <c r="K906" s="38">
        <v>350</v>
      </c>
      <c r="L906" s="35">
        <v>350</v>
      </c>
      <c r="M906" s="54" t="s">
        <v>32</v>
      </c>
      <c r="N906" s="37">
        <v>1</v>
      </c>
      <c r="O906" s="35">
        <v>350</v>
      </c>
      <c r="P906" s="35" t="s">
        <v>33</v>
      </c>
      <c r="Q906" s="97">
        <v>45457</v>
      </c>
      <c r="R906" s="35" t="s">
        <v>62</v>
      </c>
      <c r="S906" s="38"/>
      <c r="T906" s="78">
        <v>2</v>
      </c>
      <c r="U906" s="78"/>
      <c r="V906" s="78"/>
      <c r="W906" s="78" t="s">
        <v>81</v>
      </c>
      <c r="X906" s="78" t="s">
        <v>104</v>
      </c>
      <c r="Y906" s="78">
        <v>2</v>
      </c>
      <c r="Z906" s="78" t="s">
        <v>86</v>
      </c>
      <c r="AA906" s="78" t="s">
        <v>225</v>
      </c>
      <c r="AB906" s="78">
        <v>1</v>
      </c>
    </row>
    <row r="907" spans="1:28" x14ac:dyDescent="0.25">
      <c r="A907" t="str">
        <f>IF(EXACT('BOM A320 FFS'!B1370,obsoleta!D907),"OK","ERROR")</f>
        <v>ERROR</v>
      </c>
      <c r="C907" s="51" t="s">
        <v>27</v>
      </c>
      <c r="D907" s="51">
        <v>1229599330200</v>
      </c>
      <c r="E907" s="51"/>
      <c r="F907" s="52" t="s">
        <v>733</v>
      </c>
      <c r="G907" s="52" t="s">
        <v>734</v>
      </c>
      <c r="H907" s="52" t="s">
        <v>421</v>
      </c>
      <c r="I907" s="52" t="s">
        <v>421</v>
      </c>
      <c r="J907" s="54">
        <v>3</v>
      </c>
      <c r="K907" s="38">
        <v>55.72</v>
      </c>
      <c r="L907" s="35">
        <v>167.16</v>
      </c>
      <c r="M907" s="54" t="s">
        <v>32</v>
      </c>
      <c r="N907" s="37">
        <v>1</v>
      </c>
      <c r="O907" s="35">
        <v>167.16</v>
      </c>
      <c r="P907" s="35" t="s">
        <v>33</v>
      </c>
      <c r="Q907" s="97">
        <v>45457</v>
      </c>
      <c r="R907" s="35" t="s">
        <v>62</v>
      </c>
      <c r="S907" s="38"/>
      <c r="T907" s="78">
        <v>2</v>
      </c>
      <c r="U907" s="78"/>
      <c r="V907" s="78"/>
      <c r="W907" s="78" t="s">
        <v>81</v>
      </c>
      <c r="X907" s="78" t="s">
        <v>104</v>
      </c>
      <c r="Y907" s="78">
        <v>2</v>
      </c>
      <c r="Z907" s="78" t="s">
        <v>86</v>
      </c>
      <c r="AA907" s="78" t="s">
        <v>225</v>
      </c>
      <c r="AB907" s="78">
        <v>3</v>
      </c>
    </row>
    <row r="908" spans="1:28" x14ac:dyDescent="0.25">
      <c r="A908" t="str">
        <f>IF(EXACT('BOM A320 FFS'!B1371,obsoleta!D908),"OK","ERROR")</f>
        <v>ERROR</v>
      </c>
      <c r="C908" s="51" t="s">
        <v>27</v>
      </c>
      <c r="D908" s="51">
        <v>1209996806400</v>
      </c>
      <c r="E908" s="51"/>
      <c r="F908" s="52" t="s">
        <v>530</v>
      </c>
      <c r="G908" s="52" t="s">
        <v>531</v>
      </c>
      <c r="H908" s="52" t="s">
        <v>421</v>
      </c>
      <c r="I908" s="52" t="s">
        <v>421</v>
      </c>
      <c r="J908" s="152">
        <v>3</v>
      </c>
      <c r="K908" s="148">
        <v>215.75</v>
      </c>
      <c r="L908" s="144">
        <v>647.25</v>
      </c>
      <c r="M908" s="152" t="s">
        <v>32</v>
      </c>
      <c r="N908" s="146">
        <v>1</v>
      </c>
      <c r="O908" s="144">
        <v>647.25</v>
      </c>
      <c r="P908" s="144" t="s">
        <v>33</v>
      </c>
      <c r="Q908" s="147">
        <v>45457</v>
      </c>
      <c r="R908" s="144" t="s">
        <v>62</v>
      </c>
      <c r="S908" s="148"/>
      <c r="T908" s="149">
        <v>2</v>
      </c>
      <c r="U908" s="149"/>
      <c r="V908" s="149"/>
      <c r="W908" s="149" t="s">
        <v>81</v>
      </c>
      <c r="X908" s="149" t="s">
        <v>104</v>
      </c>
      <c r="Y908" s="149">
        <v>2</v>
      </c>
      <c r="Z908" s="149" t="s">
        <v>86</v>
      </c>
      <c r="AA908" s="149" t="s">
        <v>225</v>
      </c>
      <c r="AB908" s="149">
        <v>3</v>
      </c>
    </row>
    <row r="909" spans="1:28" x14ac:dyDescent="0.25">
      <c r="A909" t="str">
        <f>IF(EXACT('BOM A320 FFS'!B1372,obsoleta!D909),"OK","ERROR")</f>
        <v>ERROR</v>
      </c>
      <c r="C909" s="51" t="s">
        <v>27</v>
      </c>
      <c r="D909" s="131" t="s">
        <v>1134</v>
      </c>
      <c r="E909" s="150"/>
      <c r="F909" s="151" t="s">
        <v>1135</v>
      </c>
      <c r="G909" s="131">
        <v>917447970000</v>
      </c>
      <c r="H909" s="52" t="s">
        <v>1345</v>
      </c>
      <c r="I909" s="52" t="s">
        <v>1345</v>
      </c>
      <c r="J909" s="152">
        <v>3</v>
      </c>
      <c r="K909" s="148">
        <v>28.18</v>
      </c>
      <c r="L909" s="144">
        <v>84.54</v>
      </c>
      <c r="M909" s="152" t="s">
        <v>32</v>
      </c>
      <c r="N909" s="146">
        <v>1</v>
      </c>
      <c r="O909" s="144">
        <v>84.54</v>
      </c>
      <c r="P909" s="144" t="s">
        <v>33</v>
      </c>
      <c r="Q909" s="147">
        <v>45457</v>
      </c>
      <c r="R909" s="144" t="s">
        <v>62</v>
      </c>
      <c r="S909" s="148"/>
      <c r="T909" s="149">
        <v>2</v>
      </c>
      <c r="U909" s="149"/>
      <c r="V909" s="149"/>
      <c r="W909" s="149" t="s">
        <v>81</v>
      </c>
      <c r="X909" s="149" t="s">
        <v>104</v>
      </c>
      <c r="Y909" s="149">
        <v>2</v>
      </c>
      <c r="Z909" s="149" t="s">
        <v>86</v>
      </c>
      <c r="AA909" s="149" t="s">
        <v>225</v>
      </c>
      <c r="AB909" s="149">
        <v>3</v>
      </c>
    </row>
    <row r="910" spans="1:28" x14ac:dyDescent="0.25">
      <c r="A910" t="str">
        <f>IF(EXACT('BOM A320 FFS'!B1373,obsoleta!D910),"OK","ERROR")</f>
        <v>ERROR</v>
      </c>
      <c r="C910" s="51" t="s">
        <v>27</v>
      </c>
      <c r="D910" s="131" t="s">
        <v>1137</v>
      </c>
      <c r="E910" s="150"/>
      <c r="F910" s="151" t="s">
        <v>1138</v>
      </c>
      <c r="G910" s="131">
        <v>917447970400</v>
      </c>
      <c r="H910" s="52" t="s">
        <v>1345</v>
      </c>
      <c r="I910" s="52" t="s">
        <v>1345</v>
      </c>
      <c r="J910" s="54">
        <v>3</v>
      </c>
      <c r="K910" s="38">
        <v>28.12</v>
      </c>
      <c r="L910" s="35">
        <v>84.36</v>
      </c>
      <c r="M910" s="54" t="s">
        <v>32</v>
      </c>
      <c r="N910" s="37">
        <v>1</v>
      </c>
      <c r="O910" s="35">
        <v>84.36</v>
      </c>
      <c r="P910" s="35" t="s">
        <v>33</v>
      </c>
      <c r="Q910" s="97">
        <v>45457</v>
      </c>
      <c r="R910" s="35" t="s">
        <v>62</v>
      </c>
      <c r="S910" s="38"/>
      <c r="T910" s="78">
        <v>2</v>
      </c>
      <c r="U910" s="78"/>
      <c r="V910" s="78"/>
      <c r="W910" s="78" t="s">
        <v>81</v>
      </c>
      <c r="X910" s="78" t="s">
        <v>104</v>
      </c>
      <c r="Y910" s="78">
        <v>2</v>
      </c>
      <c r="Z910" s="78" t="s">
        <v>86</v>
      </c>
      <c r="AA910" s="78" t="s">
        <v>225</v>
      </c>
      <c r="AB910" s="78">
        <v>3</v>
      </c>
    </row>
    <row r="911" spans="1:28" x14ac:dyDescent="0.25">
      <c r="A911" t="str">
        <f>IF(EXACT('BOM A320 FFS'!B1374,obsoleta!D911),"OK","ERROR")</f>
        <v>ERROR</v>
      </c>
      <c r="C911" s="51" t="s">
        <v>27</v>
      </c>
      <c r="D911" s="51">
        <v>1390705610100</v>
      </c>
      <c r="E911" s="51"/>
      <c r="F911" s="52" t="s">
        <v>382</v>
      </c>
      <c r="G911" s="69">
        <v>1390705610100</v>
      </c>
      <c r="H911" s="66" t="s">
        <v>80</v>
      </c>
      <c r="I911" s="66" t="s">
        <v>80</v>
      </c>
      <c r="J911" s="67">
        <v>1</v>
      </c>
      <c r="K911" s="64">
        <v>675</v>
      </c>
      <c r="L911" s="68">
        <v>675</v>
      </c>
      <c r="M911" s="64" t="s">
        <v>32</v>
      </c>
      <c r="N911" s="64">
        <v>1</v>
      </c>
      <c r="O911" s="68">
        <v>675</v>
      </c>
      <c r="P911" s="68" t="s">
        <v>33</v>
      </c>
      <c r="Q911" s="102">
        <v>45457</v>
      </c>
      <c r="R911" s="68" t="s">
        <v>62</v>
      </c>
      <c r="S911" s="68"/>
      <c r="T911" s="68">
        <v>2</v>
      </c>
      <c r="U911" s="68" t="s">
        <v>34</v>
      </c>
      <c r="V911" s="68"/>
      <c r="W911" s="68" t="s">
        <v>81</v>
      </c>
      <c r="X911" s="68" t="s">
        <v>104</v>
      </c>
      <c r="Y911" s="68">
        <v>2</v>
      </c>
      <c r="Z911" s="68" t="s">
        <v>86</v>
      </c>
      <c r="AA911" s="68" t="s">
        <v>225</v>
      </c>
      <c r="AB911" s="68">
        <v>1</v>
      </c>
    </row>
    <row r="912" spans="1:28" x14ac:dyDescent="0.25">
      <c r="A912" t="str">
        <f>IF(EXACT('BOM A320 FFS'!B1375,obsoleta!D912),"OK","ERROR")</f>
        <v>ERROR</v>
      </c>
      <c r="C912" s="65"/>
      <c r="D912" s="65" t="s">
        <v>3685</v>
      </c>
      <c r="E912" s="65"/>
      <c r="F912" s="64"/>
      <c r="G912" s="66"/>
      <c r="H912" s="52"/>
      <c r="I912" s="52"/>
      <c r="J912" s="54"/>
      <c r="K912" s="38"/>
      <c r="L912" s="35"/>
      <c r="M912" s="54"/>
      <c r="N912" s="37"/>
      <c r="O912" s="35"/>
      <c r="P912" s="35"/>
      <c r="Q912" s="97"/>
      <c r="R912" s="35"/>
      <c r="S912" s="38"/>
      <c r="T912" s="78"/>
      <c r="U912" s="78"/>
      <c r="V912" s="78"/>
      <c r="W912" s="78"/>
      <c r="X912" s="78"/>
      <c r="Y912" s="78"/>
      <c r="Z912" s="78"/>
      <c r="AA912" s="78" t="s">
        <v>225</v>
      </c>
      <c r="AB912" s="78"/>
    </row>
    <row r="913" spans="1:28" x14ac:dyDescent="0.25">
      <c r="A913" t="str">
        <f>IF(EXACT('BOM A320 FFS'!B1376,obsoleta!D913),"OK","ERROR")</f>
        <v>ERROR</v>
      </c>
      <c r="C913" s="51" t="s">
        <v>27</v>
      </c>
      <c r="D913" s="51">
        <v>3210500130300</v>
      </c>
      <c r="E913" s="51"/>
      <c r="F913" s="52" t="s">
        <v>521</v>
      </c>
      <c r="G913" s="52" t="s">
        <v>522</v>
      </c>
      <c r="H913" s="52" t="s">
        <v>209</v>
      </c>
      <c r="I913" s="52" t="s">
        <v>209</v>
      </c>
      <c r="J913" s="54">
        <v>1</v>
      </c>
      <c r="K913" s="38">
        <v>250</v>
      </c>
      <c r="L913" s="35">
        <v>250</v>
      </c>
      <c r="M913" s="54" t="s">
        <v>32</v>
      </c>
      <c r="N913" s="37">
        <v>1</v>
      </c>
      <c r="O913" s="35">
        <v>250</v>
      </c>
      <c r="P913" s="35" t="s">
        <v>33</v>
      </c>
      <c r="Q913" s="97">
        <v>45457</v>
      </c>
      <c r="R913" s="35" t="s">
        <v>62</v>
      </c>
      <c r="S913" s="38"/>
      <c r="T913" s="78">
        <v>2</v>
      </c>
      <c r="U913" s="78" t="s">
        <v>34</v>
      </c>
      <c r="V913" s="78"/>
      <c r="W913" s="78" t="s">
        <v>81</v>
      </c>
      <c r="X913" s="78" t="s">
        <v>104</v>
      </c>
      <c r="Y913" s="78">
        <v>2</v>
      </c>
      <c r="Z913" s="78" t="s">
        <v>86</v>
      </c>
      <c r="AA913" s="78" t="s">
        <v>225</v>
      </c>
      <c r="AB913" s="78">
        <v>1</v>
      </c>
    </row>
    <row r="914" spans="1:28" x14ac:dyDescent="0.25">
      <c r="A914" t="str">
        <f>IF(EXACT('BOM A320 FFS'!B1377,obsoleta!D914),"OK","ERROR")</f>
        <v>ERROR</v>
      </c>
      <c r="C914" s="51" t="s">
        <v>27</v>
      </c>
      <c r="D914" s="51">
        <v>3166092900000</v>
      </c>
      <c r="E914" s="51"/>
      <c r="F914" s="52" t="s">
        <v>207</v>
      </c>
      <c r="G914" s="52" t="s">
        <v>208</v>
      </c>
      <c r="H914" s="52" t="s">
        <v>209</v>
      </c>
      <c r="I914" s="52" t="s">
        <v>209</v>
      </c>
      <c r="J914" s="54">
        <v>3</v>
      </c>
      <c r="K914" s="38">
        <v>3800</v>
      </c>
      <c r="L914" s="35">
        <v>11400</v>
      </c>
      <c r="M914" s="54" t="s">
        <v>32</v>
      </c>
      <c r="N914" s="37">
        <v>1</v>
      </c>
      <c r="O914" s="35">
        <v>11400</v>
      </c>
      <c r="P914" s="35" t="s">
        <v>33</v>
      </c>
      <c r="Q914" s="97">
        <v>45457</v>
      </c>
      <c r="R914" s="35" t="s">
        <v>62</v>
      </c>
      <c r="S914" s="38"/>
      <c r="T914" s="78">
        <v>2</v>
      </c>
      <c r="U914" s="78" t="s">
        <v>34</v>
      </c>
      <c r="V914" s="78"/>
      <c r="W914" s="78" t="s">
        <v>81</v>
      </c>
      <c r="X914" s="78" t="s">
        <v>104</v>
      </c>
      <c r="Y914" s="78">
        <v>2</v>
      </c>
      <c r="Z914" s="78" t="s">
        <v>86</v>
      </c>
      <c r="AA914" s="78" t="s">
        <v>225</v>
      </c>
      <c r="AB914" s="78">
        <v>3</v>
      </c>
    </row>
    <row r="915" spans="1:28" x14ac:dyDescent="0.25">
      <c r="A915" t="str">
        <f>IF(EXACT('BOM A320 FFS'!B1378,obsoleta!D915),"OK","ERROR")</f>
        <v>ERROR</v>
      </c>
      <c r="C915" s="51" t="s">
        <v>27</v>
      </c>
      <c r="D915" s="51">
        <v>1390705449000</v>
      </c>
      <c r="E915" s="51"/>
      <c r="F915" s="52" t="s">
        <v>245</v>
      </c>
      <c r="G915" s="52" t="s">
        <v>246</v>
      </c>
      <c r="H915" s="52" t="s">
        <v>209</v>
      </c>
      <c r="I915" s="52" t="s">
        <v>209</v>
      </c>
      <c r="J915" s="54">
        <v>1</v>
      </c>
      <c r="K915" s="38">
        <v>2280</v>
      </c>
      <c r="L915" s="35">
        <v>2280</v>
      </c>
      <c r="M915" s="54" t="s">
        <v>32</v>
      </c>
      <c r="N915" s="37">
        <v>1</v>
      </c>
      <c r="O915" s="35">
        <v>2280</v>
      </c>
      <c r="P915" s="35" t="s">
        <v>33</v>
      </c>
      <c r="Q915" s="97">
        <v>45457</v>
      </c>
      <c r="R915" s="35" t="s">
        <v>62</v>
      </c>
      <c r="S915" s="38"/>
      <c r="T915" s="78">
        <v>2</v>
      </c>
      <c r="U915" s="78" t="s">
        <v>34</v>
      </c>
      <c r="V915" s="78"/>
      <c r="W915" s="78" t="s">
        <v>81</v>
      </c>
      <c r="X915" s="78" t="s">
        <v>104</v>
      </c>
      <c r="Y915" s="78">
        <v>2</v>
      </c>
      <c r="Z915" s="78" t="s">
        <v>86</v>
      </c>
      <c r="AA915" s="78" t="s">
        <v>225</v>
      </c>
      <c r="AB915" s="78">
        <v>1</v>
      </c>
    </row>
    <row r="916" spans="1:28" x14ac:dyDescent="0.25">
      <c r="A916" t="str">
        <f>IF(EXACT('BOM A320 FFS'!B1379,obsoleta!D916),"OK","ERROR")</f>
        <v>ERROR</v>
      </c>
      <c r="C916" s="51" t="s">
        <v>27</v>
      </c>
      <c r="D916" s="51">
        <v>3170100060400</v>
      </c>
      <c r="E916" s="51"/>
      <c r="F916" s="52" t="s">
        <v>603</v>
      </c>
      <c r="G916" s="52" t="s">
        <v>604</v>
      </c>
      <c r="H916" s="52" t="s">
        <v>297</v>
      </c>
      <c r="I916" s="52" t="s">
        <v>297</v>
      </c>
      <c r="J916" s="54">
        <v>1</v>
      </c>
      <c r="K916" s="38">
        <v>122</v>
      </c>
      <c r="L916" s="35">
        <v>122</v>
      </c>
      <c r="M916" s="54" t="s">
        <v>32</v>
      </c>
      <c r="N916" s="37">
        <v>1</v>
      </c>
      <c r="O916" s="35">
        <v>122</v>
      </c>
      <c r="P916" s="35" t="s">
        <v>33</v>
      </c>
      <c r="Q916" s="97">
        <v>45457</v>
      </c>
      <c r="R916" s="35" t="s">
        <v>62</v>
      </c>
      <c r="S916" s="38"/>
      <c r="T916" s="78">
        <v>2</v>
      </c>
      <c r="U916" s="78"/>
      <c r="V916" s="78"/>
      <c r="W916" s="78" t="s">
        <v>81</v>
      </c>
      <c r="X916" s="78" t="s">
        <v>104</v>
      </c>
      <c r="Y916" s="78">
        <v>2</v>
      </c>
      <c r="Z916" s="78" t="s">
        <v>86</v>
      </c>
      <c r="AA916" s="78" t="s">
        <v>225</v>
      </c>
      <c r="AB916" s="78">
        <v>1</v>
      </c>
    </row>
    <row r="917" spans="1:28" x14ac:dyDescent="0.25">
      <c r="A917" t="str">
        <f>IF(EXACT('BOM A320 FFS'!B1380,obsoleta!D917),"OK","ERROR")</f>
        <v>ERROR</v>
      </c>
      <c r="C917" s="51" t="s">
        <v>27</v>
      </c>
      <c r="D917" s="51">
        <v>1390705440000</v>
      </c>
      <c r="E917" s="51"/>
      <c r="F917" s="52" t="s">
        <v>312</v>
      </c>
      <c r="G917" s="52" t="s">
        <v>313</v>
      </c>
      <c r="H917" s="52" t="s">
        <v>209</v>
      </c>
      <c r="I917" s="52" t="s">
        <v>209</v>
      </c>
      <c r="J917" s="54">
        <v>2</v>
      </c>
      <c r="K917" s="38">
        <v>1585</v>
      </c>
      <c r="L917" s="35">
        <v>3170</v>
      </c>
      <c r="M917" s="54" t="s">
        <v>32</v>
      </c>
      <c r="N917" s="37">
        <v>1</v>
      </c>
      <c r="O917" s="35">
        <v>3170</v>
      </c>
      <c r="P917" s="35" t="s">
        <v>33</v>
      </c>
      <c r="Q917" s="97">
        <v>45457</v>
      </c>
      <c r="R917" s="35" t="s">
        <v>62</v>
      </c>
      <c r="S917" s="38"/>
      <c r="T917" s="78">
        <v>2</v>
      </c>
      <c r="U917" s="78" t="s">
        <v>34</v>
      </c>
      <c r="V917" s="78"/>
      <c r="W917" s="78" t="s">
        <v>81</v>
      </c>
      <c r="X917" s="78" t="s">
        <v>104</v>
      </c>
      <c r="Y917" s="78">
        <v>2</v>
      </c>
      <c r="Z917" s="78" t="s">
        <v>86</v>
      </c>
      <c r="AA917" s="78" t="s">
        <v>225</v>
      </c>
      <c r="AB917" s="78">
        <v>2</v>
      </c>
    </row>
    <row r="918" spans="1:28" x14ac:dyDescent="0.25">
      <c r="A918" t="str">
        <f>IF(EXACT('BOM A320 FFS'!B1381,obsoleta!D918),"OK","ERROR")</f>
        <v>ERROR</v>
      </c>
      <c r="C918" s="51" t="s">
        <v>27</v>
      </c>
      <c r="D918" s="51">
        <v>3210104720300</v>
      </c>
      <c r="E918" s="51"/>
      <c r="F918" s="52" t="s">
        <v>1209</v>
      </c>
      <c r="G918" s="52" t="s">
        <v>1210</v>
      </c>
      <c r="H918" s="52" t="s">
        <v>1054</v>
      </c>
      <c r="I918" s="52" t="s">
        <v>1054</v>
      </c>
      <c r="J918" s="54">
        <v>2</v>
      </c>
      <c r="K918" s="38">
        <v>19.82</v>
      </c>
      <c r="L918" s="35">
        <v>39.64</v>
      </c>
      <c r="M918" s="54" t="s">
        <v>32</v>
      </c>
      <c r="N918" s="37">
        <v>1</v>
      </c>
      <c r="O918" s="35">
        <v>39.64</v>
      </c>
      <c r="P918" s="35" t="s">
        <v>33</v>
      </c>
      <c r="Q918" s="97">
        <v>45457</v>
      </c>
      <c r="R918" s="35" t="s">
        <v>62</v>
      </c>
      <c r="S918" s="38"/>
      <c r="T918" s="78">
        <v>2</v>
      </c>
      <c r="U918" s="78"/>
      <c r="V918" s="78"/>
      <c r="W918" s="78" t="s">
        <v>81</v>
      </c>
      <c r="X918" s="78" t="s">
        <v>104</v>
      </c>
      <c r="Y918" s="78">
        <v>2</v>
      </c>
      <c r="Z918" s="78" t="s">
        <v>86</v>
      </c>
      <c r="AA918" s="78" t="s">
        <v>225</v>
      </c>
      <c r="AB918" s="78">
        <v>2</v>
      </c>
    </row>
    <row r="919" spans="1:28" x14ac:dyDescent="0.25">
      <c r="A919" t="str">
        <f>IF(EXACT('BOM A320 FFS'!B1382,obsoleta!D919),"OK","ERROR")</f>
        <v>ERROR</v>
      </c>
      <c r="C919" s="51" t="s">
        <v>27</v>
      </c>
      <c r="D919" s="51" t="s">
        <v>2480</v>
      </c>
      <c r="E919" s="51"/>
      <c r="F919" s="52" t="s">
        <v>2481</v>
      </c>
      <c r="G919" s="164">
        <v>972885290100</v>
      </c>
      <c r="H919" s="66" t="s">
        <v>80</v>
      </c>
      <c r="I919" s="66" t="s">
        <v>80</v>
      </c>
      <c r="J919" s="67">
        <v>2</v>
      </c>
      <c r="K919" s="64">
        <v>50</v>
      </c>
      <c r="L919" s="68">
        <v>100</v>
      </c>
      <c r="M919" s="64" t="s">
        <v>32</v>
      </c>
      <c r="N919" s="64">
        <v>1</v>
      </c>
      <c r="O919" s="68">
        <v>100</v>
      </c>
      <c r="P919" s="68" t="s">
        <v>33</v>
      </c>
      <c r="Q919" s="102">
        <v>45457</v>
      </c>
      <c r="R919" s="68" t="s">
        <v>62</v>
      </c>
      <c r="S919" s="68"/>
      <c r="T919" s="68">
        <v>2</v>
      </c>
      <c r="U919" s="68" t="s">
        <v>34</v>
      </c>
      <c r="V919" s="68"/>
      <c r="W919" s="68" t="s">
        <v>81</v>
      </c>
      <c r="X919" s="68" t="s">
        <v>104</v>
      </c>
      <c r="Y919" s="68">
        <v>2</v>
      </c>
      <c r="Z919" s="68" t="s">
        <v>86</v>
      </c>
      <c r="AA919" s="68" t="s">
        <v>225</v>
      </c>
      <c r="AB919" s="68">
        <v>2</v>
      </c>
    </row>
    <row r="920" spans="1:28" x14ac:dyDescent="0.25">
      <c r="A920" t="str">
        <f>IF(EXACT('BOM A320 FFS'!B1383,obsoleta!D920),"OK","ERROR")</f>
        <v>ERROR</v>
      </c>
      <c r="C920" s="65"/>
      <c r="D920" s="65" t="s">
        <v>3686</v>
      </c>
      <c r="E920" s="65"/>
      <c r="F920" s="64"/>
      <c r="G920" s="66"/>
      <c r="H920" s="28"/>
      <c r="I920" s="28"/>
      <c r="J920" s="40"/>
      <c r="K920" s="26"/>
      <c r="L920" s="30"/>
      <c r="M920" s="26"/>
      <c r="N920" s="26"/>
      <c r="O920" s="30"/>
      <c r="P920" s="30"/>
      <c r="Q920" s="96"/>
      <c r="R920" s="30"/>
      <c r="S920" s="30"/>
      <c r="T920" s="82"/>
      <c r="U920" s="82"/>
      <c r="V920" s="82"/>
      <c r="W920" s="82"/>
      <c r="X920" s="82"/>
      <c r="Y920" s="82"/>
      <c r="Z920" s="82"/>
      <c r="AA920" s="82" t="s">
        <v>225</v>
      </c>
      <c r="AB920" s="82"/>
    </row>
    <row r="921" spans="1:28" x14ac:dyDescent="0.25">
      <c r="A921" t="str">
        <f>IF(EXACT('BOM A320 FFS'!B1384,obsoleta!D921),"OK","ERROR")</f>
        <v>ERROR</v>
      </c>
      <c r="C921" s="14" t="s">
        <v>27</v>
      </c>
      <c r="D921" s="14" t="s">
        <v>3687</v>
      </c>
      <c r="E921" s="14"/>
      <c r="F921" s="26"/>
      <c r="G921" s="28"/>
      <c r="H921" s="52"/>
      <c r="I921" s="52"/>
      <c r="J921" s="54"/>
      <c r="K921" s="38"/>
      <c r="L921" s="35"/>
      <c r="M921" s="54"/>
      <c r="N921" s="37"/>
      <c r="O921" s="35"/>
      <c r="P921" s="35"/>
      <c r="Q921" s="97"/>
      <c r="R921" s="35"/>
      <c r="S921" s="38"/>
      <c r="T921" s="78"/>
      <c r="U921" s="78"/>
      <c r="V921" s="78"/>
      <c r="W921" s="78"/>
      <c r="X921" s="78"/>
      <c r="Y921" s="78"/>
      <c r="Z921" s="78"/>
      <c r="AA921" s="78" t="s">
        <v>225</v>
      </c>
      <c r="AB921" s="78"/>
    </row>
    <row r="922" spans="1:28" x14ac:dyDescent="0.25">
      <c r="A922" t="str">
        <f>IF(EXACT('BOM A320 FFS'!B1385,obsoleta!D922),"OK","ERROR")</f>
        <v>ERROR</v>
      </c>
      <c r="C922" s="51" t="s">
        <v>27</v>
      </c>
      <c r="D922" s="51">
        <v>1263511140101</v>
      </c>
      <c r="E922" s="51"/>
      <c r="F922" s="52" t="s">
        <v>662</v>
      </c>
      <c r="G922" s="52" t="s">
        <v>663</v>
      </c>
      <c r="H922" s="52" t="s">
        <v>664</v>
      </c>
      <c r="I922" s="52" t="s">
        <v>461</v>
      </c>
      <c r="J922" s="54">
        <v>1</v>
      </c>
      <c r="K922" s="38">
        <v>85.02</v>
      </c>
      <c r="L922" s="35">
        <v>85.02</v>
      </c>
      <c r="M922" s="54" t="s">
        <v>32</v>
      </c>
      <c r="N922" s="37">
        <v>1</v>
      </c>
      <c r="O922" s="35">
        <v>85.02</v>
      </c>
      <c r="P922" s="35" t="s">
        <v>33</v>
      </c>
      <c r="Q922" s="97">
        <v>45457</v>
      </c>
      <c r="R922" s="35" t="s">
        <v>62</v>
      </c>
      <c r="S922" s="38"/>
      <c r="T922" s="78">
        <v>2</v>
      </c>
      <c r="U922" s="78"/>
      <c r="V922" s="78"/>
      <c r="W922" s="78" t="s">
        <v>81</v>
      </c>
      <c r="X922" s="78" t="s">
        <v>104</v>
      </c>
      <c r="Y922" s="78">
        <v>2</v>
      </c>
      <c r="Z922" s="78" t="s">
        <v>86</v>
      </c>
      <c r="AA922" s="78" t="s">
        <v>225</v>
      </c>
      <c r="AB922" s="78">
        <v>1</v>
      </c>
    </row>
    <row r="923" spans="1:28" x14ac:dyDescent="0.25">
      <c r="A923" t="str">
        <f>IF(EXACT('BOM A320 FFS'!B1386,obsoleta!D923),"OK","ERROR")</f>
        <v>ERROR</v>
      </c>
      <c r="C923" s="51" t="s">
        <v>27</v>
      </c>
      <c r="D923" s="51">
        <v>1309006400000</v>
      </c>
      <c r="E923" s="51"/>
      <c r="F923" s="52" t="s">
        <v>378</v>
      </c>
      <c r="G923" s="52" t="s">
        <v>379</v>
      </c>
      <c r="H923" s="52" t="s">
        <v>380</v>
      </c>
      <c r="I923" s="52"/>
      <c r="J923" s="54">
        <v>1</v>
      </c>
      <c r="K923" s="38">
        <v>675</v>
      </c>
      <c r="L923" s="35">
        <v>675</v>
      </c>
      <c r="M923" s="54" t="s">
        <v>32</v>
      </c>
      <c r="N923" s="37">
        <v>1</v>
      </c>
      <c r="O923" s="35">
        <v>675</v>
      </c>
      <c r="P923" s="35" t="s">
        <v>33</v>
      </c>
      <c r="Q923" s="97">
        <v>45457</v>
      </c>
      <c r="R923" s="35" t="s">
        <v>62</v>
      </c>
      <c r="S923" s="38"/>
      <c r="T923" s="78">
        <v>2</v>
      </c>
      <c r="U923" s="78"/>
      <c r="V923" s="78"/>
      <c r="W923" s="78" t="s">
        <v>81</v>
      </c>
      <c r="X923" s="78" t="s">
        <v>104</v>
      </c>
      <c r="Y923" s="78">
        <v>2</v>
      </c>
      <c r="Z923" s="78" t="s">
        <v>86</v>
      </c>
      <c r="AA923" s="78" t="s">
        <v>225</v>
      </c>
      <c r="AB923" s="78">
        <v>1</v>
      </c>
    </row>
    <row r="924" spans="1:28" x14ac:dyDescent="0.25">
      <c r="A924" t="str">
        <f>IF(EXACT('BOM A320 FFS'!B1387,obsoleta!D924),"OK","ERROR")</f>
        <v>ERROR</v>
      </c>
      <c r="C924" s="51" t="s">
        <v>27</v>
      </c>
      <c r="D924" s="51">
        <v>1309006400100</v>
      </c>
      <c r="E924" s="51"/>
      <c r="F924" s="52" t="s">
        <v>444</v>
      </c>
      <c r="G924" s="52" t="s">
        <v>445</v>
      </c>
      <c r="H924" s="52" t="s">
        <v>380</v>
      </c>
      <c r="I924" s="52"/>
      <c r="J924" s="54">
        <v>1</v>
      </c>
      <c r="K924" s="38">
        <v>422</v>
      </c>
      <c r="L924" s="35">
        <v>422</v>
      </c>
      <c r="M924" s="54" t="s">
        <v>32</v>
      </c>
      <c r="N924" s="37">
        <v>1</v>
      </c>
      <c r="O924" s="35">
        <v>422</v>
      </c>
      <c r="P924" s="35" t="s">
        <v>33</v>
      </c>
      <c r="Q924" s="97">
        <v>45457</v>
      </c>
      <c r="R924" s="35" t="s">
        <v>62</v>
      </c>
      <c r="S924" s="38"/>
      <c r="T924" s="78">
        <v>2</v>
      </c>
      <c r="U924" s="78"/>
      <c r="V924" s="78"/>
      <c r="W924" s="78" t="s">
        <v>81</v>
      </c>
      <c r="X924" s="78" t="s">
        <v>104</v>
      </c>
      <c r="Y924" s="78">
        <v>2</v>
      </c>
      <c r="Z924" s="78" t="s">
        <v>86</v>
      </c>
      <c r="AA924" s="78" t="s">
        <v>225</v>
      </c>
      <c r="AB924" s="78">
        <v>1</v>
      </c>
    </row>
    <row r="925" spans="1:28" x14ac:dyDescent="0.25">
      <c r="A925" t="str">
        <f>IF(EXACT('BOM A320 FFS'!B1388,obsoleta!D925),"OK","ERROR")</f>
        <v>ERROR</v>
      </c>
      <c r="C925" s="51" t="s">
        <v>27</v>
      </c>
      <c r="D925" s="51">
        <v>1309006400200</v>
      </c>
      <c r="E925" s="51"/>
      <c r="F925" s="52" t="s">
        <v>659</v>
      </c>
      <c r="G925" s="52" t="s">
        <v>660</v>
      </c>
      <c r="H925" s="52" t="s">
        <v>380</v>
      </c>
      <c r="I925" s="52"/>
      <c r="J925" s="54">
        <v>1</v>
      </c>
      <c r="K925" s="38">
        <v>88.62</v>
      </c>
      <c r="L925" s="35">
        <v>88.62</v>
      </c>
      <c r="M925" s="54" t="s">
        <v>32</v>
      </c>
      <c r="N925" s="37">
        <v>1</v>
      </c>
      <c r="O925" s="35">
        <v>88.62</v>
      </c>
      <c r="P925" s="35" t="s">
        <v>33</v>
      </c>
      <c r="Q925" s="97">
        <v>45457</v>
      </c>
      <c r="R925" s="35" t="s">
        <v>62</v>
      </c>
      <c r="S925" s="38"/>
      <c r="T925" s="78">
        <v>2</v>
      </c>
      <c r="U925" s="78"/>
      <c r="V925" s="78"/>
      <c r="W925" s="78" t="s">
        <v>81</v>
      </c>
      <c r="X925" s="78" t="s">
        <v>104</v>
      </c>
      <c r="Y925" s="78">
        <v>2</v>
      </c>
      <c r="Z925" s="78" t="s">
        <v>86</v>
      </c>
      <c r="AA925" s="78" t="s">
        <v>225</v>
      </c>
      <c r="AB925" s="78">
        <v>1</v>
      </c>
    </row>
    <row r="926" spans="1:28" x14ac:dyDescent="0.25">
      <c r="A926" t="str">
        <f>IF(EXACT('BOM A320 FFS'!B1389,obsoleta!D926),"OK","ERROR")</f>
        <v>ERROR</v>
      </c>
      <c r="C926" s="51" t="s">
        <v>27</v>
      </c>
      <c r="D926" s="51">
        <v>1753000990000</v>
      </c>
      <c r="E926" s="51"/>
      <c r="F926" s="52" t="s">
        <v>373</v>
      </c>
      <c r="G926" s="52" t="s">
        <v>374</v>
      </c>
      <c r="H926" s="52" t="s">
        <v>375</v>
      </c>
      <c r="I926" s="52" t="s">
        <v>376</v>
      </c>
      <c r="J926" s="54">
        <v>1</v>
      </c>
      <c r="K926" s="38">
        <v>723.75</v>
      </c>
      <c r="L926" s="35">
        <v>723.75</v>
      </c>
      <c r="M926" s="54" t="s">
        <v>32</v>
      </c>
      <c r="N926" s="37">
        <v>1</v>
      </c>
      <c r="O926" s="35">
        <v>723.75</v>
      </c>
      <c r="P926" s="35" t="s">
        <v>33</v>
      </c>
      <c r="Q926" s="97">
        <v>45457</v>
      </c>
      <c r="R926" s="35" t="s">
        <v>62</v>
      </c>
      <c r="S926" s="38"/>
      <c r="T926" s="78">
        <v>2</v>
      </c>
      <c r="U926" s="78"/>
      <c r="V926" s="78"/>
      <c r="W926" s="78" t="s">
        <v>81</v>
      </c>
      <c r="X926" s="78" t="s">
        <v>104</v>
      </c>
      <c r="Y926" s="78">
        <v>2</v>
      </c>
      <c r="Z926" s="78" t="s">
        <v>86</v>
      </c>
      <c r="AA926" s="78" t="s">
        <v>225</v>
      </c>
      <c r="AB926" s="78">
        <v>1</v>
      </c>
    </row>
    <row r="927" spans="1:28" x14ac:dyDescent="0.25">
      <c r="A927" t="str">
        <f>IF(EXACT('BOM A320 FFS'!B1390,obsoleta!D927),"OK","ERROR")</f>
        <v>ERROR</v>
      </c>
      <c r="C927" s="51" t="s">
        <v>27</v>
      </c>
      <c r="D927" s="51">
        <v>1759990510300</v>
      </c>
      <c r="E927" s="51"/>
      <c r="F927" s="52" t="s">
        <v>467</v>
      </c>
      <c r="G927" s="52" t="s">
        <v>468</v>
      </c>
      <c r="H927" s="52" t="s">
        <v>469</v>
      </c>
      <c r="I927" s="52" t="s">
        <v>469</v>
      </c>
      <c r="J927" s="54">
        <v>1</v>
      </c>
      <c r="K927" s="38">
        <v>331.4</v>
      </c>
      <c r="L927" s="35">
        <v>331.4</v>
      </c>
      <c r="M927" s="54" t="s">
        <v>32</v>
      </c>
      <c r="N927" s="37">
        <v>1</v>
      </c>
      <c r="O927" s="35">
        <v>331.4</v>
      </c>
      <c r="P927" s="35" t="s">
        <v>33</v>
      </c>
      <c r="Q927" s="97">
        <v>45457</v>
      </c>
      <c r="R927" s="35" t="s">
        <v>62</v>
      </c>
      <c r="S927" s="38"/>
      <c r="T927" s="78">
        <v>2</v>
      </c>
      <c r="U927" s="78"/>
      <c r="V927" s="78"/>
      <c r="W927" s="78" t="s">
        <v>81</v>
      </c>
      <c r="X927" s="78" t="s">
        <v>104</v>
      </c>
      <c r="Y927" s="78">
        <v>2</v>
      </c>
      <c r="Z927" s="78" t="s">
        <v>86</v>
      </c>
      <c r="AA927" s="78" t="s">
        <v>225</v>
      </c>
      <c r="AB927" s="78">
        <v>1</v>
      </c>
    </row>
    <row r="928" spans="1:28" x14ac:dyDescent="0.25">
      <c r="A928" t="str">
        <f>IF(EXACT('BOM A320 FFS'!B1391,obsoleta!D928),"OK","ERROR")</f>
        <v>ERROR</v>
      </c>
      <c r="C928" s="51" t="s">
        <v>27</v>
      </c>
      <c r="D928" s="51">
        <v>1130622410200</v>
      </c>
      <c r="E928" s="51"/>
      <c r="F928" s="52" t="s">
        <v>1358</v>
      </c>
      <c r="G928" s="52">
        <v>2903359</v>
      </c>
      <c r="H928" s="52" t="s">
        <v>442</v>
      </c>
      <c r="I928" s="52" t="s">
        <v>461</v>
      </c>
      <c r="J928" s="54">
        <v>2</v>
      </c>
      <c r="K928" s="38">
        <v>9.25</v>
      </c>
      <c r="L928" s="35">
        <v>18.5</v>
      </c>
      <c r="M928" s="54" t="s">
        <v>32</v>
      </c>
      <c r="N928" s="37">
        <v>1</v>
      </c>
      <c r="O928" s="35">
        <v>18.5</v>
      </c>
      <c r="P928" s="35" t="s">
        <v>33</v>
      </c>
      <c r="Q928" s="97">
        <v>45457</v>
      </c>
      <c r="R928" s="35" t="s">
        <v>62</v>
      </c>
      <c r="S928" s="38"/>
      <c r="T928" s="78">
        <v>2</v>
      </c>
      <c r="U928" s="78"/>
      <c r="V928" s="78"/>
      <c r="W928" s="78" t="s">
        <v>81</v>
      </c>
      <c r="X928" s="78" t="s">
        <v>104</v>
      </c>
      <c r="Y928" s="78">
        <v>2</v>
      </c>
      <c r="Z928" s="78" t="s">
        <v>86</v>
      </c>
      <c r="AA928" s="78" t="s">
        <v>225</v>
      </c>
      <c r="AB928" s="78">
        <v>2</v>
      </c>
    </row>
    <row r="929" spans="1:28" x14ac:dyDescent="0.25">
      <c r="A929" t="str">
        <f>IF(EXACT('BOM A320 FFS'!B1392,obsoleta!D929),"OK","ERROR")</f>
        <v>ERROR</v>
      </c>
      <c r="C929" s="51" t="s">
        <v>27</v>
      </c>
      <c r="D929" s="51">
        <v>1237000289001</v>
      </c>
      <c r="E929" s="51"/>
      <c r="F929" s="52" t="s">
        <v>1720</v>
      </c>
      <c r="G929" s="52">
        <v>3031306</v>
      </c>
      <c r="H929" s="52" t="s">
        <v>442</v>
      </c>
      <c r="I929" s="52" t="s">
        <v>461</v>
      </c>
      <c r="J929" s="54">
        <v>3</v>
      </c>
      <c r="K929" s="38">
        <v>1.46</v>
      </c>
      <c r="L929" s="35">
        <v>4.38</v>
      </c>
      <c r="M929" s="54" t="s">
        <v>32</v>
      </c>
      <c r="N929" s="37">
        <v>1</v>
      </c>
      <c r="O929" s="35">
        <v>4.38</v>
      </c>
      <c r="P929" s="35" t="s">
        <v>33</v>
      </c>
      <c r="Q929" s="97">
        <v>45457</v>
      </c>
      <c r="R929" s="35" t="s">
        <v>62</v>
      </c>
      <c r="S929" s="38"/>
      <c r="T929" s="78">
        <v>2</v>
      </c>
      <c r="U929" s="78"/>
      <c r="V929" s="78"/>
      <c r="W929" s="78" t="s">
        <v>81</v>
      </c>
      <c r="X929" s="78" t="s">
        <v>104</v>
      </c>
      <c r="Y929" s="78">
        <v>2</v>
      </c>
      <c r="Z929" s="78" t="s">
        <v>86</v>
      </c>
      <c r="AA929" s="78" t="s">
        <v>225</v>
      </c>
      <c r="AB929" s="78">
        <v>3</v>
      </c>
    </row>
    <row r="930" spans="1:28" x14ac:dyDescent="0.25">
      <c r="A930" t="str">
        <f>IF(EXACT('BOM A320 FFS'!B1393,obsoleta!D930),"OK","ERROR")</f>
        <v>ERROR</v>
      </c>
      <c r="C930" s="51" t="s">
        <v>27</v>
      </c>
      <c r="D930" s="51">
        <v>1208000381500</v>
      </c>
      <c r="E930" s="51"/>
      <c r="F930" s="52" t="s">
        <v>1722</v>
      </c>
      <c r="G930" s="52" t="s">
        <v>1723</v>
      </c>
      <c r="H930" s="52" t="s">
        <v>1122</v>
      </c>
      <c r="I930" s="52" t="s">
        <v>461</v>
      </c>
      <c r="J930" s="54">
        <v>1</v>
      </c>
      <c r="K930" s="38">
        <v>1.45</v>
      </c>
      <c r="L930" s="35">
        <v>1.45</v>
      </c>
      <c r="M930" s="54" t="s">
        <v>32</v>
      </c>
      <c r="N930" s="37">
        <v>1</v>
      </c>
      <c r="O930" s="35">
        <v>1.45</v>
      </c>
      <c r="P930" s="35" t="s">
        <v>33</v>
      </c>
      <c r="Q930" s="97">
        <v>45457</v>
      </c>
      <c r="R930" s="35" t="s">
        <v>62</v>
      </c>
      <c r="S930" s="38"/>
      <c r="T930" s="78">
        <v>2</v>
      </c>
      <c r="U930" s="78"/>
      <c r="V930" s="78"/>
      <c r="W930" s="78" t="s">
        <v>81</v>
      </c>
      <c r="X930" s="78" t="s">
        <v>104</v>
      </c>
      <c r="Y930" s="78">
        <v>2</v>
      </c>
      <c r="Z930" s="78" t="s">
        <v>86</v>
      </c>
      <c r="AA930" s="78" t="s">
        <v>225</v>
      </c>
      <c r="AB930" s="78">
        <v>1</v>
      </c>
    </row>
    <row r="931" spans="1:28" x14ac:dyDescent="0.25">
      <c r="A931" t="str">
        <f>IF(EXACT('BOM A320 FFS'!B1394,obsoleta!D931),"OK","ERROR")</f>
        <v>ERROR</v>
      </c>
      <c r="C931" s="51" t="s">
        <v>27</v>
      </c>
      <c r="D931" s="51">
        <v>1217000100002</v>
      </c>
      <c r="E931" s="51"/>
      <c r="F931" s="52" t="s">
        <v>1219</v>
      </c>
      <c r="G931" s="52" t="s">
        <v>1220</v>
      </c>
      <c r="H931" s="52" t="s">
        <v>1122</v>
      </c>
      <c r="I931" s="52" t="s">
        <v>461</v>
      </c>
      <c r="J931" s="54">
        <v>1</v>
      </c>
      <c r="K931" s="38">
        <v>18.260000000000002</v>
      </c>
      <c r="L931" s="35">
        <v>18.260000000000002</v>
      </c>
      <c r="M931" s="54" t="s">
        <v>32</v>
      </c>
      <c r="N931" s="37">
        <v>1</v>
      </c>
      <c r="O931" s="35">
        <v>18.260000000000002</v>
      </c>
      <c r="P931" s="35" t="s">
        <v>33</v>
      </c>
      <c r="Q931" s="97">
        <v>45457</v>
      </c>
      <c r="R931" s="35" t="s">
        <v>62</v>
      </c>
      <c r="S931" s="38"/>
      <c r="T931" s="78">
        <v>2</v>
      </c>
      <c r="U931" s="78"/>
      <c r="V931" s="78"/>
      <c r="W931" s="78" t="s">
        <v>81</v>
      </c>
      <c r="X931" s="78" t="s">
        <v>104</v>
      </c>
      <c r="Y931" s="78">
        <v>2</v>
      </c>
      <c r="Z931" s="78" t="s">
        <v>86</v>
      </c>
      <c r="AA931" s="78" t="s">
        <v>225</v>
      </c>
      <c r="AB931" s="78">
        <v>1</v>
      </c>
    </row>
    <row r="932" spans="1:28" x14ac:dyDescent="0.25">
      <c r="A932" t="str">
        <f>IF(EXACT('BOM A320 FFS'!B1395,obsoleta!D932),"OK","ERROR")</f>
        <v>ERROR</v>
      </c>
      <c r="C932" s="51" t="s">
        <v>27</v>
      </c>
      <c r="D932" s="51">
        <v>1214300420500</v>
      </c>
      <c r="E932" s="51"/>
      <c r="F932" s="52" t="s">
        <v>1181</v>
      </c>
      <c r="G932" s="52" t="s">
        <v>1182</v>
      </c>
      <c r="H932" s="52" t="s">
        <v>488</v>
      </c>
      <c r="I932" s="52" t="s">
        <v>461</v>
      </c>
      <c r="J932" s="54">
        <v>1</v>
      </c>
      <c r="K932" s="38">
        <v>23.69</v>
      </c>
      <c r="L932" s="35">
        <v>23.69</v>
      </c>
      <c r="M932" s="54" t="s">
        <v>32</v>
      </c>
      <c r="N932" s="37">
        <v>1</v>
      </c>
      <c r="O932" s="35">
        <v>23.69</v>
      </c>
      <c r="P932" s="35" t="s">
        <v>33</v>
      </c>
      <c r="Q932" s="97">
        <v>45457</v>
      </c>
      <c r="R932" s="35" t="s">
        <v>62</v>
      </c>
      <c r="S932" s="38"/>
      <c r="T932" s="78">
        <v>2</v>
      </c>
      <c r="U932" s="78"/>
      <c r="V932" s="78"/>
      <c r="W932" s="78" t="s">
        <v>81</v>
      </c>
      <c r="X932" s="78" t="s">
        <v>104</v>
      </c>
      <c r="Y932" s="78">
        <v>2</v>
      </c>
      <c r="Z932" s="78" t="s">
        <v>86</v>
      </c>
      <c r="AA932" s="78" t="s">
        <v>225</v>
      </c>
      <c r="AB932" s="78">
        <v>1</v>
      </c>
    </row>
    <row r="933" spans="1:28" x14ac:dyDescent="0.25">
      <c r="A933" t="str">
        <f>IF(EXACT('BOM A320 FFS'!B1396,obsoleta!D933),"OK","ERROR")</f>
        <v>ERROR</v>
      </c>
      <c r="C933" s="51" t="s">
        <v>27</v>
      </c>
      <c r="D933" s="51">
        <v>1204300420400</v>
      </c>
      <c r="E933" s="51"/>
      <c r="F933" s="52" t="s">
        <v>1404</v>
      </c>
      <c r="G933" s="52" t="s">
        <v>1405</v>
      </c>
      <c r="H933" s="52" t="s">
        <v>488</v>
      </c>
      <c r="I933" s="52" t="s">
        <v>461</v>
      </c>
      <c r="J933" s="54">
        <v>1</v>
      </c>
      <c r="K933" s="38">
        <v>7.39</v>
      </c>
      <c r="L933" s="35">
        <v>7.39</v>
      </c>
      <c r="M933" s="54" t="s">
        <v>32</v>
      </c>
      <c r="N933" s="37">
        <v>1</v>
      </c>
      <c r="O933" s="35">
        <v>7.39</v>
      </c>
      <c r="P933" s="35" t="s">
        <v>33</v>
      </c>
      <c r="Q933" s="97">
        <v>45457</v>
      </c>
      <c r="R933" s="35" t="s">
        <v>62</v>
      </c>
      <c r="S933" s="38"/>
      <c r="T933" s="78">
        <v>2</v>
      </c>
      <c r="U933" s="78"/>
      <c r="V933" s="78"/>
      <c r="W933" s="78" t="s">
        <v>81</v>
      </c>
      <c r="X933" s="78" t="s">
        <v>104</v>
      </c>
      <c r="Y933" s="78">
        <v>2</v>
      </c>
      <c r="Z933" s="78" t="s">
        <v>86</v>
      </c>
      <c r="AA933" s="78" t="s">
        <v>225</v>
      </c>
      <c r="AB933" s="78">
        <v>1</v>
      </c>
    </row>
    <row r="934" spans="1:28" x14ac:dyDescent="0.25">
      <c r="A934" t="str">
        <f>IF(EXACT('BOM A320 FFS'!B1397,obsoleta!D934),"OK","ERROR")</f>
        <v>ERROR</v>
      </c>
      <c r="C934" s="51"/>
      <c r="D934" s="51">
        <v>1229500260611</v>
      </c>
      <c r="E934" s="51" t="s">
        <v>3758</v>
      </c>
      <c r="F934" s="52" t="s">
        <v>1351</v>
      </c>
      <c r="G934" s="52" t="s">
        <v>1352</v>
      </c>
      <c r="H934" s="52" t="s">
        <v>1122</v>
      </c>
      <c r="I934" s="52" t="s">
        <v>461</v>
      </c>
      <c r="J934" s="54">
        <v>1</v>
      </c>
      <c r="K934" s="38">
        <v>9.43</v>
      </c>
      <c r="L934" s="35">
        <v>9.43</v>
      </c>
      <c r="M934" s="54" t="s">
        <v>32</v>
      </c>
      <c r="N934" s="37">
        <v>1</v>
      </c>
      <c r="O934" s="35">
        <v>9.43</v>
      </c>
      <c r="P934" s="35" t="s">
        <v>130</v>
      </c>
      <c r="Q934" s="97">
        <v>45427</v>
      </c>
      <c r="R934" s="35" t="s">
        <v>62</v>
      </c>
      <c r="S934" s="38" t="s">
        <v>3758</v>
      </c>
      <c r="T934" s="78">
        <v>2</v>
      </c>
      <c r="U934" s="78" t="s">
        <v>3758</v>
      </c>
      <c r="V934" s="78" t="s">
        <v>3758</v>
      </c>
      <c r="W934" s="78" t="s">
        <v>107</v>
      </c>
      <c r="X934" s="78" t="s">
        <v>3758</v>
      </c>
      <c r="Y934" s="78" t="s">
        <v>3758</v>
      </c>
      <c r="Z934" s="78" t="s">
        <v>3758</v>
      </c>
      <c r="AA934" s="78" t="s">
        <v>225</v>
      </c>
      <c r="AB934" s="78" t="s">
        <v>3758</v>
      </c>
    </row>
    <row r="935" spans="1:28" x14ac:dyDescent="0.25">
      <c r="A935" t="str">
        <f>IF(EXACT('BOM A320 FFS'!B1398,obsoleta!D935),"OK","ERROR")</f>
        <v>ERROR</v>
      </c>
      <c r="C935" s="51" t="s">
        <v>27</v>
      </c>
      <c r="D935" s="51">
        <v>1229590956500</v>
      </c>
      <c r="E935" s="51"/>
      <c r="F935" s="52" t="s">
        <v>1672</v>
      </c>
      <c r="G935" s="52" t="s">
        <v>1673</v>
      </c>
      <c r="H935" s="52" t="s">
        <v>1674</v>
      </c>
      <c r="I935" s="52" t="s">
        <v>1674</v>
      </c>
      <c r="J935" s="54">
        <v>1</v>
      </c>
      <c r="K935" s="38">
        <v>2</v>
      </c>
      <c r="L935" s="35">
        <v>2</v>
      </c>
      <c r="M935" s="54" t="s">
        <v>32</v>
      </c>
      <c r="N935" s="37">
        <v>1</v>
      </c>
      <c r="O935" s="35">
        <v>2</v>
      </c>
      <c r="P935" s="35" t="s">
        <v>33</v>
      </c>
      <c r="Q935" s="97">
        <v>45457</v>
      </c>
      <c r="R935" s="35" t="s">
        <v>62</v>
      </c>
      <c r="S935" s="38"/>
      <c r="T935" s="78">
        <v>2</v>
      </c>
      <c r="U935" s="78"/>
      <c r="V935" s="78"/>
      <c r="W935" s="78" t="s">
        <v>54</v>
      </c>
      <c r="X935" s="78" t="s">
        <v>104</v>
      </c>
      <c r="Y935" s="78">
        <v>2</v>
      </c>
      <c r="Z935" s="78" t="s">
        <v>86</v>
      </c>
      <c r="AA935" s="78" t="s">
        <v>225</v>
      </c>
      <c r="AB935" s="78">
        <v>1</v>
      </c>
    </row>
    <row r="936" spans="1:28" x14ac:dyDescent="0.25">
      <c r="A936" t="str">
        <f>IF(EXACT('BOM A320 FFS'!B1399,obsoleta!D936),"OK","ERROR")</f>
        <v>ERROR</v>
      </c>
      <c r="C936" s="51" t="s">
        <v>27</v>
      </c>
      <c r="D936" s="51">
        <v>1208000381700</v>
      </c>
      <c r="E936" s="51"/>
      <c r="F936" s="52" t="s">
        <v>1317</v>
      </c>
      <c r="G936" s="52" t="s">
        <v>1318</v>
      </c>
      <c r="H936" s="52" t="s">
        <v>1319</v>
      </c>
      <c r="I936" s="52"/>
      <c r="J936" s="54">
        <v>1</v>
      </c>
      <c r="K936" s="38">
        <v>10.29</v>
      </c>
      <c r="L936" s="35">
        <v>10.29</v>
      </c>
      <c r="M936" s="54" t="s">
        <v>32</v>
      </c>
      <c r="N936" s="37">
        <v>1</v>
      </c>
      <c r="O936" s="35">
        <v>10.29</v>
      </c>
      <c r="P936" s="35" t="s">
        <v>33</v>
      </c>
      <c r="Q936" s="97">
        <v>45457</v>
      </c>
      <c r="R936" s="35" t="s">
        <v>62</v>
      </c>
      <c r="S936" s="38"/>
      <c r="T936" s="78">
        <v>2</v>
      </c>
      <c r="U936" s="78"/>
      <c r="V936" s="78"/>
      <c r="W936" s="78" t="s">
        <v>81</v>
      </c>
      <c r="X936" s="78" t="s">
        <v>104</v>
      </c>
      <c r="Y936" s="78">
        <v>2</v>
      </c>
      <c r="Z936" s="78" t="s">
        <v>86</v>
      </c>
      <c r="AA936" s="78" t="s">
        <v>225</v>
      </c>
      <c r="AB936" s="78">
        <v>1</v>
      </c>
    </row>
    <row r="937" spans="1:28" x14ac:dyDescent="0.25">
      <c r="A937" t="str">
        <f>IF(EXACT('BOM A320 FFS'!B1400,obsoleta!D937),"OK","ERROR")</f>
        <v>ERROR</v>
      </c>
      <c r="C937" s="51" t="s">
        <v>27</v>
      </c>
      <c r="D937" s="51">
        <v>1750100820000</v>
      </c>
      <c r="E937" s="51"/>
      <c r="F937" s="52" t="s">
        <v>1216</v>
      </c>
      <c r="G937" s="52">
        <v>87100045010</v>
      </c>
      <c r="H937" s="52" t="s">
        <v>1217</v>
      </c>
      <c r="I937" s="52"/>
      <c r="J937" s="54">
        <v>10</v>
      </c>
      <c r="K937" s="38">
        <v>18.899999999999999</v>
      </c>
      <c r="L937" s="35">
        <v>189</v>
      </c>
      <c r="M937" s="54" t="s">
        <v>32</v>
      </c>
      <c r="N937" s="37">
        <v>1</v>
      </c>
      <c r="O937" s="35">
        <v>189</v>
      </c>
      <c r="P937" s="35" t="s">
        <v>33</v>
      </c>
      <c r="Q937" s="97">
        <v>45457</v>
      </c>
      <c r="R937" s="35" t="s">
        <v>62</v>
      </c>
      <c r="S937" s="38"/>
      <c r="T937" s="78">
        <v>2</v>
      </c>
      <c r="U937" s="78"/>
      <c r="V937" s="78"/>
      <c r="W937" s="78" t="s">
        <v>81</v>
      </c>
      <c r="X937" s="78" t="s">
        <v>104</v>
      </c>
      <c r="Y937" s="78">
        <v>2</v>
      </c>
      <c r="Z937" s="78" t="s">
        <v>86</v>
      </c>
      <c r="AA937" s="78" t="s">
        <v>225</v>
      </c>
      <c r="AB937" s="78">
        <v>10</v>
      </c>
    </row>
    <row r="938" spans="1:28" x14ac:dyDescent="0.25">
      <c r="A938" t="str">
        <f>IF(EXACT('BOM A320 FFS'!B1401,obsoleta!D938),"OK","ERROR")</f>
        <v>ERROR</v>
      </c>
      <c r="C938" s="51" t="s">
        <v>27</v>
      </c>
      <c r="D938" s="51">
        <v>1759990311000</v>
      </c>
      <c r="E938" s="51"/>
      <c r="F938" s="52" t="s">
        <v>652</v>
      </c>
      <c r="G938" s="52">
        <v>145040045</v>
      </c>
      <c r="H938" s="52" t="s">
        <v>653</v>
      </c>
      <c r="I938" s="52" t="s">
        <v>654</v>
      </c>
      <c r="J938" s="54">
        <v>2</v>
      </c>
      <c r="K938" s="38">
        <v>92.74</v>
      </c>
      <c r="L938" s="35">
        <v>185.48</v>
      </c>
      <c r="M938" s="54" t="s">
        <v>32</v>
      </c>
      <c r="N938" s="37">
        <v>1</v>
      </c>
      <c r="O938" s="35">
        <v>185.48</v>
      </c>
      <c r="P938" s="35" t="s">
        <v>33</v>
      </c>
      <c r="Q938" s="97">
        <v>45457</v>
      </c>
      <c r="R938" s="35" t="s">
        <v>62</v>
      </c>
      <c r="S938" s="38"/>
      <c r="T938" s="78">
        <v>2</v>
      </c>
      <c r="U938" s="78"/>
      <c r="V938" s="78"/>
      <c r="W938" s="78" t="s">
        <v>81</v>
      </c>
      <c r="X938" s="78" t="s">
        <v>104</v>
      </c>
      <c r="Y938" s="78">
        <v>2</v>
      </c>
      <c r="Z938" s="78" t="s">
        <v>86</v>
      </c>
      <c r="AA938" s="78" t="s">
        <v>225</v>
      </c>
      <c r="AB938" s="78">
        <v>2</v>
      </c>
    </row>
    <row r="939" spans="1:28" x14ac:dyDescent="0.25">
      <c r="A939" t="str">
        <f>IF(EXACT('BOM A320 FFS'!B1402,obsoleta!D939),"OK","ERROR")</f>
        <v>ERROR</v>
      </c>
      <c r="C939" s="51" t="s">
        <v>27</v>
      </c>
      <c r="D939" s="51">
        <v>1702003980000</v>
      </c>
      <c r="E939" s="51"/>
      <c r="F939" s="52" t="s">
        <v>423</v>
      </c>
      <c r="G939" s="52">
        <v>22651</v>
      </c>
      <c r="H939" s="52" t="s">
        <v>80</v>
      </c>
      <c r="I939" s="52" t="s">
        <v>80</v>
      </c>
      <c r="J939" s="54">
        <v>1</v>
      </c>
      <c r="K939" s="38">
        <v>550</v>
      </c>
      <c r="L939" s="35">
        <v>550</v>
      </c>
      <c r="M939" s="54" t="s">
        <v>32</v>
      </c>
      <c r="N939" s="37">
        <v>1</v>
      </c>
      <c r="O939" s="35">
        <v>550</v>
      </c>
      <c r="P939" s="35" t="s">
        <v>33</v>
      </c>
      <c r="Q939" s="97">
        <v>45457</v>
      </c>
      <c r="R939" s="35" t="s">
        <v>62</v>
      </c>
      <c r="S939" s="38"/>
      <c r="T939" s="78">
        <v>2</v>
      </c>
      <c r="U939" s="78" t="s">
        <v>34</v>
      </c>
      <c r="V939" s="78"/>
      <c r="W939" s="78" t="s">
        <v>81</v>
      </c>
      <c r="X939" s="78" t="s">
        <v>104</v>
      </c>
      <c r="Y939" s="78">
        <v>2</v>
      </c>
      <c r="Z939" s="78" t="s">
        <v>86</v>
      </c>
      <c r="AA939" s="78" t="s">
        <v>225</v>
      </c>
      <c r="AB939" s="78">
        <v>1</v>
      </c>
    </row>
    <row r="940" spans="1:28" x14ac:dyDescent="0.25">
      <c r="A940" t="str">
        <f>IF(EXACT('BOM A320 FFS'!B1403,obsoleta!D940),"OK","ERROR")</f>
        <v>ERROR</v>
      </c>
      <c r="C940" s="51" t="s">
        <v>27</v>
      </c>
      <c r="D940" s="51">
        <v>3210104722200</v>
      </c>
      <c r="E940" s="51"/>
      <c r="F940" s="52" t="s">
        <v>1190</v>
      </c>
      <c r="G940" s="52" t="s">
        <v>1191</v>
      </c>
      <c r="H940" s="165" t="s">
        <v>1054</v>
      </c>
      <c r="I940" s="52" t="s">
        <v>1054</v>
      </c>
      <c r="J940" s="54">
        <v>1</v>
      </c>
      <c r="K940" s="38">
        <v>21.25</v>
      </c>
      <c r="L940" s="35">
        <v>21.25</v>
      </c>
      <c r="M940" s="54" t="s">
        <v>32</v>
      </c>
      <c r="N940" s="37">
        <v>1</v>
      </c>
      <c r="O940" s="35">
        <v>21.25</v>
      </c>
      <c r="P940" s="35" t="s">
        <v>33</v>
      </c>
      <c r="Q940" s="97">
        <v>45457</v>
      </c>
      <c r="R940" s="35" t="s">
        <v>62</v>
      </c>
      <c r="S940" s="38"/>
      <c r="T940" s="78">
        <v>2</v>
      </c>
      <c r="U940" s="78"/>
      <c r="V940" s="78"/>
      <c r="W940" s="78" t="s">
        <v>81</v>
      </c>
      <c r="X940" s="78" t="s">
        <v>104</v>
      </c>
      <c r="Y940" s="78">
        <v>2</v>
      </c>
      <c r="Z940" s="78" t="s">
        <v>86</v>
      </c>
      <c r="AA940" s="129" t="s">
        <v>225</v>
      </c>
      <c r="AB940" s="129">
        <v>1</v>
      </c>
    </row>
    <row r="941" spans="1:28" x14ac:dyDescent="0.25">
      <c r="A941" t="str">
        <f>IF(EXACT('BOM A320 FFS'!B1404,obsoleta!D941),"OK","ERROR")</f>
        <v>ERROR</v>
      </c>
      <c r="C941" s="166" t="s">
        <v>27</v>
      </c>
      <c r="D941" s="51">
        <v>1706090904000</v>
      </c>
      <c r="E941" s="51"/>
      <c r="F941" s="52" t="s">
        <v>1459</v>
      </c>
      <c r="G941" s="52">
        <v>1207640</v>
      </c>
      <c r="H941" s="165" t="s">
        <v>442</v>
      </c>
      <c r="I941" s="52"/>
      <c r="J941" s="54">
        <v>1</v>
      </c>
      <c r="K941" s="38">
        <v>4.9400000000000004</v>
      </c>
      <c r="L941" s="35">
        <v>4.9400000000000004</v>
      </c>
      <c r="M941" s="54" t="s">
        <v>32</v>
      </c>
      <c r="N941" s="37">
        <v>1</v>
      </c>
      <c r="O941" s="35">
        <v>4.9400000000000004</v>
      </c>
      <c r="P941" s="35" t="s">
        <v>33</v>
      </c>
      <c r="Q941" s="97">
        <v>45457</v>
      </c>
      <c r="R941" s="35" t="s">
        <v>62</v>
      </c>
      <c r="S941" s="38"/>
      <c r="T941" s="129">
        <v>2</v>
      </c>
      <c r="U941" s="129"/>
      <c r="V941" s="129"/>
      <c r="W941" s="129" t="s">
        <v>81</v>
      </c>
      <c r="X941" s="129" t="s">
        <v>104</v>
      </c>
      <c r="Y941" s="129">
        <v>2</v>
      </c>
      <c r="Z941" s="129" t="s">
        <v>86</v>
      </c>
      <c r="AA941" s="78" t="s">
        <v>225</v>
      </c>
      <c r="AB941" s="78">
        <v>1</v>
      </c>
    </row>
    <row r="942" spans="1:28" x14ac:dyDescent="0.25">
      <c r="A942" t="str">
        <f>IF(EXACT('BOM A320 FFS'!B1405,obsoleta!D942),"OK","ERROR")</f>
        <v>ERROR</v>
      </c>
      <c r="C942" s="166" t="s">
        <v>27</v>
      </c>
      <c r="D942" s="51">
        <v>1520520120012</v>
      </c>
      <c r="E942" s="51"/>
      <c r="F942" s="52" t="s">
        <v>1354</v>
      </c>
      <c r="G942" s="52" t="s">
        <v>1355</v>
      </c>
      <c r="H942" s="165" t="s">
        <v>1356</v>
      </c>
      <c r="I942" s="52"/>
      <c r="J942" s="54">
        <v>4</v>
      </c>
      <c r="K942" s="38">
        <v>9.35</v>
      </c>
      <c r="L942" s="35">
        <v>37.4</v>
      </c>
      <c r="M942" s="54" t="s">
        <v>32</v>
      </c>
      <c r="N942" s="37">
        <v>1</v>
      </c>
      <c r="O942" s="35">
        <v>37.4</v>
      </c>
      <c r="P942" s="35" t="s">
        <v>33</v>
      </c>
      <c r="Q942" s="97">
        <v>45457</v>
      </c>
      <c r="R942" s="35" t="s">
        <v>62</v>
      </c>
      <c r="S942" s="38"/>
      <c r="T942" s="78">
        <v>2</v>
      </c>
      <c r="U942" s="78"/>
      <c r="V942" s="78"/>
      <c r="W942" s="78" t="s">
        <v>81</v>
      </c>
      <c r="X942" s="78" t="s">
        <v>104</v>
      </c>
      <c r="Y942" s="78">
        <v>2</v>
      </c>
      <c r="Z942" s="78" t="s">
        <v>86</v>
      </c>
      <c r="AA942" s="129" t="s">
        <v>225</v>
      </c>
      <c r="AB942" s="129">
        <v>4</v>
      </c>
    </row>
    <row r="943" spans="1:28" x14ac:dyDescent="0.25">
      <c r="A943" t="str">
        <f>IF(EXACT('BOM A320 FFS'!B1406,obsoleta!D943),"OK","ERROR")</f>
        <v>ERROR</v>
      </c>
      <c r="C943" s="166" t="s">
        <v>27</v>
      </c>
      <c r="D943" s="166">
        <v>1540120000003</v>
      </c>
      <c r="E943" s="166"/>
      <c r="F943" s="165" t="s">
        <v>2223</v>
      </c>
      <c r="G943" s="165" t="s">
        <v>2224</v>
      </c>
      <c r="H943" s="165" t="s">
        <v>1356</v>
      </c>
      <c r="I943" s="52"/>
      <c r="J943" s="54">
        <v>8</v>
      </c>
      <c r="K943" s="38">
        <v>0.05</v>
      </c>
      <c r="L943" s="35">
        <v>0.4</v>
      </c>
      <c r="M943" s="54" t="s">
        <v>32</v>
      </c>
      <c r="N943" s="37">
        <v>1</v>
      </c>
      <c r="O943" s="35">
        <v>0.4</v>
      </c>
      <c r="P943" s="35" t="s">
        <v>33</v>
      </c>
      <c r="Q943" s="97">
        <v>45457</v>
      </c>
      <c r="R943" s="35" t="s">
        <v>62</v>
      </c>
      <c r="S943" s="38"/>
      <c r="T943" s="129">
        <v>2</v>
      </c>
      <c r="U943" s="129"/>
      <c r="V943" s="129"/>
      <c r="W943" s="129" t="s">
        <v>81</v>
      </c>
      <c r="X943" s="129" t="s">
        <v>104</v>
      </c>
      <c r="Y943" s="129">
        <v>2</v>
      </c>
      <c r="Z943" s="129" t="s">
        <v>86</v>
      </c>
      <c r="AA943" s="149" t="s">
        <v>225</v>
      </c>
      <c r="AB943" s="149">
        <v>8</v>
      </c>
    </row>
    <row r="944" spans="1:28" x14ac:dyDescent="0.25">
      <c r="A944" t="str">
        <f>IF(EXACT('BOM A320 FFS'!B1407,obsoleta!D944),"OK","ERROR")</f>
        <v>ERROR</v>
      </c>
      <c r="C944" s="166" t="s">
        <v>27</v>
      </c>
      <c r="D944" s="51">
        <v>1540220000102</v>
      </c>
      <c r="E944" s="51"/>
      <c r="F944" s="52" t="s">
        <v>2226</v>
      </c>
      <c r="G944" s="52" t="s">
        <v>2227</v>
      </c>
      <c r="H944" s="163" t="s">
        <v>1356</v>
      </c>
      <c r="I944" s="163"/>
      <c r="J944" s="152">
        <v>8</v>
      </c>
      <c r="K944" s="148">
        <v>0.05</v>
      </c>
      <c r="L944" s="144">
        <v>0.4</v>
      </c>
      <c r="M944" s="152" t="s">
        <v>32</v>
      </c>
      <c r="N944" s="146">
        <v>1</v>
      </c>
      <c r="O944" s="144">
        <v>0.4</v>
      </c>
      <c r="P944" s="144" t="s">
        <v>33</v>
      </c>
      <c r="Q944" s="147">
        <v>45457</v>
      </c>
      <c r="R944" s="144" t="s">
        <v>62</v>
      </c>
      <c r="S944" s="148"/>
      <c r="T944" s="149">
        <v>2</v>
      </c>
      <c r="U944" s="149"/>
      <c r="V944" s="149"/>
      <c r="W944" s="149" t="s">
        <v>81</v>
      </c>
      <c r="X944" s="149" t="s">
        <v>104</v>
      </c>
      <c r="Y944" s="149">
        <v>2</v>
      </c>
      <c r="Z944" s="149" t="s">
        <v>86</v>
      </c>
      <c r="AA944" s="129" t="s">
        <v>225</v>
      </c>
      <c r="AB944" s="129">
        <v>8</v>
      </c>
    </row>
    <row r="945" spans="1:28" x14ac:dyDescent="0.25">
      <c r="A945" t="str">
        <f>IF(EXACT('BOM A320 FFS'!B1408,obsoleta!D945),"OK","ERROR")</f>
        <v>ERROR</v>
      </c>
      <c r="C945" s="166" t="s">
        <v>27</v>
      </c>
      <c r="D945" s="150">
        <v>1530120000001</v>
      </c>
      <c r="E945" s="150"/>
      <c r="F945" s="151" t="s">
        <v>2192</v>
      </c>
      <c r="G945" s="151" t="s">
        <v>2193</v>
      </c>
      <c r="H945" s="165" t="s">
        <v>1356</v>
      </c>
      <c r="I945" s="52"/>
      <c r="J945" s="54">
        <v>8</v>
      </c>
      <c r="K945" s="38">
        <v>0.1</v>
      </c>
      <c r="L945" s="35">
        <v>0.8</v>
      </c>
      <c r="M945" s="54" t="s">
        <v>32</v>
      </c>
      <c r="N945" s="37">
        <v>1</v>
      </c>
      <c r="O945" s="35">
        <v>0.8</v>
      </c>
      <c r="P945" s="35" t="s">
        <v>33</v>
      </c>
      <c r="Q945" s="97">
        <v>45457</v>
      </c>
      <c r="R945" s="35" t="s">
        <v>62</v>
      </c>
      <c r="S945" s="38"/>
      <c r="T945" s="129">
        <v>2</v>
      </c>
      <c r="U945" s="129"/>
      <c r="V945" s="129"/>
      <c r="W945" s="129" t="s">
        <v>81</v>
      </c>
      <c r="X945" s="129" t="s">
        <v>104</v>
      </c>
      <c r="Y945" s="129">
        <v>2</v>
      </c>
      <c r="Z945" s="129" t="s">
        <v>86</v>
      </c>
      <c r="AA945" s="149" t="s">
        <v>225</v>
      </c>
      <c r="AB945" s="149">
        <v>8</v>
      </c>
    </row>
    <row r="946" spans="1:28" x14ac:dyDescent="0.25">
      <c r="A946" t="str">
        <f>IF(EXACT('BOM A320 FFS'!B1410,obsoleta!D946),"OK","ERROR")</f>
        <v>ERROR</v>
      </c>
      <c r="C946" s="166" t="s">
        <v>27</v>
      </c>
      <c r="D946" s="51">
        <v>124880013500</v>
      </c>
      <c r="E946" s="51"/>
      <c r="F946" s="52" t="s">
        <v>1344</v>
      </c>
      <c r="G946" s="51">
        <v>124880013500</v>
      </c>
      <c r="H946" s="163" t="s">
        <v>1345</v>
      </c>
      <c r="I946" s="163" t="s">
        <v>1345</v>
      </c>
      <c r="J946" s="152">
        <v>4</v>
      </c>
      <c r="K946" s="148">
        <v>9.76</v>
      </c>
      <c r="L946" s="144">
        <v>39.04</v>
      </c>
      <c r="M946" s="152" t="s">
        <v>32</v>
      </c>
      <c r="N946" s="146">
        <v>1</v>
      </c>
      <c r="O946" s="144">
        <v>39.04</v>
      </c>
      <c r="P946" s="144" t="s">
        <v>33</v>
      </c>
      <c r="Q946" s="147">
        <v>45457</v>
      </c>
      <c r="R946" s="144" t="s">
        <v>62</v>
      </c>
      <c r="S946" s="148"/>
      <c r="T946" s="149">
        <v>2</v>
      </c>
      <c r="U946" s="149" t="s">
        <v>34</v>
      </c>
      <c r="V946" s="149"/>
      <c r="W946" s="149" t="s">
        <v>81</v>
      </c>
      <c r="X946" s="149" t="s">
        <v>104</v>
      </c>
      <c r="Y946" s="149">
        <v>2</v>
      </c>
      <c r="Z946" s="149" t="s">
        <v>86</v>
      </c>
      <c r="AA946" s="149" t="s">
        <v>225</v>
      </c>
      <c r="AB946" s="149">
        <v>4</v>
      </c>
    </row>
    <row r="947" spans="1:28" x14ac:dyDescent="0.25">
      <c r="A947" t="str">
        <f>IF(EXACT('BOM A320 FFS'!B1411,obsoleta!D947),"OK","ERROR")</f>
        <v>ERROR</v>
      </c>
      <c r="C947" s="166" t="s">
        <v>27</v>
      </c>
      <c r="D947" s="150">
        <v>1540116000101</v>
      </c>
      <c r="E947" s="150"/>
      <c r="F947" s="151" t="s">
        <v>2229</v>
      </c>
      <c r="G947" s="150" t="s">
        <v>2230</v>
      </c>
      <c r="H947" s="163" t="s">
        <v>1356</v>
      </c>
      <c r="I947" s="163"/>
      <c r="J947" s="152">
        <v>8</v>
      </c>
      <c r="K947" s="148">
        <v>0.05</v>
      </c>
      <c r="L947" s="144">
        <v>0.4</v>
      </c>
      <c r="M947" s="152" t="s">
        <v>32</v>
      </c>
      <c r="N947" s="146">
        <v>1</v>
      </c>
      <c r="O947" s="144">
        <v>0.4</v>
      </c>
      <c r="P947" s="144" t="s">
        <v>33</v>
      </c>
      <c r="Q947" s="147">
        <v>45457</v>
      </c>
      <c r="R947" s="144" t="s">
        <v>62</v>
      </c>
      <c r="S947" s="148"/>
      <c r="T947" s="149">
        <v>2</v>
      </c>
      <c r="U947" s="149"/>
      <c r="V947" s="149"/>
      <c r="W947" s="149" t="s">
        <v>81</v>
      </c>
      <c r="X947" s="149" t="s">
        <v>104</v>
      </c>
      <c r="Y947" s="149">
        <v>2</v>
      </c>
      <c r="Z947" s="149" t="s">
        <v>86</v>
      </c>
      <c r="AA947" s="149" t="s">
        <v>225</v>
      </c>
      <c r="AB947" s="149">
        <v>8</v>
      </c>
    </row>
    <row r="948" spans="1:28" x14ac:dyDescent="0.25">
      <c r="A948" t="str">
        <f>IF(EXACT('BOM A320 FFS'!B1412,obsoleta!D948),"OK","ERROR")</f>
        <v>ERROR</v>
      </c>
      <c r="C948" s="166" t="s">
        <v>27</v>
      </c>
      <c r="D948" s="150">
        <v>1540216000002</v>
      </c>
      <c r="E948" s="150"/>
      <c r="F948" s="151" t="s">
        <v>2232</v>
      </c>
      <c r="G948" s="150" t="s">
        <v>2233</v>
      </c>
      <c r="H948" s="163" t="s">
        <v>1356</v>
      </c>
      <c r="I948" s="163"/>
      <c r="J948" s="152">
        <v>8</v>
      </c>
      <c r="K948" s="148">
        <v>0.05</v>
      </c>
      <c r="L948" s="144">
        <v>0.4</v>
      </c>
      <c r="M948" s="152" t="s">
        <v>32</v>
      </c>
      <c r="N948" s="146">
        <v>1</v>
      </c>
      <c r="O948" s="144">
        <v>0.4</v>
      </c>
      <c r="P948" s="144" t="s">
        <v>33</v>
      </c>
      <c r="Q948" s="147">
        <v>45457</v>
      </c>
      <c r="R948" s="144" t="s">
        <v>62</v>
      </c>
      <c r="S948" s="148"/>
      <c r="T948" s="149">
        <v>2</v>
      </c>
      <c r="U948" s="149"/>
      <c r="V948" s="149"/>
      <c r="W948" s="149" t="s">
        <v>81</v>
      </c>
      <c r="X948" s="149" t="s">
        <v>104</v>
      </c>
      <c r="Y948" s="149">
        <v>2</v>
      </c>
      <c r="Z948" s="149" t="s">
        <v>86</v>
      </c>
      <c r="AA948" s="78" t="s">
        <v>225</v>
      </c>
      <c r="AB948" s="78">
        <v>8</v>
      </c>
    </row>
    <row r="949" spans="1:28" x14ac:dyDescent="0.25">
      <c r="A949" t="str">
        <f>IF(EXACT('BOM A320 FFS'!B1413,obsoleta!D949),"OK","ERROR")</f>
        <v>ERROR</v>
      </c>
      <c r="C949" s="166" t="s">
        <v>27</v>
      </c>
      <c r="D949" s="150">
        <v>1530116000003</v>
      </c>
      <c r="E949" s="150"/>
      <c r="F949" s="151" t="s">
        <v>2189</v>
      </c>
      <c r="G949" s="150" t="s">
        <v>2190</v>
      </c>
      <c r="H949" s="52" t="s">
        <v>1356</v>
      </c>
      <c r="I949" s="52"/>
      <c r="J949" s="54">
        <v>8</v>
      </c>
      <c r="K949" s="38">
        <v>0.1</v>
      </c>
      <c r="L949" s="35">
        <v>0.8</v>
      </c>
      <c r="M949" s="54" t="s">
        <v>32</v>
      </c>
      <c r="N949" s="37">
        <v>1</v>
      </c>
      <c r="O949" s="35">
        <v>0.8</v>
      </c>
      <c r="P949" s="35" t="s">
        <v>33</v>
      </c>
      <c r="Q949" s="97">
        <v>45457</v>
      </c>
      <c r="R949" s="35" t="s">
        <v>62</v>
      </c>
      <c r="S949" s="38"/>
      <c r="T949" s="78">
        <v>2</v>
      </c>
      <c r="U949" s="78"/>
      <c r="V949" s="78"/>
      <c r="W949" s="78" t="s">
        <v>81</v>
      </c>
      <c r="X949" s="78" t="s">
        <v>104</v>
      </c>
      <c r="Y949" s="78">
        <v>2</v>
      </c>
      <c r="Z949" s="78" t="s">
        <v>86</v>
      </c>
      <c r="AA949" s="82" t="s">
        <v>225</v>
      </c>
      <c r="AB949" s="82">
        <v>8</v>
      </c>
    </row>
    <row r="950" spans="1:28" x14ac:dyDescent="0.25">
      <c r="A950" t="str">
        <f>IF(EXACT('BOM A320 FFS'!B1415,obsoleta!D950),"OK","ERROR")</f>
        <v>ERROR</v>
      </c>
      <c r="C950" s="51" t="s">
        <v>27</v>
      </c>
      <c r="D950" s="51">
        <v>1586690870000</v>
      </c>
      <c r="E950" s="51"/>
      <c r="F950" s="52" t="s">
        <v>1283</v>
      </c>
      <c r="G950" s="52" t="s">
        <v>1284</v>
      </c>
      <c r="H950" s="28" t="s">
        <v>1285</v>
      </c>
      <c r="I950" s="28" t="s">
        <v>461</v>
      </c>
      <c r="J950" s="40">
        <v>5</v>
      </c>
      <c r="K950" s="26">
        <v>13.07</v>
      </c>
      <c r="L950" s="30">
        <v>65.349999999999994</v>
      </c>
      <c r="M950" s="26" t="s">
        <v>32</v>
      </c>
      <c r="N950" s="26">
        <v>1</v>
      </c>
      <c r="O950" s="30">
        <v>65.349999999999994</v>
      </c>
      <c r="P950" s="30" t="s">
        <v>33</v>
      </c>
      <c r="Q950" s="96">
        <v>45457</v>
      </c>
      <c r="R950" s="30" t="s">
        <v>62</v>
      </c>
      <c r="S950" s="30"/>
      <c r="T950" s="82">
        <v>2</v>
      </c>
      <c r="U950" s="82"/>
      <c r="V950" s="82"/>
      <c r="W950" s="82" t="s">
        <v>81</v>
      </c>
      <c r="X950" s="82" t="s">
        <v>104</v>
      </c>
      <c r="Y950" s="82">
        <v>2</v>
      </c>
      <c r="Z950" s="82" t="s">
        <v>86</v>
      </c>
      <c r="AA950" s="78" t="s">
        <v>225</v>
      </c>
      <c r="AB950" s="78">
        <v>5</v>
      </c>
    </row>
    <row r="951" spans="1:28" x14ac:dyDescent="0.25">
      <c r="A951" t="str">
        <f>IF(EXACT('BOM A320 FFS'!B1417,obsoleta!D951),"OK","ERROR")</f>
        <v>ERROR</v>
      </c>
      <c r="C951" s="14"/>
      <c r="D951" s="14" t="s">
        <v>3688</v>
      </c>
      <c r="E951" s="14"/>
      <c r="F951" s="26"/>
      <c r="G951" s="28"/>
      <c r="H951" s="52"/>
      <c r="I951" s="52"/>
      <c r="J951" s="54"/>
      <c r="K951" s="38"/>
      <c r="L951" s="35"/>
      <c r="M951" s="54"/>
      <c r="N951" s="37"/>
      <c r="O951" s="35"/>
      <c r="P951" s="35"/>
      <c r="Q951" s="97"/>
      <c r="R951" s="35"/>
      <c r="S951" s="38"/>
      <c r="T951" s="78"/>
      <c r="U951" s="78"/>
      <c r="V951" s="78"/>
      <c r="W951" s="78"/>
      <c r="X951" s="78"/>
      <c r="Y951" s="78"/>
      <c r="Z951" s="78"/>
      <c r="AA951" s="82" t="s">
        <v>225</v>
      </c>
      <c r="AB951" s="82"/>
    </row>
    <row r="952" spans="1:28" x14ac:dyDescent="0.25">
      <c r="A952" t="str">
        <f>IF(EXACT('BOM A320 FFS'!B1418,obsoleta!D952),"OK","ERROR")</f>
        <v>ERROR</v>
      </c>
      <c r="C952" s="51" t="s">
        <v>27</v>
      </c>
      <c r="D952" s="51">
        <v>1246001770000</v>
      </c>
      <c r="E952" s="51"/>
      <c r="F952" s="52" t="s">
        <v>385</v>
      </c>
      <c r="G952" s="52" t="s">
        <v>386</v>
      </c>
      <c r="H952" s="28" t="s">
        <v>387</v>
      </c>
      <c r="I952" s="28" t="s">
        <v>376</v>
      </c>
      <c r="J952" s="40">
        <v>1</v>
      </c>
      <c r="K952" s="26">
        <v>667.12</v>
      </c>
      <c r="L952" s="30">
        <v>667.12</v>
      </c>
      <c r="M952" s="26" t="s">
        <v>32</v>
      </c>
      <c r="N952" s="26">
        <v>1</v>
      </c>
      <c r="O952" s="30">
        <v>667.12</v>
      </c>
      <c r="P952" s="30" t="s">
        <v>33</v>
      </c>
      <c r="Q952" s="96">
        <v>45457</v>
      </c>
      <c r="R952" s="30" t="s">
        <v>62</v>
      </c>
      <c r="S952" s="30"/>
      <c r="T952" s="82">
        <v>2</v>
      </c>
      <c r="U952" s="82"/>
      <c r="V952" s="82"/>
      <c r="W952" s="82" t="s">
        <v>81</v>
      </c>
      <c r="X952" s="82" t="s">
        <v>104</v>
      </c>
      <c r="Y952" s="82">
        <v>2</v>
      </c>
      <c r="Z952" s="82" t="s">
        <v>86</v>
      </c>
      <c r="AA952" s="78" t="s">
        <v>225</v>
      </c>
      <c r="AB952" s="78">
        <v>1</v>
      </c>
    </row>
    <row r="953" spans="1:28" x14ac:dyDescent="0.25">
      <c r="A953" t="str">
        <f>IF(EXACT('BOM A320 FFS'!B1419,obsoleta!D953),"OK","ERROR")</f>
        <v>ERROR</v>
      </c>
      <c r="C953" s="63"/>
      <c r="D953" s="63" t="s">
        <v>3689</v>
      </c>
      <c r="E953" s="63"/>
      <c r="F953" s="26"/>
      <c r="G953" s="28"/>
      <c r="H953" s="52"/>
      <c r="I953" s="52"/>
      <c r="J953" s="54"/>
      <c r="K953" s="38"/>
      <c r="L953" s="35"/>
      <c r="M953" s="54"/>
      <c r="N953" s="37"/>
      <c r="O953" s="35"/>
      <c r="P953" s="35"/>
      <c r="Q953" s="97"/>
      <c r="R953" s="35"/>
      <c r="S953" s="38"/>
      <c r="T953" s="78"/>
      <c r="U953" s="78"/>
      <c r="V953" s="78"/>
      <c r="W953" s="78"/>
      <c r="X953" s="78"/>
      <c r="Y953" s="78"/>
      <c r="Z953" s="78"/>
      <c r="AA953" s="78" t="s">
        <v>225</v>
      </c>
      <c r="AB953" s="78"/>
    </row>
    <row r="954" spans="1:28" x14ac:dyDescent="0.25">
      <c r="A954" t="str">
        <f>IF(EXACT('BOM A320 FFS'!B1420,obsoleta!D954),"OK","ERROR")</f>
        <v>ERROR</v>
      </c>
      <c r="C954" s="51" t="s">
        <v>27</v>
      </c>
      <c r="D954" s="51">
        <v>1289900000001</v>
      </c>
      <c r="E954" s="51"/>
      <c r="F954" s="52" t="s">
        <v>569</v>
      </c>
      <c r="G954" s="52" t="s">
        <v>570</v>
      </c>
      <c r="H954" s="52" t="s">
        <v>571</v>
      </c>
      <c r="I954" s="52" t="s">
        <v>571</v>
      </c>
      <c r="J954" s="54">
        <v>1</v>
      </c>
      <c r="K954" s="38">
        <v>157.43</v>
      </c>
      <c r="L954" s="35">
        <v>157.43</v>
      </c>
      <c r="M954" s="54" t="s">
        <v>32</v>
      </c>
      <c r="N954" s="37">
        <v>1</v>
      </c>
      <c r="O954" s="35">
        <v>157.43</v>
      </c>
      <c r="P954" s="35" t="s">
        <v>33</v>
      </c>
      <c r="Q954" s="97">
        <v>45457</v>
      </c>
      <c r="R954" s="35" t="s">
        <v>62</v>
      </c>
      <c r="S954" s="38"/>
      <c r="T954" s="78">
        <v>2</v>
      </c>
      <c r="U954" s="78"/>
      <c r="V954" s="78"/>
      <c r="W954" s="78" t="s">
        <v>81</v>
      </c>
      <c r="X954" s="78" t="s">
        <v>104</v>
      </c>
      <c r="Y954" s="78">
        <v>2</v>
      </c>
      <c r="Z954" s="78" t="s">
        <v>86</v>
      </c>
      <c r="AA954" s="68" t="s">
        <v>225</v>
      </c>
      <c r="AB954" s="68">
        <v>1</v>
      </c>
    </row>
    <row r="955" spans="1:28" x14ac:dyDescent="0.25">
      <c r="A955" t="str">
        <f>IF(EXACT('BOM A320 FFS'!B1421,obsoleta!D955),"OK","ERROR")</f>
        <v>ERROR</v>
      </c>
      <c r="C955" s="51" t="s">
        <v>27</v>
      </c>
      <c r="D955" s="51">
        <v>1229513250800</v>
      </c>
      <c r="E955" s="51"/>
      <c r="F955" s="52" t="s">
        <v>1310</v>
      </c>
      <c r="G955" s="52" t="s">
        <v>1311</v>
      </c>
      <c r="H955" s="66" t="s">
        <v>571</v>
      </c>
      <c r="I955" s="66" t="s">
        <v>461</v>
      </c>
      <c r="J955" s="67">
        <v>1</v>
      </c>
      <c r="K955" s="64">
        <v>11.41</v>
      </c>
      <c r="L955" s="68">
        <v>11.41</v>
      </c>
      <c r="M955" s="64" t="s">
        <v>32</v>
      </c>
      <c r="N955" s="64">
        <v>1</v>
      </c>
      <c r="O955" s="68">
        <v>11.41</v>
      </c>
      <c r="P955" s="68" t="s">
        <v>33</v>
      </c>
      <c r="Q955" s="102">
        <v>45457</v>
      </c>
      <c r="R955" s="68" t="s">
        <v>62</v>
      </c>
      <c r="S955" s="68"/>
      <c r="T955" s="68">
        <v>2</v>
      </c>
      <c r="U955" s="68"/>
      <c r="V955" s="68"/>
      <c r="W955" s="68" t="s">
        <v>81</v>
      </c>
      <c r="X955" s="68" t="s">
        <v>104</v>
      </c>
      <c r="Y955" s="68">
        <v>2</v>
      </c>
      <c r="Z955" s="68" t="s">
        <v>86</v>
      </c>
      <c r="AA955" s="78" t="s">
        <v>225</v>
      </c>
      <c r="AB955" s="78">
        <v>1</v>
      </c>
    </row>
    <row r="956" spans="1:28" x14ac:dyDescent="0.25">
      <c r="A956" t="str">
        <f>IF(EXACT('BOM A320 FFS'!B1422,obsoleta!D956),"OK","ERROR")</f>
        <v>ERROR</v>
      </c>
      <c r="C956" s="65"/>
      <c r="D956" s="65" t="s">
        <v>3690</v>
      </c>
      <c r="E956" s="65"/>
      <c r="F956" s="64"/>
      <c r="G956" s="66"/>
      <c r="H956" s="52"/>
      <c r="I956" s="52"/>
      <c r="J956" s="54"/>
      <c r="K956" s="38"/>
      <c r="L956" s="35"/>
      <c r="M956" s="54"/>
      <c r="N956" s="37"/>
      <c r="O956" s="35"/>
      <c r="P956" s="35"/>
      <c r="Q956" s="97"/>
      <c r="R956" s="35"/>
      <c r="S956" s="38"/>
      <c r="T956" s="78"/>
      <c r="U956" s="78"/>
      <c r="V956" s="78"/>
      <c r="W956" s="78"/>
      <c r="X956" s="78"/>
      <c r="Y956" s="78"/>
      <c r="Z956" s="78"/>
      <c r="AA956" s="78" t="s">
        <v>225</v>
      </c>
      <c r="AB956" s="78"/>
    </row>
    <row r="957" spans="1:28" x14ac:dyDescent="0.25">
      <c r="A957" t="str">
        <f>IF(EXACT('BOM A320 FFS'!B1423,obsoleta!D957),"OK","ERROR")</f>
        <v>ERROR</v>
      </c>
      <c r="C957" s="51" t="s">
        <v>27</v>
      </c>
      <c r="D957" s="51">
        <v>1351710230100</v>
      </c>
      <c r="E957" s="51">
        <v>1351710230200</v>
      </c>
      <c r="F957" s="52" t="s">
        <v>562</v>
      </c>
      <c r="G957" s="52" t="s">
        <v>563</v>
      </c>
      <c r="H957" s="52" t="s">
        <v>564</v>
      </c>
      <c r="I957" s="52"/>
      <c r="J957" s="54">
        <v>1</v>
      </c>
      <c r="K957" s="38">
        <v>172.78</v>
      </c>
      <c r="L957" s="35">
        <v>172.78</v>
      </c>
      <c r="M957" s="54" t="s">
        <v>32</v>
      </c>
      <c r="N957" s="37">
        <v>1</v>
      </c>
      <c r="O957" s="35">
        <v>172.78</v>
      </c>
      <c r="P957" s="35" t="s">
        <v>33</v>
      </c>
      <c r="Q957" s="97">
        <v>45457</v>
      </c>
      <c r="R957" s="35" t="s">
        <v>62</v>
      </c>
      <c r="S957" s="38"/>
      <c r="T957" s="78">
        <v>2</v>
      </c>
      <c r="U957" s="78"/>
      <c r="V957" s="78"/>
      <c r="W957" s="78" t="s">
        <v>81</v>
      </c>
      <c r="X957" s="78" t="s">
        <v>104</v>
      </c>
      <c r="Y957" s="78">
        <v>2</v>
      </c>
      <c r="Z957" s="78" t="s">
        <v>86</v>
      </c>
      <c r="AA957" s="78" t="s">
        <v>225</v>
      </c>
      <c r="AB957" s="78">
        <v>1</v>
      </c>
    </row>
    <row r="958" spans="1:28" x14ac:dyDescent="0.25">
      <c r="A958" t="str">
        <f>IF(EXACT('BOM A320 FFS'!B1424,obsoleta!D958),"OK","ERROR")</f>
        <v>ERROR</v>
      </c>
      <c r="C958" s="51" t="s">
        <v>27</v>
      </c>
      <c r="D958" s="51">
        <v>3210300120200</v>
      </c>
      <c r="E958" s="51"/>
      <c r="F958" s="52" t="s">
        <v>1274</v>
      </c>
      <c r="G958" s="52" t="s">
        <v>1275</v>
      </c>
      <c r="H958" s="52" t="s">
        <v>1276</v>
      </c>
      <c r="I958" s="52"/>
      <c r="J958" s="54">
        <v>1</v>
      </c>
      <c r="K958" s="38">
        <v>14.95</v>
      </c>
      <c r="L958" s="35">
        <v>14.95</v>
      </c>
      <c r="M958" s="54" t="s">
        <v>32</v>
      </c>
      <c r="N958" s="37">
        <v>1</v>
      </c>
      <c r="O958" s="35">
        <v>14.95</v>
      </c>
      <c r="P958" s="35" t="s">
        <v>33</v>
      </c>
      <c r="Q958" s="97">
        <v>45457</v>
      </c>
      <c r="R958" s="35" t="s">
        <v>62</v>
      </c>
      <c r="S958" s="38"/>
      <c r="T958" s="78">
        <v>2</v>
      </c>
      <c r="U958" s="78"/>
      <c r="V958" s="78"/>
      <c r="W958" s="78" t="s">
        <v>81</v>
      </c>
      <c r="X958" s="78" t="s">
        <v>104</v>
      </c>
      <c r="Y958" s="78">
        <v>2</v>
      </c>
      <c r="Z958" s="78" t="s">
        <v>86</v>
      </c>
      <c r="AA958" s="78" t="s">
        <v>225</v>
      </c>
      <c r="AB958" s="78">
        <v>1</v>
      </c>
    </row>
    <row r="959" spans="1:28" x14ac:dyDescent="0.25">
      <c r="A959" t="str">
        <f>IF(EXACT('BOM A320 FFS'!B1425,obsoleta!D959),"OK","ERROR")</f>
        <v>ERROR</v>
      </c>
      <c r="C959" s="51" t="s">
        <v>27</v>
      </c>
      <c r="D959" s="167">
        <v>1580160080000</v>
      </c>
      <c r="E959" s="51"/>
      <c r="F959" s="52" t="s">
        <v>1990</v>
      </c>
      <c r="G959" s="52" t="s">
        <v>1992</v>
      </c>
      <c r="H959" s="52" t="s">
        <v>1993</v>
      </c>
      <c r="I959" s="52"/>
      <c r="J959" s="54">
        <v>4</v>
      </c>
      <c r="K959" s="38">
        <v>0.43</v>
      </c>
      <c r="L959" s="35">
        <v>1.72</v>
      </c>
      <c r="M959" s="54" t="s">
        <v>32</v>
      </c>
      <c r="N959" s="37">
        <v>1</v>
      </c>
      <c r="O959" s="35">
        <v>1.72</v>
      </c>
      <c r="P959" s="35" t="s">
        <v>33</v>
      </c>
      <c r="Q959" s="97">
        <v>45457</v>
      </c>
      <c r="R959" s="35" t="s">
        <v>62</v>
      </c>
      <c r="S959" s="38"/>
      <c r="T959" s="78">
        <v>2</v>
      </c>
      <c r="U959" s="78"/>
      <c r="V959" s="78"/>
      <c r="W959" s="78" t="s">
        <v>81</v>
      </c>
      <c r="X959" s="78" t="s">
        <v>104</v>
      </c>
      <c r="Y959" s="78">
        <v>2</v>
      </c>
      <c r="Z959" s="78" t="s">
        <v>86</v>
      </c>
      <c r="AA959" s="78" t="s">
        <v>225</v>
      </c>
      <c r="AB959" s="78">
        <v>4</v>
      </c>
    </row>
    <row r="960" spans="1:28" x14ac:dyDescent="0.25">
      <c r="A960" t="str">
        <f>IF(EXACT('BOM A320 FFS'!B1428,obsoleta!D960),"OK","ERROR")</f>
        <v>ERROR</v>
      </c>
      <c r="C960" s="51" t="s">
        <v>27</v>
      </c>
      <c r="D960" s="51">
        <v>1509011010190</v>
      </c>
      <c r="E960" s="51"/>
      <c r="F960" s="52" t="s">
        <v>1858</v>
      </c>
      <c r="G960" s="52" t="s">
        <v>1859</v>
      </c>
      <c r="H960" s="52" t="s">
        <v>1860</v>
      </c>
      <c r="I960" s="52"/>
      <c r="J960" s="54">
        <v>4</v>
      </c>
      <c r="K960" s="38">
        <v>0.69</v>
      </c>
      <c r="L960" s="35">
        <v>2.76</v>
      </c>
      <c r="M960" s="54" t="s">
        <v>32</v>
      </c>
      <c r="N960" s="37">
        <v>1</v>
      </c>
      <c r="O960" s="35">
        <v>2.76</v>
      </c>
      <c r="P960" s="35" t="s">
        <v>33</v>
      </c>
      <c r="Q960" s="97">
        <v>45457</v>
      </c>
      <c r="R960" s="35" t="s">
        <v>62</v>
      </c>
      <c r="S960" s="38"/>
      <c r="T960" s="78">
        <v>2</v>
      </c>
      <c r="U960" s="78"/>
      <c r="V960" s="78"/>
      <c r="W960" s="78" t="s">
        <v>81</v>
      </c>
      <c r="X960" s="78" t="s">
        <v>104</v>
      </c>
      <c r="Y960" s="78">
        <v>2</v>
      </c>
      <c r="Z960" s="78" t="s">
        <v>86</v>
      </c>
      <c r="AA960" s="78" t="s">
        <v>225</v>
      </c>
      <c r="AB960" s="78">
        <v>4</v>
      </c>
    </row>
    <row r="961" spans="1:28" x14ac:dyDescent="0.25">
      <c r="A961" t="str">
        <f>IF(EXACT('BOM A320 FFS'!B1429,obsoleta!D961),"OK","ERROR")</f>
        <v>ERROR</v>
      </c>
      <c r="C961" s="51" t="s">
        <v>27</v>
      </c>
      <c r="D961" s="51" t="s">
        <v>2267</v>
      </c>
      <c r="E961" s="51"/>
      <c r="F961" s="52" t="s">
        <v>2268</v>
      </c>
      <c r="G961" s="52" t="s">
        <v>2269</v>
      </c>
      <c r="H961" s="52"/>
      <c r="I961" s="52"/>
      <c r="J961" s="54">
        <v>4</v>
      </c>
      <c r="K961" s="38">
        <v>0.03</v>
      </c>
      <c r="L961" s="35">
        <v>0.12</v>
      </c>
      <c r="M961" s="54" t="s">
        <v>32</v>
      </c>
      <c r="N961" s="37">
        <v>1</v>
      </c>
      <c r="O961" s="35">
        <v>0.12</v>
      </c>
      <c r="P961" s="35" t="s">
        <v>33</v>
      </c>
      <c r="Q961" s="97">
        <v>45457</v>
      </c>
      <c r="R961" s="35" t="s">
        <v>62</v>
      </c>
      <c r="S961" s="38"/>
      <c r="T961" s="78">
        <v>2</v>
      </c>
      <c r="U961" s="78"/>
      <c r="V961" s="78"/>
      <c r="W961" s="78" t="s">
        <v>81</v>
      </c>
      <c r="X961" s="78" t="s">
        <v>104</v>
      </c>
      <c r="Y961" s="78">
        <v>2</v>
      </c>
      <c r="Z961" s="78" t="s">
        <v>86</v>
      </c>
      <c r="AA961" s="78" t="s">
        <v>225</v>
      </c>
      <c r="AB961" s="78">
        <v>4</v>
      </c>
    </row>
    <row r="962" spans="1:28" x14ac:dyDescent="0.25">
      <c r="A962" t="str">
        <f>IF(EXACT('BOM A320 FFS'!B1430,obsoleta!D962),"OK","ERROR")</f>
        <v>ERROR</v>
      </c>
      <c r="C962" s="51" t="s">
        <v>27</v>
      </c>
      <c r="D962" s="51">
        <v>1549011000790</v>
      </c>
      <c r="E962" s="51"/>
      <c r="F962" s="52" t="s">
        <v>2265</v>
      </c>
      <c r="G962" s="52" t="s">
        <v>2266</v>
      </c>
      <c r="H962" s="52" t="s">
        <v>1122</v>
      </c>
      <c r="I962" s="52" t="s">
        <v>1122</v>
      </c>
      <c r="J962" s="54">
        <v>4</v>
      </c>
      <c r="K962" s="38">
        <v>0.03</v>
      </c>
      <c r="L962" s="35">
        <v>0.12</v>
      </c>
      <c r="M962" s="54" t="s">
        <v>32</v>
      </c>
      <c r="N962" s="37">
        <v>1</v>
      </c>
      <c r="O962" s="35">
        <v>0.12</v>
      </c>
      <c r="P962" s="35" t="s">
        <v>33</v>
      </c>
      <c r="Q962" s="97">
        <v>45457</v>
      </c>
      <c r="R962" s="35" t="s">
        <v>62</v>
      </c>
      <c r="S962" s="38"/>
      <c r="T962" s="78">
        <v>2</v>
      </c>
      <c r="U962" s="78"/>
      <c r="V962" s="78"/>
      <c r="W962" s="78" t="s">
        <v>81</v>
      </c>
      <c r="X962" s="78" t="s">
        <v>104</v>
      </c>
      <c r="Y962" s="78">
        <v>2</v>
      </c>
      <c r="Z962" s="78" t="s">
        <v>86</v>
      </c>
      <c r="AA962" s="78" t="s">
        <v>225</v>
      </c>
      <c r="AB962" s="78">
        <v>4</v>
      </c>
    </row>
    <row r="963" spans="1:28" x14ac:dyDescent="0.25">
      <c r="A963" t="str">
        <f>IF(EXACT('BOM A320 FFS'!B1431,obsoleta!D963),"OK","ERROR")</f>
        <v>ERROR</v>
      </c>
      <c r="C963" s="51" t="s">
        <v>27</v>
      </c>
      <c r="D963" s="51" t="s">
        <v>1312</v>
      </c>
      <c r="E963" s="51"/>
      <c r="F963" s="52" t="s">
        <v>1313</v>
      </c>
      <c r="G963" s="52" t="s">
        <v>1314</v>
      </c>
      <c r="H963" s="52" t="s">
        <v>1315</v>
      </c>
      <c r="I963" s="52"/>
      <c r="J963" s="54">
        <v>2</v>
      </c>
      <c r="K963" s="38">
        <v>11.05</v>
      </c>
      <c r="L963" s="35">
        <v>22.1</v>
      </c>
      <c r="M963" s="54" t="s">
        <v>32</v>
      </c>
      <c r="N963" s="37">
        <v>1</v>
      </c>
      <c r="O963" s="35">
        <v>22.1</v>
      </c>
      <c r="P963" s="35" t="s">
        <v>33</v>
      </c>
      <c r="Q963" s="97">
        <v>45457</v>
      </c>
      <c r="R963" s="35" t="s">
        <v>62</v>
      </c>
      <c r="S963" s="38"/>
      <c r="T963" s="78">
        <v>2</v>
      </c>
      <c r="U963" s="78"/>
      <c r="V963" s="78"/>
      <c r="W963" s="78" t="s">
        <v>81</v>
      </c>
      <c r="X963" s="78" t="s">
        <v>104</v>
      </c>
      <c r="Y963" s="78">
        <v>2</v>
      </c>
      <c r="Z963" s="78" t="s">
        <v>86</v>
      </c>
      <c r="AA963" s="78" t="s">
        <v>225</v>
      </c>
      <c r="AB963" s="78">
        <v>2</v>
      </c>
    </row>
    <row r="964" spans="1:28" x14ac:dyDescent="0.25">
      <c r="A964" t="str">
        <f>IF(EXACT('BOM A320 FFS'!B1432,obsoleta!D964),"OK","ERROR")</f>
        <v>ERROR</v>
      </c>
      <c r="C964" s="51" t="s">
        <v>27</v>
      </c>
      <c r="D964" s="51">
        <v>1533035000001</v>
      </c>
      <c r="E964" s="51"/>
      <c r="F964" s="52" t="s">
        <v>2012</v>
      </c>
      <c r="G964" s="52" t="s">
        <v>2013</v>
      </c>
      <c r="H964" s="52" t="s">
        <v>1224</v>
      </c>
      <c r="I964" s="52"/>
      <c r="J964" s="54">
        <v>15</v>
      </c>
      <c r="K964" s="38">
        <v>0.4</v>
      </c>
      <c r="L964" s="35">
        <v>6</v>
      </c>
      <c r="M964" s="54" t="s">
        <v>32</v>
      </c>
      <c r="N964" s="37">
        <v>1</v>
      </c>
      <c r="O964" s="35">
        <v>6</v>
      </c>
      <c r="P964" s="35" t="s">
        <v>33</v>
      </c>
      <c r="Q964" s="97">
        <v>45457</v>
      </c>
      <c r="R964" s="35" t="s">
        <v>62</v>
      </c>
      <c r="S964" s="38"/>
      <c r="T964" s="78">
        <v>2</v>
      </c>
      <c r="U964" s="78"/>
      <c r="V964" s="78"/>
      <c r="W964" s="78" t="s">
        <v>81</v>
      </c>
      <c r="X964" s="78" t="s">
        <v>104</v>
      </c>
      <c r="Y964" s="78">
        <v>2</v>
      </c>
      <c r="Z964" s="78" t="s">
        <v>86</v>
      </c>
      <c r="AA964" s="78" t="s">
        <v>225</v>
      </c>
      <c r="AB964" s="78">
        <v>15</v>
      </c>
    </row>
    <row r="965" spans="1:28" x14ac:dyDescent="0.25">
      <c r="A965" t="str">
        <f>IF(EXACT('BOM A320 FFS'!B1433,obsoleta!D965),"OK","ERROR")</f>
        <v>ERROR</v>
      </c>
      <c r="C965" s="51" t="s">
        <v>27</v>
      </c>
      <c r="D965" s="51">
        <v>964598965</v>
      </c>
      <c r="E965" s="51">
        <v>1546129000001</v>
      </c>
      <c r="F965" s="52" t="s">
        <v>2015</v>
      </c>
      <c r="G965" s="52" t="s">
        <v>2016</v>
      </c>
      <c r="H965" s="52" t="s">
        <v>1224</v>
      </c>
      <c r="I965" s="52"/>
      <c r="J965" s="54">
        <v>15</v>
      </c>
      <c r="K965" s="38">
        <v>0.38</v>
      </c>
      <c r="L965" s="35">
        <v>5.7</v>
      </c>
      <c r="M965" s="54" t="s">
        <v>32</v>
      </c>
      <c r="N965" s="37">
        <v>1</v>
      </c>
      <c r="O965" s="35">
        <v>5.7</v>
      </c>
      <c r="P965" s="35" t="s">
        <v>33</v>
      </c>
      <c r="Q965" s="97">
        <v>45457</v>
      </c>
      <c r="R965" s="35" t="s">
        <v>62</v>
      </c>
      <c r="S965" s="38"/>
      <c r="T965" s="78">
        <v>2</v>
      </c>
      <c r="U965" s="78"/>
      <c r="V965" s="78"/>
      <c r="W965" s="78" t="s">
        <v>81</v>
      </c>
      <c r="X965" s="78" t="s">
        <v>104</v>
      </c>
      <c r="Y965" s="78">
        <v>2</v>
      </c>
      <c r="Z965" s="78" t="s">
        <v>86</v>
      </c>
      <c r="AA965" s="174" t="s">
        <v>225</v>
      </c>
      <c r="AB965" s="174">
        <v>15</v>
      </c>
    </row>
    <row r="966" spans="1:28" x14ac:dyDescent="0.25">
      <c r="A966" t="str">
        <f>IF(EXACT('BOM A320 FFS'!B1434,obsoleta!D966),"OK","ERROR")</f>
        <v>ERROR</v>
      </c>
      <c r="C966" s="51" t="s">
        <v>27</v>
      </c>
      <c r="D966" s="51">
        <v>964506035</v>
      </c>
      <c r="E966" s="51">
        <v>1544336000119</v>
      </c>
      <c r="F966" s="52" t="s">
        <v>1660</v>
      </c>
      <c r="G966" s="52" t="s">
        <v>1661</v>
      </c>
      <c r="H966" s="52" t="s">
        <v>1224</v>
      </c>
      <c r="I966" s="52"/>
      <c r="J966" s="169">
        <v>15</v>
      </c>
      <c r="K966" s="170">
        <v>2</v>
      </c>
      <c r="L966" s="171">
        <v>30</v>
      </c>
      <c r="M966" s="169" t="s">
        <v>32</v>
      </c>
      <c r="N966" s="172">
        <v>1</v>
      </c>
      <c r="O966" s="171">
        <v>30</v>
      </c>
      <c r="P966" s="171" t="s">
        <v>33</v>
      </c>
      <c r="Q966" s="173">
        <v>45457</v>
      </c>
      <c r="R966" s="171" t="s">
        <v>62</v>
      </c>
      <c r="S966" s="170"/>
      <c r="T966" s="174">
        <v>2</v>
      </c>
      <c r="U966" s="174"/>
      <c r="V966" s="174"/>
      <c r="W966" s="174" t="s">
        <v>81</v>
      </c>
      <c r="X966" s="174" t="s">
        <v>104</v>
      </c>
      <c r="Y966" s="174">
        <v>2</v>
      </c>
      <c r="Z966" s="174" t="s">
        <v>86</v>
      </c>
      <c r="AA966" s="68" t="s">
        <v>225</v>
      </c>
      <c r="AB966" s="68">
        <v>15</v>
      </c>
    </row>
    <row r="967" spans="1:28" x14ac:dyDescent="0.25">
      <c r="A967" t="str">
        <f>IF(EXACT('BOM A320 FFS'!B1435,obsoleta!D967),"OK","ERROR")</f>
        <v>ERROR</v>
      </c>
      <c r="C967" s="51" t="s">
        <v>27</v>
      </c>
      <c r="D967" s="167">
        <v>1209090010320</v>
      </c>
      <c r="E967" s="167"/>
      <c r="F967" s="168" t="s">
        <v>1222</v>
      </c>
      <c r="G967" s="168" t="s">
        <v>1223</v>
      </c>
      <c r="H967" s="66" t="s">
        <v>1224</v>
      </c>
      <c r="I967" s="66"/>
      <c r="J967" s="67">
        <v>1</v>
      </c>
      <c r="K967" s="64">
        <v>17.88</v>
      </c>
      <c r="L967" s="68">
        <v>17.88</v>
      </c>
      <c r="M967" s="64" t="s">
        <v>32</v>
      </c>
      <c r="N967" s="64">
        <v>1</v>
      </c>
      <c r="O967" s="68">
        <v>17.88</v>
      </c>
      <c r="P967" s="68" t="s">
        <v>33</v>
      </c>
      <c r="Q967" s="102">
        <v>45457</v>
      </c>
      <c r="R967" s="68" t="s">
        <v>62</v>
      </c>
      <c r="S967" s="68"/>
      <c r="T967" s="68">
        <v>2</v>
      </c>
      <c r="U967" s="68"/>
      <c r="V967" s="68"/>
      <c r="W967" s="68" t="s">
        <v>81</v>
      </c>
      <c r="X967" s="68" t="s">
        <v>104</v>
      </c>
      <c r="Y967" s="68">
        <v>2</v>
      </c>
      <c r="Z967" s="68" t="s">
        <v>86</v>
      </c>
      <c r="AA967" s="78" t="s">
        <v>225</v>
      </c>
      <c r="AB967" s="78">
        <v>1</v>
      </c>
    </row>
    <row r="968" spans="1:28" x14ac:dyDescent="0.25">
      <c r="A968" t="str">
        <f>IF(EXACT('BOM A320 FFS'!B1436,obsoleta!D968),"OK","ERROR")</f>
        <v>ERROR</v>
      </c>
      <c r="C968" s="65"/>
      <c r="D968" s="65" t="s">
        <v>3691</v>
      </c>
      <c r="E968" s="65"/>
      <c r="F968" s="64"/>
      <c r="G968" s="66"/>
      <c r="H968" s="52"/>
      <c r="I968" s="52"/>
      <c r="J968" s="54"/>
      <c r="K968" s="38"/>
      <c r="L968" s="35"/>
      <c r="M968" s="54"/>
      <c r="N968" s="37"/>
      <c r="O968" s="35"/>
      <c r="P968" s="35"/>
      <c r="Q968" s="97"/>
      <c r="R968" s="35"/>
      <c r="S968" s="38"/>
      <c r="T968" s="78"/>
      <c r="U968" s="78"/>
      <c r="V968" s="78"/>
      <c r="W968" s="78"/>
      <c r="X968" s="78"/>
      <c r="Y968" s="78"/>
      <c r="Z968" s="78"/>
      <c r="AA968" s="78" t="s">
        <v>225</v>
      </c>
      <c r="AB968" s="78"/>
    </row>
    <row r="969" spans="1:28" x14ac:dyDescent="0.25">
      <c r="A969" t="str">
        <f>IF(EXACT('BOM A320 FFS'!B1437,obsoleta!D969),"OK","ERROR")</f>
        <v>ERROR</v>
      </c>
      <c r="C969" s="51" t="s">
        <v>27</v>
      </c>
      <c r="D969" s="51">
        <v>7279902590000</v>
      </c>
      <c r="E969" s="51"/>
      <c r="F969" s="52" t="s">
        <v>308</v>
      </c>
      <c r="G969" s="52" t="s">
        <v>309</v>
      </c>
      <c r="H969" s="52" t="s">
        <v>310</v>
      </c>
      <c r="I969" s="52"/>
      <c r="J969" s="54">
        <v>1</v>
      </c>
      <c r="K969" s="38">
        <v>1595</v>
      </c>
      <c r="L969" s="35">
        <v>1595</v>
      </c>
      <c r="M969" s="54" t="s">
        <v>32</v>
      </c>
      <c r="N969" s="37">
        <v>1</v>
      </c>
      <c r="O969" s="35">
        <v>1595</v>
      </c>
      <c r="P969" s="35" t="s">
        <v>33</v>
      </c>
      <c r="Q969" s="97">
        <v>45457</v>
      </c>
      <c r="R969" s="35" t="s">
        <v>62</v>
      </c>
      <c r="S969" s="38"/>
      <c r="T969" s="78">
        <v>2</v>
      </c>
      <c r="U969" s="78"/>
      <c r="V969" s="78"/>
      <c r="W969" s="78" t="s">
        <v>81</v>
      </c>
      <c r="X969" s="78" t="s">
        <v>104</v>
      </c>
      <c r="Y969" s="78">
        <v>2</v>
      </c>
      <c r="Z969" s="78" t="s">
        <v>86</v>
      </c>
      <c r="AA969" s="78" t="s">
        <v>225</v>
      </c>
      <c r="AB969" s="78">
        <v>1</v>
      </c>
    </row>
    <row r="970" spans="1:28" x14ac:dyDescent="0.25">
      <c r="A970" t="str">
        <f>IF(EXACT('BOM A320 FFS'!B1438,obsoleta!D970),"OK","ERROR")</f>
        <v>ERROR</v>
      </c>
      <c r="C970" s="51" t="s">
        <v>27</v>
      </c>
      <c r="D970" s="51">
        <v>1279990680000</v>
      </c>
      <c r="E970" s="51"/>
      <c r="F970" s="52" t="s">
        <v>235</v>
      </c>
      <c r="G970" s="52" t="s">
        <v>236</v>
      </c>
      <c r="H970" s="52" t="s">
        <v>237</v>
      </c>
      <c r="I970" s="52"/>
      <c r="J970" s="54">
        <v>1</v>
      </c>
      <c r="K970" s="38">
        <v>3190</v>
      </c>
      <c r="L970" s="35">
        <v>3190</v>
      </c>
      <c r="M970" s="54" t="s">
        <v>32</v>
      </c>
      <c r="N970" s="37">
        <v>1</v>
      </c>
      <c r="O970" s="35">
        <v>3190</v>
      </c>
      <c r="P970" s="35" t="s">
        <v>33</v>
      </c>
      <c r="Q970" s="97">
        <v>45457</v>
      </c>
      <c r="R970" s="35" t="s">
        <v>62</v>
      </c>
      <c r="S970" s="38"/>
      <c r="T970" s="78">
        <v>2</v>
      </c>
      <c r="U970" s="78"/>
      <c r="V970" s="78"/>
      <c r="W970" s="78" t="s">
        <v>81</v>
      </c>
      <c r="X970" s="78" t="s">
        <v>104</v>
      </c>
      <c r="Y970" s="78">
        <v>2</v>
      </c>
      <c r="Z970" s="78" t="s">
        <v>86</v>
      </c>
      <c r="AA970" s="77" t="s">
        <v>225</v>
      </c>
      <c r="AB970" s="77">
        <v>1</v>
      </c>
    </row>
    <row r="971" spans="1:28" x14ac:dyDescent="0.25">
      <c r="A971" t="str">
        <f>IF(EXACT('BOM A320 FFS'!B1439,obsoleta!D971),"OK","ERROR")</f>
        <v>ERROR</v>
      </c>
      <c r="C971" s="51" t="s">
        <v>27</v>
      </c>
      <c r="D971" s="51" t="s">
        <v>388</v>
      </c>
      <c r="E971" s="51"/>
      <c r="F971" s="52" t="s">
        <v>389</v>
      </c>
      <c r="G971" s="52"/>
      <c r="H971" s="28" t="s">
        <v>80</v>
      </c>
      <c r="I971" s="28" t="s">
        <v>80</v>
      </c>
      <c r="J971" s="40">
        <v>1</v>
      </c>
      <c r="K971" s="26">
        <v>650</v>
      </c>
      <c r="L971" s="30">
        <v>650</v>
      </c>
      <c r="M971" s="26" t="s">
        <v>32</v>
      </c>
      <c r="N971" s="26">
        <v>1</v>
      </c>
      <c r="O971" s="30">
        <v>650</v>
      </c>
      <c r="P971" s="30" t="s">
        <v>33</v>
      </c>
      <c r="Q971" s="96">
        <v>45457</v>
      </c>
      <c r="R971" s="30" t="s">
        <v>62</v>
      </c>
      <c r="S971" s="30"/>
      <c r="T971" s="77">
        <v>2</v>
      </c>
      <c r="U971" s="77" t="s">
        <v>34</v>
      </c>
      <c r="V971" s="77"/>
      <c r="W971" s="77" t="s">
        <v>81</v>
      </c>
      <c r="X971" s="77" t="s">
        <v>104</v>
      </c>
      <c r="Y971" s="77">
        <v>2</v>
      </c>
      <c r="Z971" s="77" t="s">
        <v>86</v>
      </c>
      <c r="AA971" s="77" t="s">
        <v>225</v>
      </c>
      <c r="AB971" s="77">
        <v>1</v>
      </c>
    </row>
    <row r="972" spans="1:28" x14ac:dyDescent="0.25">
      <c r="A972" t="str">
        <f>IF(EXACT('BOM A320 FFS'!B1440,obsoleta!D972),"OK","ERROR")</f>
        <v>ERROR</v>
      </c>
      <c r="C972" s="39"/>
      <c r="D972" s="39"/>
      <c r="E972" s="39"/>
      <c r="F972" s="28"/>
      <c r="G972" s="28"/>
      <c r="H972" s="28"/>
      <c r="I972" s="28"/>
      <c r="J972" s="40"/>
      <c r="K972" s="26"/>
      <c r="L972" s="30"/>
      <c r="M972" s="26"/>
      <c r="N972" s="26"/>
      <c r="O972" s="30"/>
      <c r="P972" s="30"/>
      <c r="Q972" s="96"/>
      <c r="R972" s="30"/>
      <c r="S972" s="30"/>
      <c r="T972" s="77"/>
      <c r="U972" s="77"/>
      <c r="V972" s="77"/>
      <c r="W972" s="77"/>
      <c r="X972" s="77"/>
      <c r="Y972" s="77"/>
      <c r="Z972" s="77"/>
      <c r="AA972" s="77" t="s">
        <v>225</v>
      </c>
      <c r="AB972" s="77"/>
    </row>
    <row r="973" spans="1:28" x14ac:dyDescent="0.25">
      <c r="A973" t="str">
        <f>IF(EXACT('BOM A320 FFS'!B1441,obsoleta!D973),"OK","ERROR")</f>
        <v>OK</v>
      </c>
      <c r="C973" s="39"/>
      <c r="D973" s="39"/>
      <c r="E973" s="39"/>
      <c r="F973" s="28"/>
      <c r="G973" s="28"/>
      <c r="H973" s="28"/>
      <c r="I973" s="28"/>
      <c r="J973" s="40"/>
      <c r="K973" s="26"/>
      <c r="L973" s="30"/>
      <c r="M973" s="26"/>
      <c r="N973" s="26"/>
      <c r="O973" s="30"/>
      <c r="P973" s="30"/>
      <c r="Q973" s="96"/>
      <c r="R973" s="30"/>
      <c r="S973" s="30"/>
      <c r="T973" s="77"/>
      <c r="U973" s="77"/>
      <c r="V973" s="77"/>
      <c r="W973" s="77"/>
      <c r="X973" s="77"/>
      <c r="Y973" s="77"/>
      <c r="Z973" s="77"/>
      <c r="AA973" s="78" t="s">
        <v>225</v>
      </c>
      <c r="AB973" s="78"/>
    </row>
    <row r="974" spans="1:28" x14ac:dyDescent="0.25">
      <c r="A974" t="str">
        <f>IF(EXACT('BOM A320 FFS'!B1442,obsoleta!D974),"OK","ERROR")</f>
        <v>ERROR</v>
      </c>
      <c r="C974" s="39"/>
      <c r="D974" s="39"/>
      <c r="E974" s="39"/>
      <c r="F974" s="28"/>
      <c r="G974" s="28"/>
      <c r="H974" s="52"/>
      <c r="I974" s="52"/>
      <c r="J974" s="54"/>
      <c r="K974" s="38"/>
      <c r="L974" s="35"/>
      <c r="M974" s="54"/>
      <c r="N974" s="37"/>
      <c r="O974" s="35"/>
      <c r="P974" s="35"/>
      <c r="Q974" s="97"/>
      <c r="R974" s="35"/>
      <c r="S974" s="38"/>
      <c r="T974" s="78"/>
      <c r="U974" s="78"/>
      <c r="V974" s="78"/>
      <c r="W974" s="78"/>
      <c r="X974" s="78"/>
      <c r="Y974" s="78"/>
      <c r="Z974" s="78"/>
      <c r="AA974" s="78" t="s">
        <v>225</v>
      </c>
      <c r="AB974" s="78"/>
    </row>
    <row r="975" spans="1:28" x14ac:dyDescent="0.25">
      <c r="A975" t="str">
        <f>IF(EXACT('BOM A320 FFS'!B1443,obsoleta!D975),"OK","ERROR")</f>
        <v>ERROR</v>
      </c>
      <c r="C975" s="51"/>
      <c r="D975" s="51">
        <v>1237090082100</v>
      </c>
      <c r="E975" s="51"/>
      <c r="F975" s="52" t="s">
        <v>2085</v>
      </c>
      <c r="G975" s="52"/>
      <c r="H975" s="52"/>
      <c r="I975" s="52"/>
      <c r="J975" s="54">
        <v>400</v>
      </c>
      <c r="K975" s="38"/>
      <c r="L975" s="35"/>
      <c r="M975" s="54"/>
      <c r="N975" s="37"/>
      <c r="O975" s="35">
        <v>5773155.8300000001</v>
      </c>
      <c r="P975" s="35"/>
      <c r="Q975" s="97"/>
      <c r="R975" s="35"/>
      <c r="S975" s="38"/>
      <c r="T975" s="78"/>
      <c r="U975" s="78"/>
      <c r="V975" s="78"/>
      <c r="W975" s="78"/>
      <c r="X975" s="78"/>
      <c r="Y975" s="78"/>
      <c r="Z975" s="78"/>
      <c r="AA975" s="78" t="s">
        <v>1670</v>
      </c>
      <c r="AB975" s="78"/>
    </row>
    <row r="976" spans="1:28" x14ac:dyDescent="0.25">
      <c r="A976" t="str">
        <f>IF(EXACT('BOM A320 FFS'!B1444,obsoleta!D976),"OK","ERROR")</f>
        <v>ERROR</v>
      </c>
      <c r="C976" s="51"/>
      <c r="D976" s="51">
        <v>1218000320401</v>
      </c>
      <c r="E976" s="51"/>
      <c r="F976" s="52" t="s">
        <v>3791</v>
      </c>
      <c r="G976" s="52"/>
      <c r="H976" s="52"/>
      <c r="I976" s="52"/>
      <c r="J976" s="54">
        <v>400</v>
      </c>
      <c r="K976" s="38"/>
      <c r="L976" s="35"/>
      <c r="M976" s="54"/>
      <c r="N976" s="37"/>
      <c r="O976" s="35"/>
      <c r="P976" s="35"/>
      <c r="Q976" s="97"/>
      <c r="R976" s="35"/>
      <c r="S976" s="38"/>
      <c r="T976" s="78"/>
      <c r="U976" s="78"/>
      <c r="V976" s="78"/>
      <c r="W976" s="78"/>
      <c r="X976" s="78"/>
      <c r="Y976" s="78"/>
      <c r="Z976" s="78"/>
      <c r="AA976" s="78" t="s">
        <v>1670</v>
      </c>
      <c r="AB976" s="78"/>
    </row>
    <row r="977" spans="1:28" x14ac:dyDescent="0.25">
      <c r="A977" t="str">
        <f>IF(EXACT('BOM A320 FFS'!B1445,obsoleta!D977),"OK","ERROR")</f>
        <v>ERROR</v>
      </c>
      <c r="C977" s="51"/>
      <c r="D977" s="51">
        <v>1000242000103</v>
      </c>
      <c r="E977" s="51"/>
      <c r="F977" s="52" t="s">
        <v>2419</v>
      </c>
      <c r="G977" s="52"/>
      <c r="H977" s="52"/>
      <c r="I977" s="52"/>
      <c r="J977" s="54"/>
      <c r="K977" s="38"/>
      <c r="L977" s="35"/>
      <c r="M977" s="54"/>
      <c r="N977" s="37"/>
      <c r="O977" s="35"/>
      <c r="P977" s="35"/>
      <c r="Q977" s="97"/>
      <c r="R977" s="35"/>
      <c r="S977" s="38"/>
      <c r="T977" s="78"/>
      <c r="U977" s="78"/>
      <c r="V977" s="78"/>
      <c r="W977" s="78"/>
      <c r="X977" s="78"/>
      <c r="Y977" s="78"/>
      <c r="Z977" s="78"/>
      <c r="AA977" s="78" t="s">
        <v>1670</v>
      </c>
      <c r="AB977" s="78"/>
    </row>
    <row r="978" spans="1:28" x14ac:dyDescent="0.25">
      <c r="A978" t="str">
        <f>IF(EXACT('BOM A320 FFS'!B1446,obsoleta!D978),"OK","ERROR")</f>
        <v>ERROR</v>
      </c>
      <c r="C978" s="51"/>
      <c r="D978" s="51">
        <v>1004743006009</v>
      </c>
      <c r="E978" s="51"/>
      <c r="F978" s="52" t="s">
        <v>2403</v>
      </c>
      <c r="G978" s="52"/>
      <c r="H978" s="52"/>
      <c r="I978" s="52"/>
      <c r="J978" s="54"/>
      <c r="K978" s="38"/>
      <c r="L978" s="35"/>
      <c r="M978" s="54"/>
      <c r="N978" s="37"/>
      <c r="O978" s="35"/>
      <c r="P978" s="35"/>
      <c r="Q978" s="97"/>
      <c r="R978" s="35"/>
      <c r="S978" s="38"/>
      <c r="T978" s="78"/>
      <c r="U978" s="78"/>
      <c r="V978" s="78"/>
      <c r="W978" s="78"/>
      <c r="X978" s="78"/>
      <c r="Y978" s="78"/>
      <c r="Z978" s="78"/>
      <c r="AA978" s="78" t="s">
        <v>1670</v>
      </c>
      <c r="AB978" s="78"/>
    </row>
    <row r="979" spans="1:28" x14ac:dyDescent="0.25">
      <c r="A979" t="str">
        <f>IF(EXACT('BOM A320 FFS'!B1447,obsoleta!D979),"OK","ERROR")</f>
        <v>ERROR</v>
      </c>
      <c r="C979" s="51"/>
      <c r="D979" s="51">
        <v>1501211008001</v>
      </c>
      <c r="E979" s="51"/>
      <c r="F979" s="52" t="s">
        <v>3138</v>
      </c>
      <c r="G979" s="52"/>
      <c r="H979" s="52"/>
      <c r="I979" s="52"/>
      <c r="J979" s="54"/>
      <c r="K979" s="38"/>
      <c r="L979" s="35"/>
      <c r="M979" s="54"/>
      <c r="N979" s="37"/>
      <c r="O979" s="35"/>
      <c r="P979" s="35"/>
      <c r="Q979" s="97"/>
      <c r="R979" s="35"/>
      <c r="S979" s="38"/>
      <c r="T979" s="78"/>
      <c r="U979" s="78"/>
      <c r="V979" s="78"/>
      <c r="W979" s="78"/>
      <c r="X979" s="78"/>
      <c r="Y979" s="78"/>
      <c r="Z979" s="78"/>
      <c r="AA979" s="78" t="s">
        <v>1670</v>
      </c>
      <c r="AB979" s="78"/>
    </row>
    <row r="980" spans="1:28" x14ac:dyDescent="0.25">
      <c r="A980" t="str">
        <f>IF(EXACT('BOM A320 FFS'!B1448,obsoleta!D980),"OK","ERROR")</f>
        <v>ERROR</v>
      </c>
      <c r="C980" s="51"/>
      <c r="D980" s="51">
        <v>1540911000001</v>
      </c>
      <c r="E980" s="51"/>
      <c r="F980" s="52" t="s">
        <v>3128</v>
      </c>
      <c r="G980" s="52"/>
      <c r="H980" s="52"/>
      <c r="I980" s="52"/>
      <c r="J980" s="54"/>
      <c r="K980" s="38"/>
      <c r="L980" s="35"/>
      <c r="M980" s="54"/>
      <c r="N980" s="37"/>
      <c r="O980" s="35"/>
      <c r="P980" s="35"/>
      <c r="Q980" s="97"/>
      <c r="R980" s="35"/>
      <c r="S980" s="38"/>
      <c r="T980" s="78"/>
      <c r="U980" s="78"/>
      <c r="V980" s="78"/>
      <c r="W980" s="78"/>
      <c r="X980" s="78"/>
      <c r="Y980" s="78"/>
      <c r="Z980" s="78"/>
      <c r="AA980" s="78" t="s">
        <v>1670</v>
      </c>
      <c r="AB980" s="78"/>
    </row>
    <row r="981" spans="1:28" x14ac:dyDescent="0.25">
      <c r="A981" t="str">
        <f>IF(EXACT('BOM A320 FFS'!B1450,obsoleta!D981),"OK","ERROR")</f>
        <v>ERROR</v>
      </c>
      <c r="C981" s="51"/>
      <c r="D981" s="51">
        <v>1540111000001</v>
      </c>
      <c r="E981" s="51"/>
      <c r="F981" s="52" t="s">
        <v>3136</v>
      </c>
      <c r="G981" s="52"/>
      <c r="H981" s="52"/>
      <c r="I981" s="52"/>
      <c r="J981" s="54"/>
      <c r="K981" s="38"/>
      <c r="L981" s="35"/>
      <c r="M981" s="54"/>
      <c r="N981" s="37"/>
      <c r="O981" s="35"/>
      <c r="P981" s="35"/>
      <c r="Q981" s="97"/>
      <c r="R981" s="35"/>
      <c r="S981" s="38"/>
      <c r="T981" s="78"/>
      <c r="U981" s="78"/>
      <c r="V981" s="78"/>
      <c r="W981" s="78"/>
      <c r="X981" s="78"/>
      <c r="Y981" s="78"/>
      <c r="Z981" s="78"/>
      <c r="AA981" s="78" t="s">
        <v>1670</v>
      </c>
      <c r="AB981" s="78"/>
    </row>
    <row r="982" spans="1:28" x14ac:dyDescent="0.25">
      <c r="A982" t="str">
        <f>IF(EXACT('BOM A320 FFS'!B1451,obsoleta!D982),"OK","ERROR")</f>
        <v>ERROR</v>
      </c>
      <c r="C982" s="51"/>
      <c r="D982" s="51">
        <v>1540211000001</v>
      </c>
      <c r="E982" s="51"/>
      <c r="F982" s="52" t="s">
        <v>2366</v>
      </c>
      <c r="G982" s="52"/>
      <c r="H982" s="52"/>
      <c r="I982" s="52"/>
      <c r="J982" s="54"/>
      <c r="K982" s="38"/>
      <c r="L982" s="35"/>
      <c r="M982" s="54"/>
      <c r="N982" s="37"/>
      <c r="O982" s="35"/>
      <c r="P982" s="35"/>
      <c r="Q982" s="97"/>
      <c r="R982" s="35"/>
      <c r="S982" s="38"/>
      <c r="T982" s="78"/>
      <c r="U982" s="78"/>
      <c r="V982" s="78"/>
      <c r="W982" s="78"/>
      <c r="X982" s="78"/>
      <c r="Y982" s="78"/>
      <c r="Z982" s="78"/>
      <c r="AA982" s="78" t="s">
        <v>1670</v>
      </c>
      <c r="AB982" s="78"/>
    </row>
    <row r="983" spans="1:28" x14ac:dyDescent="0.25">
      <c r="A983" t="str">
        <f>IF(EXACT('BOM A320 FFS'!B1452,obsoleta!D983),"OK","ERROR")</f>
        <v>ERROR</v>
      </c>
      <c r="C983" s="51"/>
      <c r="D983" s="51">
        <v>1530111000001</v>
      </c>
      <c r="E983" s="51"/>
      <c r="F983" s="52" t="s">
        <v>2392</v>
      </c>
      <c r="G983" s="52"/>
      <c r="H983" s="52"/>
      <c r="I983" s="52"/>
      <c r="J983" s="54"/>
      <c r="K983" s="38"/>
      <c r="L983" s="35"/>
      <c r="M983" s="54"/>
      <c r="N983" s="37"/>
      <c r="O983" s="35"/>
      <c r="P983" s="35"/>
      <c r="Q983" s="97"/>
      <c r="R983" s="35"/>
      <c r="S983" s="38"/>
      <c r="T983" s="78"/>
      <c r="U983" s="78"/>
      <c r="V983" s="78"/>
      <c r="W983" s="78"/>
      <c r="X983" s="78"/>
      <c r="Y983" s="78"/>
      <c r="Z983" s="78"/>
      <c r="AA983" s="78" t="s">
        <v>1670</v>
      </c>
      <c r="AB983" s="78"/>
    </row>
    <row r="984" spans="1:28" x14ac:dyDescent="0.25">
      <c r="A984" t="str">
        <f>IF(EXACT('BOM A320 FFS'!B1453,obsoleta!D984),"OK","ERROR")</f>
        <v>ERROR</v>
      </c>
      <c r="C984" s="51"/>
      <c r="D984" s="51">
        <v>1501213010001</v>
      </c>
      <c r="E984" s="51"/>
      <c r="F984" s="52" t="s">
        <v>2364</v>
      </c>
      <c r="G984" s="52"/>
      <c r="H984" s="52"/>
      <c r="I984" s="52"/>
      <c r="J984" s="54"/>
      <c r="K984" s="38"/>
      <c r="L984" s="35"/>
      <c r="M984" s="54"/>
      <c r="N984" s="37"/>
      <c r="O984" s="35"/>
      <c r="P984" s="35"/>
      <c r="Q984" s="97"/>
      <c r="R984" s="35"/>
      <c r="S984" s="38"/>
      <c r="T984" s="78"/>
      <c r="U984" s="78"/>
      <c r="V984" s="78"/>
      <c r="W984" s="78"/>
      <c r="X984" s="78"/>
      <c r="Y984" s="78"/>
      <c r="Z984" s="78"/>
      <c r="AA984" s="78" t="s">
        <v>1670</v>
      </c>
      <c r="AB984" s="78"/>
    </row>
    <row r="985" spans="1:28" x14ac:dyDescent="0.25">
      <c r="A985" t="str">
        <f>IF(EXACT('BOM A320 FFS'!B1455,obsoleta!D985),"OK","ERROR")</f>
        <v>ERROR</v>
      </c>
      <c r="C985" s="51"/>
      <c r="D985" s="51">
        <v>1530113000001</v>
      </c>
      <c r="E985" s="51"/>
      <c r="F985" s="52" t="s">
        <v>2787</v>
      </c>
      <c r="G985" s="52"/>
      <c r="H985" s="52"/>
      <c r="I985" s="52"/>
      <c r="J985" s="54"/>
      <c r="K985" s="38"/>
      <c r="L985" s="35"/>
      <c r="M985" s="54"/>
      <c r="N985" s="37"/>
      <c r="O985" s="35"/>
      <c r="P985" s="35"/>
      <c r="Q985" s="97"/>
      <c r="R985" s="35"/>
      <c r="S985" s="38"/>
      <c r="T985" s="78"/>
      <c r="U985" s="78"/>
      <c r="V985" s="78"/>
      <c r="W985" s="78"/>
      <c r="X985" s="78"/>
      <c r="Y985" s="78"/>
      <c r="Z985" s="78"/>
      <c r="AA985" s="78" t="s">
        <v>1670</v>
      </c>
      <c r="AB985" s="78"/>
    </row>
    <row r="986" spans="1:28" x14ac:dyDescent="0.25">
      <c r="A986" t="str">
        <f>IF(EXACT('BOM A320 FFS'!B1456,obsoleta!D986),"OK","ERROR")</f>
        <v>ERROR</v>
      </c>
      <c r="C986" s="51"/>
      <c r="D986" s="51">
        <v>1501211010001</v>
      </c>
      <c r="E986" s="51"/>
      <c r="F986" s="52" t="s">
        <v>2405</v>
      </c>
      <c r="G986" s="52"/>
      <c r="H986" s="52"/>
      <c r="I986" s="52"/>
      <c r="J986" s="54"/>
      <c r="K986" s="38"/>
      <c r="L986" s="35"/>
      <c r="M986" s="54"/>
      <c r="N986" s="37"/>
      <c r="O986" s="35"/>
      <c r="P986" s="35"/>
      <c r="Q986" s="97"/>
      <c r="R986" s="35"/>
      <c r="S986" s="38"/>
      <c r="T986" s="78"/>
      <c r="U986" s="78"/>
      <c r="V986" s="78"/>
      <c r="W986" s="78"/>
      <c r="X986" s="78"/>
      <c r="Y986" s="78"/>
      <c r="Z986" s="78"/>
      <c r="AA986" s="78" t="s">
        <v>1670</v>
      </c>
      <c r="AB986" s="78"/>
    </row>
    <row r="987" spans="1:28" x14ac:dyDescent="0.25">
      <c r="A987" t="str">
        <f>IF(EXACT('BOM A320 FFS'!B1457,obsoleta!D987),"OK","ERROR")</f>
        <v>ERROR</v>
      </c>
      <c r="C987" s="51"/>
      <c r="D987" s="51">
        <v>1501211006001</v>
      </c>
      <c r="E987" s="51"/>
      <c r="F987" s="52" t="s">
        <v>2398</v>
      </c>
      <c r="G987" s="52"/>
      <c r="H987" s="52"/>
      <c r="I987" s="52"/>
      <c r="J987" s="54"/>
      <c r="K987" s="38"/>
      <c r="L987" s="35"/>
      <c r="M987" s="54"/>
      <c r="N987" s="37"/>
      <c r="O987" s="35"/>
      <c r="P987" s="35"/>
      <c r="Q987" s="97"/>
      <c r="R987" s="35"/>
      <c r="S987" s="38"/>
      <c r="T987" s="78"/>
      <c r="U987" s="78"/>
      <c r="V987" s="78"/>
      <c r="W987" s="78"/>
      <c r="X987" s="78"/>
      <c r="Y987" s="78"/>
      <c r="Z987" s="78"/>
      <c r="AA987" s="78" t="s">
        <v>1670</v>
      </c>
      <c r="AB987" s="78"/>
    </row>
    <row r="988" spans="1:28" x14ac:dyDescent="0.25">
      <c r="A988" t="str">
        <f>IF(EXACT('BOM A320 FFS'!B1458,obsoleta!D988),"OK","ERROR")</f>
        <v>ERROR</v>
      </c>
      <c r="C988" s="51"/>
      <c r="D988" s="51">
        <v>1501213008001</v>
      </c>
      <c r="E988" s="51"/>
      <c r="F988" s="52" t="s">
        <v>3130</v>
      </c>
      <c r="G988" s="52"/>
      <c r="H988" s="52"/>
      <c r="I988" s="52"/>
      <c r="J988" s="54"/>
      <c r="K988" s="38"/>
      <c r="L988" s="35"/>
      <c r="M988" s="54"/>
      <c r="N988" s="37"/>
      <c r="O988" s="35"/>
      <c r="P988" s="35"/>
      <c r="Q988" s="97"/>
      <c r="R988" s="35"/>
      <c r="S988" s="38"/>
      <c r="T988" s="78"/>
      <c r="U988" s="78"/>
      <c r="V988" s="78"/>
      <c r="W988" s="78"/>
      <c r="X988" s="78"/>
      <c r="Y988" s="78"/>
      <c r="Z988" s="78"/>
      <c r="AA988" s="78" t="s">
        <v>1670</v>
      </c>
      <c r="AB988" s="78"/>
    </row>
    <row r="989" spans="1:28" x14ac:dyDescent="0.25">
      <c r="A989" t="str">
        <f>IF(EXACT('BOM A320 FFS'!B1459,obsoleta!D989),"OK","ERROR")</f>
        <v>ERROR</v>
      </c>
      <c r="C989" s="51"/>
      <c r="D989" s="51">
        <v>1540113000001</v>
      </c>
      <c r="E989" s="51"/>
      <c r="F989" s="52" t="s">
        <v>3132</v>
      </c>
      <c r="G989" s="52"/>
      <c r="H989" s="52"/>
      <c r="I989" s="52"/>
      <c r="J989" s="54"/>
      <c r="K989" s="38"/>
      <c r="L989" s="35"/>
      <c r="M989" s="54"/>
      <c r="N989" s="37"/>
      <c r="O989" s="35"/>
      <c r="P989" s="35"/>
      <c r="Q989" s="97"/>
      <c r="R989" s="35"/>
      <c r="S989" s="38"/>
      <c r="T989" s="78"/>
      <c r="U989" s="78"/>
      <c r="V989" s="78"/>
      <c r="W989" s="78"/>
      <c r="X989" s="78"/>
      <c r="Y989" s="78"/>
      <c r="Z989" s="78"/>
      <c r="AA989" s="78" t="s">
        <v>1670</v>
      </c>
      <c r="AB989" s="78"/>
    </row>
    <row r="990" spans="1:28" x14ac:dyDescent="0.25">
      <c r="A990" t="str">
        <f>IF(EXACT('BOM A320 FFS'!B1460,obsoleta!D990),"OK","ERROR")</f>
        <v>ERROR</v>
      </c>
      <c r="C990" s="51"/>
      <c r="D990" s="51">
        <v>1540213000001</v>
      </c>
      <c r="E990" s="51"/>
      <c r="F990" s="52" t="s">
        <v>2396</v>
      </c>
      <c r="G990" s="52"/>
      <c r="H990" s="52"/>
      <c r="I990" s="52"/>
      <c r="J990" s="54"/>
      <c r="K990" s="38"/>
      <c r="L990" s="35"/>
      <c r="M990" s="54"/>
      <c r="N990" s="37"/>
      <c r="O990" s="35"/>
      <c r="P990" s="35"/>
      <c r="Q990" s="97"/>
      <c r="R990" s="35"/>
      <c r="S990" s="38"/>
      <c r="T990" s="78"/>
      <c r="U990" s="78"/>
      <c r="V990" s="78"/>
      <c r="W990" s="78"/>
      <c r="X990" s="78"/>
      <c r="Y990" s="78"/>
      <c r="Z990" s="78"/>
      <c r="AA990" s="78" t="s">
        <v>1670</v>
      </c>
      <c r="AB990" s="78"/>
    </row>
    <row r="991" spans="1:28" x14ac:dyDescent="0.25">
      <c r="A991" t="str">
        <f>IF(EXACT('BOM A320 FFS'!B1461,obsoleta!D991),"OK","ERROR")</f>
        <v>ERROR</v>
      </c>
      <c r="C991" s="51"/>
      <c r="D991" s="51">
        <v>1501215020001</v>
      </c>
      <c r="E991" s="51"/>
      <c r="F991" s="52" t="s">
        <v>3140</v>
      </c>
      <c r="G991" s="52"/>
      <c r="H991" s="52"/>
      <c r="I991" s="52"/>
      <c r="J991" s="54"/>
      <c r="K991" s="38"/>
      <c r="L991" s="35"/>
      <c r="M991" s="54"/>
      <c r="N991" s="37"/>
      <c r="O991" s="35"/>
      <c r="P991" s="35"/>
      <c r="Q991" s="97"/>
      <c r="R991" s="35"/>
      <c r="S991" s="38"/>
      <c r="T991" s="78"/>
      <c r="U991" s="78"/>
      <c r="V991" s="78"/>
      <c r="W991" s="78"/>
      <c r="X991" s="78"/>
      <c r="Y991" s="78"/>
      <c r="Z991" s="78"/>
      <c r="AA991" s="78" t="s">
        <v>1670</v>
      </c>
      <c r="AB991" s="78"/>
    </row>
    <row r="992" spans="1:28" x14ac:dyDescent="0.25">
      <c r="A992" t="str">
        <f>IF(EXACT('BOM A320 FFS'!B1462,obsoleta!D992),"OK","ERROR")</f>
        <v>ERROR</v>
      </c>
      <c r="C992" s="51"/>
      <c r="D992" s="51">
        <v>1540915000001</v>
      </c>
      <c r="E992" s="51"/>
      <c r="F992" s="52" t="s">
        <v>2362</v>
      </c>
      <c r="G992" s="52"/>
      <c r="H992" s="52"/>
      <c r="I992" s="52"/>
      <c r="J992" s="54"/>
      <c r="K992" s="38"/>
      <c r="L992" s="35"/>
      <c r="M992" s="54"/>
      <c r="N992" s="37"/>
      <c r="O992" s="35"/>
      <c r="P992" s="35"/>
      <c r="Q992" s="97"/>
      <c r="R992" s="35"/>
      <c r="S992" s="38"/>
      <c r="T992" s="78"/>
      <c r="U992" s="78"/>
      <c r="V992" s="78"/>
      <c r="W992" s="78"/>
      <c r="X992" s="78"/>
      <c r="Y992" s="78"/>
      <c r="Z992" s="78"/>
      <c r="AA992" s="78" t="s">
        <v>1670</v>
      </c>
      <c r="AB992" s="78"/>
    </row>
    <row r="993" spans="1:28" x14ac:dyDescent="0.25">
      <c r="A993" t="str">
        <f>IF(EXACT('BOM A320 FFS'!B1463,obsoleta!D993),"OK","ERROR")</f>
        <v>ERROR</v>
      </c>
      <c r="C993" s="51"/>
      <c r="D993" s="51">
        <v>1530115000001</v>
      </c>
      <c r="E993" s="51"/>
      <c r="F993" s="52" t="s">
        <v>3126</v>
      </c>
      <c r="G993" s="52"/>
      <c r="H993" s="52"/>
      <c r="I993" s="52"/>
      <c r="J993" s="54"/>
      <c r="K993" s="38"/>
      <c r="L993" s="35"/>
      <c r="M993" s="54"/>
      <c r="N993" s="37"/>
      <c r="O993" s="35"/>
      <c r="P993" s="35"/>
      <c r="Q993" s="97"/>
      <c r="R993" s="35"/>
      <c r="S993" s="38"/>
      <c r="T993" s="78"/>
      <c r="U993" s="78"/>
      <c r="V993" s="78"/>
      <c r="W993" s="78"/>
      <c r="X993" s="78"/>
      <c r="Y993" s="78"/>
      <c r="Z993" s="78"/>
      <c r="AA993" s="78" t="s">
        <v>1670</v>
      </c>
      <c r="AB993" s="78"/>
    </row>
    <row r="994" spans="1:28" x14ac:dyDescent="0.25">
      <c r="A994" t="str">
        <f>IF(EXACT('BOM A320 FFS'!B1464,obsoleta!D994),"OK","ERROR")</f>
        <v>ERROR</v>
      </c>
      <c r="C994" s="51"/>
      <c r="D994" s="51">
        <v>1540111000090</v>
      </c>
      <c r="E994" s="51"/>
      <c r="F994" s="52" t="s">
        <v>2394</v>
      </c>
      <c r="G994" s="52"/>
      <c r="H994" s="52"/>
      <c r="I994" s="52"/>
      <c r="J994" s="54"/>
      <c r="K994" s="38"/>
      <c r="L994" s="35"/>
      <c r="M994" s="54"/>
      <c r="N994" s="37"/>
      <c r="O994" s="35"/>
      <c r="P994" s="35"/>
      <c r="Q994" s="97"/>
      <c r="R994" s="35"/>
      <c r="S994" s="38"/>
      <c r="T994" s="78"/>
      <c r="U994" s="78"/>
      <c r="V994" s="78"/>
      <c r="W994" s="78"/>
      <c r="X994" s="78"/>
      <c r="Y994" s="78"/>
      <c r="Z994" s="78"/>
      <c r="AA994" s="78" t="s">
        <v>1670</v>
      </c>
      <c r="AB994" s="78"/>
    </row>
    <row r="995" spans="1:28" x14ac:dyDescent="0.25">
      <c r="A995" t="str">
        <f>IF(EXACT('BOM A320 FFS'!B1465,obsoleta!D995),"OK","ERROR")</f>
        <v>ERROR</v>
      </c>
      <c r="C995" s="51"/>
      <c r="D995" s="51">
        <v>1501233006000</v>
      </c>
      <c r="E995" s="51"/>
      <c r="F995" s="52" t="s">
        <v>3176</v>
      </c>
      <c r="G995" s="52"/>
      <c r="H995" s="52"/>
      <c r="I995" s="52"/>
      <c r="J995" s="54"/>
      <c r="K995" s="38"/>
      <c r="L995" s="35"/>
      <c r="M995" s="54"/>
      <c r="N995" s="37"/>
      <c r="O995" s="35"/>
      <c r="P995" s="35"/>
      <c r="Q995" s="97"/>
      <c r="R995" s="35"/>
      <c r="S995" s="38"/>
      <c r="T995" s="78"/>
      <c r="U995" s="78"/>
      <c r="V995" s="78"/>
      <c r="W995" s="78"/>
      <c r="X995" s="78"/>
      <c r="Y995" s="78"/>
      <c r="Z995" s="78"/>
      <c r="AA995" s="78" t="s">
        <v>1670</v>
      </c>
      <c r="AB995" s="78"/>
    </row>
    <row r="996" spans="1:28" x14ac:dyDescent="0.25">
      <c r="A996" t="str">
        <f>IF(EXACT('BOM A320 FFS'!B1466,obsoleta!D996),"OK","ERROR")</f>
        <v>ERROR</v>
      </c>
      <c r="C996" s="51"/>
      <c r="D996" s="51">
        <v>1212094000001</v>
      </c>
      <c r="E996" s="51"/>
      <c r="F996" s="52" t="s">
        <v>2496</v>
      </c>
      <c r="G996" s="52"/>
      <c r="H996" s="52"/>
      <c r="I996" s="52"/>
      <c r="J996" s="54"/>
      <c r="K996" s="38"/>
      <c r="L996" s="35"/>
      <c r="M996" s="54"/>
      <c r="N996" s="37"/>
      <c r="O996" s="35"/>
      <c r="P996" s="35"/>
      <c r="Q996" s="97"/>
      <c r="R996" s="35"/>
      <c r="S996" s="38"/>
      <c r="T996" s="78"/>
      <c r="U996" s="78"/>
      <c r="V996" s="78"/>
      <c r="W996" s="78"/>
      <c r="X996" s="78"/>
      <c r="Y996" s="78"/>
      <c r="Z996" s="78"/>
      <c r="AA996" s="78" t="s">
        <v>1670</v>
      </c>
      <c r="AB996" s="78"/>
    </row>
    <row r="997" spans="1:28" x14ac:dyDescent="0.25">
      <c r="A997" t="str">
        <f>IF(EXACT('BOM A320 FFS'!B1467,obsoleta!D997),"OK","ERROR")</f>
        <v>ERROR</v>
      </c>
      <c r="C997" s="51"/>
      <c r="D997" s="51">
        <v>1580160210000</v>
      </c>
      <c r="E997" s="51"/>
      <c r="F997" s="52" t="s">
        <v>1885</v>
      </c>
      <c r="G997" s="52"/>
      <c r="H997" s="52"/>
      <c r="I997" s="52"/>
      <c r="J997" s="54"/>
      <c r="K997" s="38"/>
      <c r="L997" s="35"/>
      <c r="M997" s="54"/>
      <c r="N997" s="37"/>
      <c r="O997" s="35"/>
      <c r="P997" s="35"/>
      <c r="Q997" s="97"/>
      <c r="R997" s="35"/>
      <c r="S997" s="38"/>
      <c r="T997" s="78"/>
      <c r="U997" s="78"/>
      <c r="V997" s="78"/>
      <c r="W997" s="78"/>
      <c r="X997" s="78"/>
      <c r="Y997" s="78"/>
      <c r="Z997" s="78"/>
      <c r="AA997" s="78" t="s">
        <v>1670</v>
      </c>
      <c r="AB997" s="78"/>
    </row>
    <row r="998" spans="1:28" x14ac:dyDescent="0.25">
      <c r="A998" t="str">
        <f>IF(EXACT('BOM A320 FFS'!B1468,obsoleta!D998),"OK","ERROR")</f>
        <v>ERROR</v>
      </c>
      <c r="C998" s="51"/>
      <c r="D998" s="51">
        <v>1209994000109</v>
      </c>
      <c r="E998" s="51"/>
      <c r="F998" s="52" t="s">
        <v>640</v>
      </c>
      <c r="G998" s="52"/>
      <c r="H998" s="52"/>
      <c r="I998" s="52"/>
      <c r="J998" s="54"/>
      <c r="K998" s="38"/>
      <c r="L998" s="35"/>
      <c r="M998" s="54"/>
      <c r="N998" s="37"/>
      <c r="O998" s="35"/>
      <c r="P998" s="35"/>
      <c r="Q998" s="97"/>
      <c r="R998" s="35"/>
      <c r="S998" s="38"/>
      <c r="T998" s="78"/>
      <c r="U998" s="78"/>
      <c r="V998" s="78"/>
      <c r="W998" s="78"/>
      <c r="X998" s="78"/>
      <c r="Y998" s="78"/>
      <c r="Z998" s="78"/>
      <c r="AA998" s="78" t="s">
        <v>1670</v>
      </c>
      <c r="AB998" s="78"/>
    </row>
    <row r="999" spans="1:28" x14ac:dyDescent="0.25">
      <c r="A999" t="str">
        <f>IF(EXACT('BOM A320 FFS'!B1469,obsoleta!D999),"OK","ERROR")</f>
        <v>ERROR</v>
      </c>
      <c r="C999" s="51"/>
      <c r="D999" s="51">
        <v>1231024570900</v>
      </c>
      <c r="E999" s="51"/>
      <c r="F999" s="52" t="s">
        <v>3792</v>
      </c>
      <c r="G999" s="52"/>
      <c r="H999" s="52"/>
      <c r="I999" s="52"/>
      <c r="J999" s="54"/>
      <c r="K999" s="38"/>
      <c r="L999" s="35"/>
      <c r="M999" s="54"/>
      <c r="N999" s="37"/>
      <c r="O999" s="35"/>
      <c r="P999" s="35"/>
      <c r="Q999" s="97"/>
      <c r="R999" s="35"/>
      <c r="S999" s="38"/>
      <c r="T999" s="78"/>
      <c r="U999" s="78"/>
      <c r="V999" s="78"/>
      <c r="W999" s="78"/>
      <c r="X999" s="78"/>
      <c r="Y999" s="78"/>
      <c r="Z999" s="78"/>
      <c r="AA999" s="78" t="s">
        <v>1670</v>
      </c>
      <c r="AB999" s="78"/>
    </row>
    <row r="1000" spans="1:28" x14ac:dyDescent="0.25">
      <c r="A1000" t="str">
        <f>IF(EXACT('BOM A320 FFS'!B1470,obsoleta!D1000),"OK","ERROR")</f>
        <v>ERROR</v>
      </c>
      <c r="C1000" s="51"/>
      <c r="D1000" s="51">
        <v>1230590950000</v>
      </c>
      <c r="E1000" s="51"/>
      <c r="F1000" s="52" t="s">
        <v>2533</v>
      </c>
      <c r="G1000" s="52"/>
      <c r="H1000" s="52"/>
      <c r="I1000" s="52"/>
      <c r="J1000" s="54"/>
      <c r="K1000" s="38"/>
      <c r="L1000" s="35"/>
      <c r="M1000" s="54"/>
      <c r="N1000" s="37"/>
      <c r="O1000" s="35"/>
      <c r="P1000" s="35"/>
      <c r="Q1000" s="97"/>
      <c r="R1000" s="35"/>
      <c r="S1000" s="38"/>
      <c r="T1000" s="78"/>
      <c r="U1000" s="78"/>
      <c r="V1000" s="78"/>
      <c r="W1000" s="78"/>
      <c r="X1000" s="78"/>
      <c r="Y1000" s="78"/>
      <c r="Z1000" s="78"/>
      <c r="AA1000" s="77" t="s">
        <v>1670</v>
      </c>
      <c r="AB1000" s="77"/>
    </row>
    <row r="1001" spans="1:28" x14ac:dyDescent="0.25">
      <c r="A1001" t="str">
        <f>IF(EXACT('BOM A320 FFS'!B1471,obsoleta!D1001),"OK","ERROR")</f>
        <v>ERROR</v>
      </c>
      <c r="C1001" s="51"/>
      <c r="D1001" s="51">
        <v>606100450</v>
      </c>
      <c r="E1001" s="51"/>
      <c r="F1001" s="52" t="s">
        <v>2627</v>
      </c>
      <c r="G1001" s="52"/>
      <c r="H1001" s="28"/>
      <c r="I1001" s="28"/>
      <c r="J1001" s="40"/>
      <c r="K1001" s="26"/>
      <c r="L1001" s="30"/>
      <c r="M1001" s="26"/>
      <c r="N1001" s="26"/>
      <c r="O1001" s="30"/>
      <c r="P1001" s="30"/>
      <c r="Q1001" s="96"/>
      <c r="R1001" s="30"/>
      <c r="S1001" s="30"/>
      <c r="T1001" s="77"/>
      <c r="U1001" s="77"/>
      <c r="V1001" s="77"/>
      <c r="W1001" s="77"/>
      <c r="X1001" s="77"/>
      <c r="Y1001" s="77"/>
      <c r="Z1001" s="77"/>
      <c r="AA1001" t="s">
        <v>1670</v>
      </c>
    </row>
    <row r="1002" spans="1:28" x14ac:dyDescent="0.25">
      <c r="D1002" s="39"/>
      <c r="E1002" s="39"/>
      <c r="F1002" s="28"/>
      <c r="G1002" s="28"/>
    </row>
  </sheetData>
  <autoFilter ref="A1:AB1001" xr:uid="{00000000-0009-0000-0000-000002000000}"/>
  <conditionalFormatting sqref="D909:D910">
    <cfRule type="duplicateValues" dxfId="37" priority="4"/>
  </conditionalFormatting>
  <conditionalFormatting sqref="D88:E136">
    <cfRule type="duplicateValues" dxfId="36" priority="10"/>
  </conditionalFormatting>
  <conditionalFormatting sqref="D235:E235">
    <cfRule type="duplicateValues" dxfId="35" priority="12"/>
  </conditionalFormatting>
  <conditionalFormatting sqref="D297:E297">
    <cfRule type="duplicateValues" dxfId="34" priority="8"/>
  </conditionalFormatting>
  <conditionalFormatting sqref="D347:E347">
    <cfRule type="duplicateValues" dxfId="33" priority="18"/>
  </conditionalFormatting>
  <conditionalFormatting sqref="D375:E375">
    <cfRule type="duplicateValues" dxfId="32" priority="29"/>
  </conditionalFormatting>
  <conditionalFormatting sqref="D376:E376">
    <cfRule type="duplicateValues" dxfId="31" priority="30"/>
  </conditionalFormatting>
  <conditionalFormatting sqref="D377:E377">
    <cfRule type="duplicateValues" dxfId="30" priority="31"/>
  </conditionalFormatting>
  <conditionalFormatting sqref="D428:E428">
    <cfRule type="duplicateValues" dxfId="29" priority="26"/>
  </conditionalFormatting>
  <conditionalFormatting sqref="D429:E429">
    <cfRule type="duplicateValues" dxfId="28" priority="27"/>
  </conditionalFormatting>
  <conditionalFormatting sqref="D430:E430">
    <cfRule type="duplicateValues" dxfId="27" priority="24"/>
  </conditionalFormatting>
  <conditionalFormatting sqref="D431:E431">
    <cfRule type="duplicateValues" dxfId="26" priority="25"/>
  </conditionalFormatting>
  <conditionalFormatting sqref="D459:E459">
    <cfRule type="duplicateValues" dxfId="25" priority="28"/>
  </conditionalFormatting>
  <conditionalFormatting sqref="D469:E469">
    <cfRule type="duplicateValues" dxfId="24" priority="20"/>
  </conditionalFormatting>
  <conditionalFormatting sqref="D470:E470">
    <cfRule type="duplicateValues" dxfId="23" priority="19"/>
  </conditionalFormatting>
  <conditionalFormatting sqref="D483:E483">
    <cfRule type="duplicateValues" dxfId="22" priority="23"/>
  </conditionalFormatting>
  <conditionalFormatting sqref="D484:E484">
    <cfRule type="duplicateValues" dxfId="21" priority="21"/>
  </conditionalFormatting>
  <conditionalFormatting sqref="D485:E485">
    <cfRule type="duplicateValues" dxfId="20" priority="22"/>
  </conditionalFormatting>
  <conditionalFormatting sqref="D725:E725">
    <cfRule type="duplicateValues" dxfId="19" priority="14"/>
  </conditionalFormatting>
  <conditionalFormatting sqref="D726:E726">
    <cfRule type="duplicateValues" dxfId="18" priority="15"/>
  </conditionalFormatting>
  <conditionalFormatting sqref="D727:E727">
    <cfRule type="duplicateValues" dxfId="17" priority="16"/>
  </conditionalFormatting>
  <conditionalFormatting sqref="D728:E728">
    <cfRule type="duplicateValues" dxfId="16" priority="13"/>
  </conditionalFormatting>
  <conditionalFormatting sqref="D733:E733">
    <cfRule type="duplicateValues" dxfId="15" priority="17"/>
  </conditionalFormatting>
  <conditionalFormatting sqref="D745:E746 D755:E755">
    <cfRule type="duplicateValues" dxfId="14" priority="7"/>
  </conditionalFormatting>
  <conditionalFormatting sqref="D874:E878">
    <cfRule type="duplicateValues" dxfId="13" priority="5"/>
  </conditionalFormatting>
  <conditionalFormatting sqref="D934:E934">
    <cfRule type="duplicateValues" dxfId="12" priority="2"/>
  </conditionalFormatting>
  <conditionalFormatting sqref="D975:E1001">
    <cfRule type="duplicateValues" dxfId="11" priority="32"/>
  </conditionalFormatting>
  <conditionalFormatting sqref="D1002:E1002 D460:E468 D471:E482 D729:E732 D348:E374 D734:E744 D1:E87 D486:E724 D137:E234 D236:E296 D298:E346 D378:E407 D432:E458 D756:E873 D880:E908 D911:E933 E909:E910 D935:E974 D409:E427">
    <cfRule type="duplicateValues" dxfId="10" priority="62"/>
  </conditionalFormatting>
  <conditionalFormatting sqref="D747:G750 I746:I749">
    <cfRule type="duplicateValues" dxfId="9" priority="6"/>
  </conditionalFormatting>
  <conditionalFormatting sqref="D408:I408">
    <cfRule type="duplicateValues" dxfId="8" priority="1"/>
  </conditionalFormatting>
  <conditionalFormatting sqref="G909:G910">
    <cfRule type="duplicateValues" dxfId="7" priority="3"/>
  </conditionalFormatting>
  <conditionalFormatting sqref="G946:G949">
    <cfRule type="duplicateValues" dxfId="6" priority="11"/>
  </conditionalFormatting>
  <conditionalFormatting sqref="K153">
    <cfRule type="expression" dxfId="5" priority="34">
      <formula>#REF!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G60"/>
  <sheetViews>
    <sheetView workbookViewId="0">
      <pane ySplit="1" topLeftCell="A2" activePane="bottomLeft" state="frozen"/>
      <selection pane="bottomLeft" activeCell="B39" sqref="B39"/>
    </sheetView>
  </sheetViews>
  <sheetFormatPr baseColWidth="10" defaultColWidth="10.7109375" defaultRowHeight="12.75" x14ac:dyDescent="0.2"/>
  <cols>
    <col min="1" max="1" width="13.7109375" style="2" bestFit="1" customWidth="1"/>
    <col min="2" max="2" width="45.42578125" style="2" bestFit="1" customWidth="1"/>
    <col min="3" max="3" width="12.7109375" style="2" customWidth="1"/>
    <col min="4" max="4" width="12.28515625" style="2" bestFit="1" customWidth="1"/>
    <col min="5" max="5" width="10.7109375" style="2" bestFit="1" customWidth="1"/>
    <col min="6" max="6" width="16.28515625" style="2" bestFit="1" customWidth="1"/>
    <col min="7" max="7" width="10.7109375" style="2" bestFit="1" customWidth="1"/>
    <col min="8" max="8" width="11.5703125" style="2" bestFit="1" customWidth="1"/>
    <col min="9" max="9" width="10" style="2" bestFit="1" customWidth="1"/>
    <col min="10" max="10" width="10.28515625" style="2" bestFit="1" customWidth="1"/>
    <col min="11" max="11" width="10.7109375" style="2" bestFit="1" customWidth="1"/>
    <col min="12" max="12" width="15.28515625" style="2" bestFit="1" customWidth="1"/>
    <col min="13" max="13" width="18.28515625" style="2" bestFit="1" customWidth="1"/>
    <col min="14" max="14" width="12.42578125" style="2" bestFit="1" customWidth="1"/>
    <col min="15" max="15" width="10.28515625" style="2" bestFit="1" customWidth="1"/>
    <col min="16" max="16" width="16.28515625" style="2" bestFit="1" customWidth="1"/>
    <col min="17" max="17" width="17.42578125" style="2" bestFit="1" customWidth="1"/>
    <col min="18" max="18" width="17.7109375" style="2" bestFit="1" customWidth="1"/>
    <col min="19" max="19" width="14.7109375" style="2" bestFit="1" customWidth="1"/>
    <col min="20" max="20" width="15" style="2" bestFit="1" customWidth="1"/>
    <col min="21" max="21" width="11.5703125" style="2" bestFit="1" customWidth="1"/>
    <col min="22" max="22" width="26.28515625" style="2" bestFit="1" customWidth="1"/>
    <col min="23" max="23" width="38.7109375" style="2" bestFit="1" customWidth="1"/>
    <col min="24" max="24" width="21.28515625" style="2" bestFit="1" customWidth="1"/>
    <col min="25" max="25" width="7.5703125" style="2" bestFit="1" customWidth="1"/>
    <col min="26" max="26" width="15.28515625" style="2" bestFit="1" customWidth="1"/>
    <col min="27" max="27" width="13.42578125" style="2" bestFit="1" customWidth="1"/>
    <col min="28" max="28" width="11.7109375" style="2" bestFit="1" customWidth="1"/>
    <col min="29" max="29" width="16" style="2" bestFit="1" customWidth="1"/>
    <col min="30" max="30" width="16.28515625" style="2" bestFit="1" customWidth="1"/>
    <col min="31" max="31" width="6.28515625" style="2" bestFit="1" customWidth="1"/>
    <col min="32" max="32" width="17.7109375" style="2" bestFit="1" customWidth="1"/>
    <col min="33" max="33" width="16.42578125" style="2" bestFit="1" customWidth="1"/>
    <col min="34" max="34" width="13.7109375" style="2" bestFit="1" customWidth="1"/>
    <col min="35" max="35" width="15.5703125" style="2" bestFit="1" customWidth="1"/>
    <col min="36" max="36" width="9.7109375" style="2" bestFit="1" customWidth="1"/>
    <col min="37" max="37" width="12.5703125" style="2" bestFit="1" customWidth="1"/>
    <col min="38" max="39" width="12.42578125" style="2" bestFit="1" customWidth="1"/>
    <col min="40" max="40" width="12.28515625" style="2" bestFit="1" customWidth="1"/>
    <col min="41" max="41" width="14.28515625" style="2" bestFit="1" customWidth="1"/>
    <col min="42" max="42" width="17.42578125" style="2" bestFit="1" customWidth="1"/>
    <col min="43" max="43" width="13.5703125" style="2" bestFit="1" customWidth="1"/>
    <col min="44" max="44" width="25.5703125" style="2" bestFit="1" customWidth="1"/>
    <col min="45" max="45" width="31.42578125" style="2" bestFit="1" customWidth="1"/>
    <col min="46" max="46" width="23.28515625" style="2" bestFit="1" customWidth="1"/>
    <col min="47" max="47" width="24.28515625" style="2" bestFit="1" customWidth="1"/>
    <col min="48" max="48" width="50.42578125" style="2" bestFit="1" customWidth="1"/>
    <col min="49" max="49" width="13" style="2" bestFit="1" customWidth="1"/>
    <col min="50" max="50" width="13.42578125" style="2" bestFit="1" customWidth="1"/>
    <col min="51" max="51" width="15.7109375" style="2" bestFit="1" customWidth="1"/>
    <col min="52" max="52" width="14.28515625" style="2" bestFit="1" customWidth="1"/>
    <col min="53" max="53" width="17.5703125" style="2" bestFit="1" customWidth="1"/>
    <col min="54" max="54" width="25" style="2" bestFit="1" customWidth="1"/>
    <col min="55" max="55" width="14.7109375" style="2" bestFit="1" customWidth="1"/>
    <col min="56" max="56" width="17.7109375" style="2" bestFit="1" customWidth="1"/>
    <col min="57" max="57" width="17.28515625" style="2" bestFit="1" customWidth="1"/>
    <col min="58" max="58" width="14.42578125" style="2" bestFit="1" customWidth="1"/>
    <col min="59" max="59" width="16.42578125" style="2" bestFit="1" customWidth="1"/>
    <col min="60" max="60" width="15.7109375" style="2" bestFit="1" customWidth="1"/>
    <col min="61" max="61" width="24.7109375" style="2" bestFit="1" customWidth="1"/>
    <col min="62" max="62" width="14.28515625" style="2" bestFit="1" customWidth="1"/>
    <col min="63" max="63" width="10.42578125" style="2" bestFit="1" customWidth="1"/>
    <col min="64" max="64" width="14.42578125" style="2" bestFit="1" customWidth="1"/>
    <col min="65" max="65" width="17.5703125" style="2" bestFit="1" customWidth="1"/>
    <col min="66" max="66" width="16.42578125" style="2" bestFit="1" customWidth="1"/>
    <col min="67" max="67" width="26.28515625" style="2" bestFit="1" customWidth="1"/>
    <col min="68" max="69" width="7.28515625" style="2" bestFit="1" customWidth="1"/>
    <col min="70" max="70" width="11" style="2" bestFit="1" customWidth="1"/>
    <col min="71" max="71" width="10.28515625" style="2" bestFit="1" customWidth="1"/>
    <col min="72" max="72" width="24.28515625" style="2" bestFit="1" customWidth="1"/>
    <col min="73" max="73" width="22.28515625" style="2" bestFit="1" customWidth="1"/>
    <col min="74" max="74" width="8.5703125" style="2" bestFit="1" customWidth="1"/>
    <col min="75" max="75" width="14.7109375" style="2" bestFit="1" customWidth="1"/>
    <col min="76" max="76" width="10.42578125" style="2" bestFit="1" customWidth="1"/>
    <col min="77" max="77" width="14.7109375" style="2" bestFit="1" customWidth="1"/>
    <col min="78" max="78" width="16.42578125" style="2" bestFit="1" customWidth="1"/>
    <col min="79" max="79" width="18.7109375" style="2" bestFit="1" customWidth="1"/>
    <col min="80" max="80" width="16" style="2" bestFit="1" customWidth="1"/>
    <col min="81" max="81" width="18.28515625" style="2" bestFit="1" customWidth="1"/>
    <col min="82" max="82" width="9.28515625" style="2" bestFit="1" customWidth="1"/>
    <col min="83" max="83" width="5.7109375" style="2" bestFit="1" customWidth="1"/>
    <col min="84" max="84" width="19.7109375" style="2" bestFit="1" customWidth="1"/>
    <col min="85" max="85" width="15.7109375" style="2" bestFit="1" customWidth="1"/>
    <col min="86" max="86" width="18.7109375" style="2" bestFit="1" customWidth="1"/>
    <col min="87" max="87" width="10.5703125" style="2" bestFit="1" customWidth="1"/>
    <col min="88" max="88" width="11.28515625" style="2" bestFit="1" customWidth="1"/>
    <col min="89" max="89" width="15.7109375" style="2" bestFit="1" customWidth="1"/>
    <col min="90" max="90" width="18.28515625" style="2" bestFit="1" customWidth="1"/>
    <col min="91" max="91" width="19.7109375" style="2" bestFit="1" customWidth="1"/>
    <col min="92" max="92" width="26.7109375" style="2" bestFit="1" customWidth="1"/>
    <col min="93" max="93" width="15.42578125" style="2" bestFit="1" customWidth="1"/>
    <col min="94" max="94" width="17.28515625" style="2" bestFit="1" customWidth="1"/>
    <col min="95" max="96" width="6.28515625" style="2" bestFit="1" customWidth="1"/>
    <col min="97" max="98" width="15.28515625" style="2" bestFit="1" customWidth="1"/>
    <col min="99" max="100" width="17.28515625" style="2" bestFit="1" customWidth="1"/>
    <col min="101" max="101" width="19.5703125" style="2" bestFit="1" customWidth="1"/>
    <col min="102" max="102" width="13" style="2" bestFit="1" customWidth="1"/>
    <col min="103" max="103" width="16.5703125" style="2" bestFit="1" customWidth="1"/>
    <col min="104" max="104" width="13.28515625" style="2" bestFit="1" customWidth="1"/>
    <col min="105" max="105" width="20.7109375" style="2" bestFit="1" customWidth="1"/>
    <col min="106" max="106" width="14.7109375" style="2" bestFit="1" customWidth="1"/>
    <col min="107" max="107" width="18.7109375" style="2" bestFit="1" customWidth="1"/>
    <col min="108" max="108" width="18.28515625" style="2" bestFit="1" customWidth="1"/>
    <col min="109" max="109" width="16.42578125" style="2" bestFit="1" customWidth="1"/>
    <col min="110" max="110" width="10.7109375" style="2" bestFit="1" customWidth="1"/>
    <col min="111" max="111" width="26.7109375" style="2" bestFit="1" customWidth="1"/>
    <col min="112" max="16384" width="10.7109375" style="1"/>
  </cols>
  <sheetData>
    <row r="1" spans="1:111" x14ac:dyDescent="0.2">
      <c r="A1" s="7" t="s">
        <v>3793</v>
      </c>
      <c r="B1" s="7" t="s">
        <v>3794</v>
      </c>
      <c r="C1" s="7" t="s">
        <v>3795</v>
      </c>
      <c r="D1" s="7" t="s">
        <v>3796</v>
      </c>
      <c r="E1" s="7" t="s">
        <v>3797</v>
      </c>
      <c r="F1" s="7" t="s">
        <v>3798</v>
      </c>
      <c r="G1" s="7" t="s">
        <v>3799</v>
      </c>
      <c r="H1" s="7" t="s">
        <v>3800</v>
      </c>
      <c r="I1" s="7" t="s">
        <v>3801</v>
      </c>
      <c r="J1" s="7" t="s">
        <v>3802</v>
      </c>
      <c r="K1" s="7" t="s">
        <v>3803</v>
      </c>
      <c r="L1" s="7" t="s">
        <v>3804</v>
      </c>
      <c r="M1" s="7" t="s">
        <v>3805</v>
      </c>
      <c r="N1" s="7" t="s">
        <v>3806</v>
      </c>
      <c r="O1" s="7" t="s">
        <v>3807</v>
      </c>
      <c r="P1" s="7" t="s">
        <v>3808</v>
      </c>
      <c r="Q1" s="7" t="s">
        <v>3809</v>
      </c>
      <c r="R1" s="7" t="s">
        <v>3810</v>
      </c>
      <c r="S1" s="7" t="s">
        <v>3811</v>
      </c>
      <c r="T1" s="7" t="s">
        <v>3812</v>
      </c>
      <c r="U1" s="7" t="s">
        <v>3813</v>
      </c>
      <c r="V1" s="7" t="s">
        <v>3814</v>
      </c>
      <c r="W1" s="7" t="s">
        <v>3815</v>
      </c>
      <c r="X1" s="7" t="s">
        <v>3816</v>
      </c>
      <c r="Y1" s="7" t="s">
        <v>3817</v>
      </c>
      <c r="Z1" s="7" t="s">
        <v>3818</v>
      </c>
      <c r="AA1" s="7" t="s">
        <v>3819</v>
      </c>
      <c r="AB1" s="7" t="s">
        <v>3820</v>
      </c>
      <c r="AC1" s="7" t="s">
        <v>3821</v>
      </c>
      <c r="AD1" s="7" t="s">
        <v>3822</v>
      </c>
      <c r="AE1" s="7" t="s">
        <v>3823</v>
      </c>
      <c r="AF1" s="7" t="s">
        <v>3824</v>
      </c>
      <c r="AG1" s="7" t="s">
        <v>3825</v>
      </c>
      <c r="AH1" s="7" t="s">
        <v>3826</v>
      </c>
      <c r="AI1" s="7" t="s">
        <v>3827</v>
      </c>
      <c r="AJ1" s="7" t="s">
        <v>3828</v>
      </c>
      <c r="AK1" s="7" t="s">
        <v>3829</v>
      </c>
      <c r="AL1" s="7" t="s">
        <v>3830</v>
      </c>
      <c r="AM1" s="7" t="s">
        <v>3830</v>
      </c>
      <c r="AN1" s="7" t="s">
        <v>3831</v>
      </c>
      <c r="AO1" s="7" t="s">
        <v>3832</v>
      </c>
      <c r="AP1" s="7" t="s">
        <v>3809</v>
      </c>
      <c r="AQ1" s="7" t="s">
        <v>3833</v>
      </c>
      <c r="AR1" s="7" t="s">
        <v>3834</v>
      </c>
      <c r="AS1" s="7" t="s">
        <v>3835</v>
      </c>
      <c r="AT1" s="7" t="s">
        <v>3836</v>
      </c>
      <c r="AU1" s="7" t="s">
        <v>3837</v>
      </c>
      <c r="AV1" s="7" t="s">
        <v>3838</v>
      </c>
      <c r="AW1" s="7" t="s">
        <v>3839</v>
      </c>
      <c r="AX1" s="7" t="s">
        <v>3840</v>
      </c>
      <c r="AY1" s="7" t="s">
        <v>3841</v>
      </c>
      <c r="AZ1" s="7" t="s">
        <v>3842</v>
      </c>
      <c r="BA1" s="7" t="s">
        <v>3843</v>
      </c>
      <c r="BB1" s="7" t="s">
        <v>3844</v>
      </c>
      <c r="BC1" s="7" t="s">
        <v>3845</v>
      </c>
      <c r="BD1" s="7" t="s">
        <v>3846</v>
      </c>
      <c r="BE1" s="7" t="s">
        <v>3847</v>
      </c>
      <c r="BF1" s="7" t="s">
        <v>3848</v>
      </c>
      <c r="BG1" s="7" t="s">
        <v>3849</v>
      </c>
      <c r="BH1" s="7" t="s">
        <v>3850</v>
      </c>
      <c r="BI1" s="7" t="s">
        <v>3851</v>
      </c>
      <c r="BJ1" s="7" t="s">
        <v>3852</v>
      </c>
      <c r="BK1" s="7" t="s">
        <v>3853</v>
      </c>
      <c r="BL1" s="7" t="s">
        <v>3854</v>
      </c>
      <c r="BM1" s="7" t="s">
        <v>3855</v>
      </c>
      <c r="BN1" s="7" t="s">
        <v>3856</v>
      </c>
      <c r="BO1" s="7" t="s">
        <v>3857</v>
      </c>
      <c r="BP1" s="7" t="s">
        <v>3858</v>
      </c>
      <c r="BQ1" s="7" t="s">
        <v>3858</v>
      </c>
      <c r="BR1" s="7" t="s">
        <v>3859</v>
      </c>
      <c r="BS1" s="7" t="s">
        <v>3860</v>
      </c>
      <c r="BT1" s="7" t="s">
        <v>3861</v>
      </c>
      <c r="BU1" s="7" t="s">
        <v>3862</v>
      </c>
      <c r="BV1" s="7" t="s">
        <v>3863</v>
      </c>
      <c r="BW1" s="7" t="s">
        <v>3864</v>
      </c>
      <c r="BX1" s="7" t="s">
        <v>3865</v>
      </c>
      <c r="BY1" s="7" t="s">
        <v>3866</v>
      </c>
      <c r="BZ1" s="7" t="s">
        <v>3867</v>
      </c>
      <c r="CA1" s="7" t="s">
        <v>3868</v>
      </c>
      <c r="CB1" s="7" t="s">
        <v>3869</v>
      </c>
      <c r="CC1" s="7" t="s">
        <v>3870</v>
      </c>
      <c r="CD1" s="7" t="s">
        <v>3871</v>
      </c>
      <c r="CE1" s="7" t="s">
        <v>3872</v>
      </c>
      <c r="CF1" s="7" t="s">
        <v>3873</v>
      </c>
      <c r="CG1" s="7" t="s">
        <v>3874</v>
      </c>
      <c r="CH1" s="7" t="s">
        <v>3875</v>
      </c>
      <c r="CI1" s="7" t="s">
        <v>3876</v>
      </c>
      <c r="CJ1" s="7" t="s">
        <v>3877</v>
      </c>
      <c r="CK1" s="7" t="s">
        <v>3878</v>
      </c>
      <c r="CL1" s="7" t="s">
        <v>3879</v>
      </c>
      <c r="CM1" s="7" t="s">
        <v>3880</v>
      </c>
      <c r="CN1" s="7" t="s">
        <v>3881</v>
      </c>
      <c r="CO1" s="7" t="s">
        <v>3882</v>
      </c>
      <c r="CP1" s="7" t="s">
        <v>3883</v>
      </c>
      <c r="CQ1" s="7" t="s">
        <v>3884</v>
      </c>
      <c r="CR1" s="7" t="s">
        <v>3884</v>
      </c>
      <c r="CS1" s="7" t="s">
        <v>3885</v>
      </c>
      <c r="CT1" s="7" t="s">
        <v>3885</v>
      </c>
      <c r="CU1" s="7" t="s">
        <v>3886</v>
      </c>
      <c r="CV1" s="7" t="s">
        <v>3886</v>
      </c>
      <c r="CW1" s="7" t="s">
        <v>3887</v>
      </c>
      <c r="CX1" s="7" t="s">
        <v>3888</v>
      </c>
      <c r="CY1" s="7" t="s">
        <v>3889</v>
      </c>
      <c r="CZ1" s="7" t="s">
        <v>3890</v>
      </c>
      <c r="DA1" s="7" t="s">
        <v>3891</v>
      </c>
      <c r="DB1" s="7" t="s">
        <v>3892</v>
      </c>
      <c r="DC1" s="7" t="s">
        <v>3893</v>
      </c>
      <c r="DD1" s="7" t="s">
        <v>3894</v>
      </c>
      <c r="DE1" s="7" t="s">
        <v>3895</v>
      </c>
      <c r="DF1" s="7" t="s">
        <v>3896</v>
      </c>
      <c r="DG1" s="7" t="s">
        <v>3897</v>
      </c>
    </row>
    <row r="2" spans="1:111" x14ac:dyDescent="0.2">
      <c r="B2" s="2" t="s">
        <v>3898</v>
      </c>
      <c r="C2" s="6">
        <v>44796</v>
      </c>
      <c r="D2" s="2" t="s">
        <v>3899</v>
      </c>
      <c r="E2" s="2" t="s">
        <v>283</v>
      </c>
      <c r="H2" s="2" t="s">
        <v>3900</v>
      </c>
      <c r="I2" s="6"/>
      <c r="J2" s="6"/>
      <c r="N2" s="5">
        <v>1</v>
      </c>
      <c r="O2" s="5">
        <v>0</v>
      </c>
      <c r="P2" s="5">
        <v>0</v>
      </c>
      <c r="Q2" s="5">
        <v>0</v>
      </c>
      <c r="R2" s="5">
        <v>0</v>
      </c>
      <c r="S2" s="3">
        <v>0</v>
      </c>
      <c r="T2" s="3">
        <v>0</v>
      </c>
      <c r="X2" s="2" t="s">
        <v>3901</v>
      </c>
      <c r="Z2" s="6"/>
      <c r="AA2" s="4">
        <v>0</v>
      </c>
      <c r="AB2" s="4">
        <v>1</v>
      </c>
      <c r="AE2" s="2" t="s">
        <v>3902</v>
      </c>
      <c r="AJ2" s="2" t="s">
        <v>3903</v>
      </c>
      <c r="AK2" s="2" t="s">
        <v>3903</v>
      </c>
      <c r="AL2" s="5">
        <v>0</v>
      </c>
      <c r="AN2" s="5">
        <v>0</v>
      </c>
      <c r="AO2" s="5">
        <v>0</v>
      </c>
      <c r="AQ2" s="5">
        <v>0</v>
      </c>
      <c r="AS2" s="2" t="s">
        <v>3904</v>
      </c>
      <c r="AV2" s="2" t="s">
        <v>3905</v>
      </c>
      <c r="AW2" s="2" t="s">
        <v>3906</v>
      </c>
      <c r="AX2" s="6">
        <v>44796</v>
      </c>
      <c r="BA2" s="6"/>
      <c r="BB2" s="6">
        <v>44796</v>
      </c>
      <c r="BC2" s="6"/>
      <c r="BD2" s="6"/>
      <c r="BE2" s="6"/>
      <c r="BF2" s="6">
        <v>44796</v>
      </c>
      <c r="BG2" s="6"/>
      <c r="BH2" s="2" t="s">
        <v>3907</v>
      </c>
      <c r="BJ2" s="3">
        <v>105</v>
      </c>
      <c r="BK2" s="3">
        <v>105</v>
      </c>
      <c r="BO2" s="2" t="s">
        <v>3908</v>
      </c>
      <c r="BS2" s="2" t="s">
        <v>39</v>
      </c>
      <c r="BT2" s="2" t="s">
        <v>3909</v>
      </c>
      <c r="BZ2" s="4">
        <v>0</v>
      </c>
      <c r="CA2" s="5">
        <v>0</v>
      </c>
      <c r="CB2" s="3">
        <v>0</v>
      </c>
      <c r="CH2" s="5">
        <v>0</v>
      </c>
      <c r="CK2" s="2" t="s">
        <v>3910</v>
      </c>
      <c r="CL2" s="4">
        <v>0</v>
      </c>
      <c r="CM2" s="2" t="s">
        <v>3911</v>
      </c>
      <c r="CX2" s="3">
        <v>0</v>
      </c>
      <c r="CZ2" s="3">
        <v>0</v>
      </c>
      <c r="DA2" s="2" t="s">
        <v>3911</v>
      </c>
      <c r="DB2" s="3">
        <v>0</v>
      </c>
      <c r="DC2" s="3">
        <v>0</v>
      </c>
      <c r="DD2" s="3">
        <v>0</v>
      </c>
      <c r="DE2" s="3">
        <v>0</v>
      </c>
      <c r="DF2" s="2" t="s">
        <v>3912</v>
      </c>
      <c r="DG2" s="2" t="s">
        <v>3913</v>
      </c>
    </row>
    <row r="3" spans="1:111" x14ac:dyDescent="0.2">
      <c r="A3" s="2" t="s">
        <v>3914</v>
      </c>
      <c r="B3" s="2" t="s">
        <v>3915</v>
      </c>
      <c r="C3" s="6">
        <v>44796</v>
      </c>
      <c r="D3" s="2" t="s">
        <v>3916</v>
      </c>
      <c r="E3" s="2" t="s">
        <v>283</v>
      </c>
      <c r="G3" s="2" t="s">
        <v>3917</v>
      </c>
      <c r="H3" s="2" t="s">
        <v>3918</v>
      </c>
      <c r="I3" s="6">
        <v>44802</v>
      </c>
      <c r="J3" s="6">
        <v>45044</v>
      </c>
      <c r="M3" s="2" t="s">
        <v>3919</v>
      </c>
      <c r="N3" s="3">
        <v>2</v>
      </c>
      <c r="O3" s="3">
        <v>2</v>
      </c>
      <c r="P3" s="3">
        <v>0</v>
      </c>
      <c r="Q3" s="3">
        <v>2</v>
      </c>
      <c r="R3" s="5">
        <v>0</v>
      </c>
      <c r="S3" s="3">
        <v>17575</v>
      </c>
      <c r="T3" s="3">
        <v>35150</v>
      </c>
      <c r="U3" s="2" t="s">
        <v>39</v>
      </c>
      <c r="V3" s="2" t="s">
        <v>3920</v>
      </c>
      <c r="W3" s="2" t="s">
        <v>3921</v>
      </c>
      <c r="X3" s="2" t="s">
        <v>3922</v>
      </c>
      <c r="Y3" s="2" t="s">
        <v>3923</v>
      </c>
      <c r="Z3" s="6"/>
      <c r="AA3" s="4">
        <v>1</v>
      </c>
      <c r="AB3" s="4">
        <v>1</v>
      </c>
      <c r="AE3" s="2" t="s">
        <v>3924</v>
      </c>
      <c r="AF3" s="2" t="s">
        <v>3925</v>
      </c>
      <c r="AH3" s="2" t="s">
        <v>3926</v>
      </c>
      <c r="AJ3" s="2" t="s">
        <v>3927</v>
      </c>
      <c r="AK3" s="2" t="s">
        <v>3903</v>
      </c>
      <c r="AL3" s="5">
        <v>0</v>
      </c>
      <c r="AN3" s="3">
        <v>0</v>
      </c>
      <c r="AO3" s="5">
        <v>2</v>
      </c>
      <c r="AQ3" s="5">
        <v>0</v>
      </c>
      <c r="AR3" s="2" t="s">
        <v>3928</v>
      </c>
      <c r="AS3" s="2" t="s">
        <v>3904</v>
      </c>
      <c r="AV3" s="2" t="s">
        <v>3929</v>
      </c>
      <c r="AW3" s="2" t="s">
        <v>3906</v>
      </c>
      <c r="AX3" s="6">
        <v>44865</v>
      </c>
      <c r="AY3" s="2" t="s">
        <v>3930</v>
      </c>
      <c r="BA3" s="6"/>
      <c r="BB3" s="6">
        <v>44802</v>
      </c>
      <c r="BC3" s="6">
        <v>45044</v>
      </c>
      <c r="BD3" s="6"/>
      <c r="BE3" s="6"/>
      <c r="BF3" s="6">
        <v>44802</v>
      </c>
      <c r="BG3" s="6"/>
      <c r="BH3" s="2" t="s">
        <v>3931</v>
      </c>
      <c r="BJ3" s="3">
        <v>35150</v>
      </c>
      <c r="BK3" s="3">
        <v>17575</v>
      </c>
      <c r="BN3" s="2" t="s">
        <v>3932</v>
      </c>
      <c r="BO3" s="2" t="s">
        <v>3908</v>
      </c>
      <c r="BP3" s="2" t="s">
        <v>39</v>
      </c>
      <c r="BR3" s="2" t="s">
        <v>39</v>
      </c>
      <c r="BS3" s="2" t="s">
        <v>39</v>
      </c>
      <c r="BT3" s="2" t="s">
        <v>3933</v>
      </c>
      <c r="BZ3" s="4">
        <v>40</v>
      </c>
      <c r="CA3" s="3">
        <v>2</v>
      </c>
      <c r="CB3" s="3">
        <v>35150</v>
      </c>
      <c r="CD3" s="2" t="s">
        <v>3934</v>
      </c>
      <c r="CH3" s="5">
        <v>0</v>
      </c>
      <c r="CI3" s="2" t="s">
        <v>3935</v>
      </c>
      <c r="CK3" s="2" t="s">
        <v>3936</v>
      </c>
      <c r="CL3" s="4">
        <v>8</v>
      </c>
      <c r="CM3" s="2" t="s">
        <v>3911</v>
      </c>
      <c r="CQ3" s="2" t="s">
        <v>3937</v>
      </c>
      <c r="CR3" s="2" t="s">
        <v>3937</v>
      </c>
      <c r="CS3" s="2" t="s">
        <v>3937</v>
      </c>
      <c r="CT3" s="2" t="s">
        <v>3937</v>
      </c>
      <c r="CU3" s="2" t="s">
        <v>3937</v>
      </c>
      <c r="CV3" s="2" t="s">
        <v>3937</v>
      </c>
      <c r="CW3" s="2" t="s">
        <v>3937</v>
      </c>
      <c r="CX3" s="3">
        <v>0</v>
      </c>
      <c r="CZ3" s="3">
        <v>0</v>
      </c>
      <c r="DA3" s="2" t="s">
        <v>3938</v>
      </c>
      <c r="DB3" s="3">
        <v>35150</v>
      </c>
      <c r="DC3" s="3">
        <v>0</v>
      </c>
      <c r="DD3" s="3">
        <v>35150</v>
      </c>
      <c r="DE3" s="3">
        <v>0</v>
      </c>
      <c r="DF3" s="2" t="s">
        <v>3939</v>
      </c>
      <c r="DG3" s="2" t="s">
        <v>3940</v>
      </c>
    </row>
    <row r="4" spans="1:111" x14ac:dyDescent="0.2">
      <c r="A4" s="2" t="s">
        <v>3941</v>
      </c>
      <c r="B4" s="2" t="s">
        <v>3942</v>
      </c>
      <c r="C4" s="6">
        <v>44796</v>
      </c>
      <c r="D4" s="2" t="s">
        <v>3916</v>
      </c>
      <c r="E4" s="2" t="s">
        <v>3932</v>
      </c>
      <c r="G4" s="2" t="s">
        <v>3917</v>
      </c>
      <c r="H4" s="2" t="s">
        <v>3908</v>
      </c>
      <c r="I4" s="6">
        <v>44802</v>
      </c>
      <c r="J4" s="6">
        <v>45044</v>
      </c>
      <c r="M4" s="2" t="s">
        <v>3919</v>
      </c>
      <c r="N4" s="3">
        <v>1</v>
      </c>
      <c r="O4" s="3">
        <v>1</v>
      </c>
      <c r="P4" s="3">
        <v>0</v>
      </c>
      <c r="Q4" s="3">
        <v>1</v>
      </c>
      <c r="R4" s="5">
        <v>0</v>
      </c>
      <c r="S4" s="3">
        <v>2700</v>
      </c>
      <c r="T4" s="3">
        <v>2700</v>
      </c>
      <c r="U4" s="2" t="s">
        <v>39</v>
      </c>
      <c r="W4" s="2" t="s">
        <v>3921</v>
      </c>
      <c r="X4" s="2" t="s">
        <v>3922</v>
      </c>
      <c r="Z4" s="6"/>
      <c r="AA4" s="4">
        <v>1</v>
      </c>
      <c r="AB4" s="4">
        <v>1</v>
      </c>
      <c r="AE4" s="2" t="s">
        <v>3924</v>
      </c>
      <c r="AF4" s="2" t="s">
        <v>3925</v>
      </c>
      <c r="AH4" s="2" t="s">
        <v>3926</v>
      </c>
      <c r="AJ4" s="2" t="s">
        <v>3927</v>
      </c>
      <c r="AK4" s="2" t="s">
        <v>3903</v>
      </c>
      <c r="AL4" s="5">
        <v>0</v>
      </c>
      <c r="AN4" s="3">
        <v>0</v>
      </c>
      <c r="AO4" s="5">
        <v>1</v>
      </c>
      <c r="AQ4" s="5">
        <v>0</v>
      </c>
      <c r="AS4" s="2" t="s">
        <v>3904</v>
      </c>
      <c r="AV4" s="2" t="s">
        <v>3905</v>
      </c>
      <c r="AW4" s="2" t="s">
        <v>3906</v>
      </c>
      <c r="AX4" s="6">
        <v>44865</v>
      </c>
      <c r="BA4" s="6"/>
      <c r="BB4" s="6">
        <v>44802</v>
      </c>
      <c r="BC4" s="6">
        <v>45044</v>
      </c>
      <c r="BD4" s="6"/>
      <c r="BE4" s="6"/>
      <c r="BF4" s="6">
        <v>44802</v>
      </c>
      <c r="BG4" s="6"/>
      <c r="BH4" s="2" t="s">
        <v>3943</v>
      </c>
      <c r="BJ4" s="3">
        <v>2700</v>
      </c>
      <c r="BK4" s="3">
        <v>2700</v>
      </c>
      <c r="BN4" s="2" t="s">
        <v>3932</v>
      </c>
      <c r="BO4" s="2" t="s">
        <v>3908</v>
      </c>
      <c r="BP4" s="2" t="s">
        <v>39</v>
      </c>
      <c r="BR4" s="2" t="s">
        <v>39</v>
      </c>
      <c r="BS4" s="2" t="s">
        <v>39</v>
      </c>
      <c r="BT4" s="2" t="s">
        <v>3933</v>
      </c>
      <c r="BZ4" s="4">
        <v>195</v>
      </c>
      <c r="CA4" s="3">
        <v>1</v>
      </c>
      <c r="CB4" s="3">
        <v>2700</v>
      </c>
      <c r="CD4" s="2" t="s">
        <v>3934</v>
      </c>
      <c r="CH4" s="5">
        <v>0</v>
      </c>
      <c r="CI4" s="2" t="s">
        <v>3935</v>
      </c>
      <c r="CK4" s="2" t="s">
        <v>3910</v>
      </c>
      <c r="CL4" s="4">
        <v>8</v>
      </c>
      <c r="CM4" s="2" t="s">
        <v>3911</v>
      </c>
      <c r="CQ4" s="2" t="s">
        <v>3937</v>
      </c>
      <c r="CR4" s="2" t="s">
        <v>3937</v>
      </c>
      <c r="CS4" s="2" t="s">
        <v>3937</v>
      </c>
      <c r="CT4" s="2" t="s">
        <v>3937</v>
      </c>
      <c r="CU4" s="2" t="s">
        <v>3937</v>
      </c>
      <c r="CV4" s="2" t="s">
        <v>3937</v>
      </c>
      <c r="CW4" s="2" t="s">
        <v>3937</v>
      </c>
      <c r="CX4" s="3">
        <v>0</v>
      </c>
      <c r="CZ4" s="3">
        <v>0</v>
      </c>
      <c r="DA4" s="2" t="s">
        <v>3944</v>
      </c>
      <c r="DB4" s="3">
        <v>2700</v>
      </c>
      <c r="DC4" s="3">
        <v>0</v>
      </c>
      <c r="DD4" s="3">
        <v>2700</v>
      </c>
      <c r="DE4" s="3">
        <v>0</v>
      </c>
      <c r="DF4" s="2" t="s">
        <v>3939</v>
      </c>
      <c r="DG4" s="2" t="s">
        <v>3940</v>
      </c>
    </row>
    <row r="5" spans="1:111" x14ac:dyDescent="0.2">
      <c r="A5" s="2" t="s">
        <v>3945</v>
      </c>
      <c r="B5" s="2" t="s">
        <v>3946</v>
      </c>
      <c r="C5" s="6">
        <v>44796</v>
      </c>
      <c r="D5" s="2" t="s">
        <v>3916</v>
      </c>
      <c r="E5" s="2" t="s">
        <v>3947</v>
      </c>
      <c r="G5" s="2" t="s">
        <v>3917</v>
      </c>
      <c r="H5" s="2" t="s">
        <v>3948</v>
      </c>
      <c r="I5" s="6">
        <v>44802</v>
      </c>
      <c r="J5" s="6">
        <v>44969</v>
      </c>
      <c r="M5" s="2" t="s">
        <v>3919</v>
      </c>
      <c r="N5" s="3">
        <v>5</v>
      </c>
      <c r="O5" s="3">
        <v>5</v>
      </c>
      <c r="P5" s="3">
        <v>0</v>
      </c>
      <c r="Q5" s="3">
        <v>5</v>
      </c>
      <c r="R5" s="5">
        <v>0</v>
      </c>
      <c r="S5" s="3">
        <v>13310</v>
      </c>
      <c r="T5" s="3">
        <v>66550</v>
      </c>
      <c r="U5" s="2" t="s">
        <v>39</v>
      </c>
      <c r="V5" s="2" t="s">
        <v>3949</v>
      </c>
      <c r="W5" s="2" t="s">
        <v>3921</v>
      </c>
      <c r="X5" s="2" t="s">
        <v>3922</v>
      </c>
      <c r="Y5" s="2" t="s">
        <v>3923</v>
      </c>
      <c r="Z5" s="6"/>
      <c r="AA5" s="4">
        <v>1</v>
      </c>
      <c r="AB5" s="4">
        <v>1</v>
      </c>
      <c r="AE5" s="2" t="s">
        <v>3924</v>
      </c>
      <c r="AF5" s="2" t="s">
        <v>3925</v>
      </c>
      <c r="AH5" s="2" t="s">
        <v>3926</v>
      </c>
      <c r="AJ5" s="2" t="s">
        <v>3927</v>
      </c>
      <c r="AK5" s="2" t="s">
        <v>3903</v>
      </c>
      <c r="AL5" s="5">
        <v>0</v>
      </c>
      <c r="AN5" s="3">
        <v>0</v>
      </c>
      <c r="AO5" s="5">
        <v>5</v>
      </c>
      <c r="AQ5" s="5">
        <v>0</v>
      </c>
      <c r="AR5" s="2" t="s">
        <v>3928</v>
      </c>
      <c r="AS5" s="2" t="s">
        <v>3904</v>
      </c>
      <c r="AV5" s="2" t="s">
        <v>3929</v>
      </c>
      <c r="AW5" s="2" t="s">
        <v>3906</v>
      </c>
      <c r="AX5" s="6">
        <v>44865</v>
      </c>
      <c r="AY5" s="2" t="s">
        <v>3930</v>
      </c>
      <c r="BA5" s="6"/>
      <c r="BB5" s="6">
        <v>44802</v>
      </c>
      <c r="BC5" s="6">
        <v>44969</v>
      </c>
      <c r="BD5" s="6"/>
      <c r="BE5" s="6"/>
      <c r="BF5" s="6">
        <v>44827</v>
      </c>
      <c r="BG5" s="6"/>
      <c r="BH5" s="2" t="s">
        <v>3931</v>
      </c>
      <c r="BJ5" s="3">
        <v>66550</v>
      </c>
      <c r="BK5" s="3">
        <v>13310</v>
      </c>
      <c r="BN5" s="2" t="s">
        <v>3932</v>
      </c>
      <c r="BO5" s="2" t="s">
        <v>3908</v>
      </c>
      <c r="BP5" s="2" t="s">
        <v>39</v>
      </c>
      <c r="BR5" s="2" t="s">
        <v>39</v>
      </c>
      <c r="BS5" s="2" t="s">
        <v>39</v>
      </c>
      <c r="BT5" s="2" t="s">
        <v>3933</v>
      </c>
      <c r="BZ5" s="4">
        <v>4</v>
      </c>
      <c r="CA5" s="3">
        <v>5</v>
      </c>
      <c r="CB5" s="3">
        <v>66550</v>
      </c>
      <c r="CD5" s="2" t="s">
        <v>3934</v>
      </c>
      <c r="CH5" s="5">
        <v>0</v>
      </c>
      <c r="CI5" s="2" t="s">
        <v>3935</v>
      </c>
      <c r="CK5" s="2" t="s">
        <v>3936</v>
      </c>
      <c r="CL5" s="4">
        <v>8</v>
      </c>
      <c r="CM5" s="2" t="s">
        <v>3911</v>
      </c>
      <c r="CQ5" s="2" t="s">
        <v>3937</v>
      </c>
      <c r="CR5" s="2" t="s">
        <v>3937</v>
      </c>
      <c r="CS5" s="2" t="s">
        <v>3937</v>
      </c>
      <c r="CT5" s="2" t="s">
        <v>3937</v>
      </c>
      <c r="CU5" s="2" t="s">
        <v>3937</v>
      </c>
      <c r="CV5" s="2" t="s">
        <v>3937</v>
      </c>
      <c r="CW5" s="2" t="s">
        <v>3937</v>
      </c>
      <c r="CX5" s="3">
        <v>0</v>
      </c>
      <c r="CZ5" s="3">
        <v>0</v>
      </c>
      <c r="DA5" s="2" t="s">
        <v>3950</v>
      </c>
      <c r="DB5" s="3">
        <v>66550</v>
      </c>
      <c r="DC5" s="3">
        <v>0</v>
      </c>
      <c r="DD5" s="3">
        <v>66550</v>
      </c>
      <c r="DE5" s="3">
        <v>0</v>
      </c>
      <c r="DF5" s="2" t="s">
        <v>3939</v>
      </c>
      <c r="DG5" s="2" t="s">
        <v>3940</v>
      </c>
    </row>
    <row r="6" spans="1:111" x14ac:dyDescent="0.2">
      <c r="A6" s="8" t="s">
        <v>3951</v>
      </c>
      <c r="B6" s="2" t="s">
        <v>3952</v>
      </c>
      <c r="C6" s="6">
        <v>44754</v>
      </c>
      <c r="D6" s="2" t="s">
        <v>3953</v>
      </c>
      <c r="E6" s="2" t="s">
        <v>283</v>
      </c>
      <c r="G6" s="2" t="s">
        <v>3954</v>
      </c>
      <c r="H6" s="2" t="s">
        <v>3918</v>
      </c>
      <c r="I6" s="6">
        <v>44761</v>
      </c>
      <c r="J6" s="6">
        <v>44819</v>
      </c>
      <c r="M6" s="2" t="s">
        <v>3919</v>
      </c>
      <c r="N6" s="3">
        <v>1</v>
      </c>
      <c r="O6" s="3">
        <v>1</v>
      </c>
      <c r="P6" s="3">
        <v>1</v>
      </c>
      <c r="Q6" s="3">
        <v>0</v>
      </c>
      <c r="R6" s="5">
        <v>1</v>
      </c>
      <c r="S6" s="3">
        <v>15329.57</v>
      </c>
      <c r="T6" s="3">
        <v>15329.57</v>
      </c>
      <c r="U6" s="2" t="s">
        <v>32</v>
      </c>
      <c r="V6" s="2" t="s">
        <v>3955</v>
      </c>
      <c r="W6" s="2" t="s">
        <v>3956</v>
      </c>
      <c r="X6" s="2" t="s">
        <v>3957</v>
      </c>
      <c r="Y6" s="2" t="s">
        <v>3923</v>
      </c>
      <c r="Z6" s="6"/>
      <c r="AA6" s="4">
        <v>1</v>
      </c>
      <c r="AB6" s="4">
        <v>1</v>
      </c>
      <c r="AE6" s="2" t="s">
        <v>3924</v>
      </c>
      <c r="AF6" s="2" t="s">
        <v>3958</v>
      </c>
      <c r="AH6" s="2" t="s">
        <v>3959</v>
      </c>
      <c r="AJ6" s="2" t="s">
        <v>3960</v>
      </c>
      <c r="AK6" s="2" t="s">
        <v>3903</v>
      </c>
      <c r="AL6" s="5">
        <v>0</v>
      </c>
      <c r="AN6" s="3">
        <v>0</v>
      </c>
      <c r="AO6" s="5">
        <v>1</v>
      </c>
      <c r="AQ6" s="5">
        <v>0</v>
      </c>
      <c r="AR6" s="2" t="s">
        <v>3961</v>
      </c>
      <c r="AS6" s="2" t="s">
        <v>3904</v>
      </c>
      <c r="AV6" s="2" t="s">
        <v>3962</v>
      </c>
      <c r="AW6" s="2" t="s">
        <v>3906</v>
      </c>
      <c r="AX6" s="6">
        <v>44826</v>
      </c>
      <c r="AY6" s="2" t="s">
        <v>3963</v>
      </c>
      <c r="BA6" s="6"/>
      <c r="BB6" s="6">
        <v>44754</v>
      </c>
      <c r="BC6" s="6">
        <v>44819</v>
      </c>
      <c r="BD6" s="6"/>
      <c r="BE6" s="6"/>
      <c r="BF6" s="6">
        <v>44777</v>
      </c>
      <c r="BG6" s="6"/>
      <c r="BH6" s="2" t="s">
        <v>3964</v>
      </c>
      <c r="BJ6" s="3">
        <v>15329.57</v>
      </c>
      <c r="BK6" s="3">
        <v>15329.57</v>
      </c>
      <c r="BN6" s="2" t="s">
        <v>3932</v>
      </c>
      <c r="BO6" s="2" t="s">
        <v>3908</v>
      </c>
      <c r="BP6" s="2" t="s">
        <v>32</v>
      </c>
      <c r="BR6" s="2" t="s">
        <v>32</v>
      </c>
      <c r="BS6" s="2" t="s">
        <v>32</v>
      </c>
      <c r="BT6" s="2" t="s">
        <v>3965</v>
      </c>
      <c r="BZ6" s="4">
        <v>15</v>
      </c>
      <c r="CA6" s="3">
        <v>1</v>
      </c>
      <c r="CB6" s="3">
        <v>15329.57</v>
      </c>
      <c r="CD6" s="2" t="s">
        <v>3966</v>
      </c>
      <c r="CH6" s="5">
        <v>0</v>
      </c>
      <c r="CI6" s="2" t="s">
        <v>3967</v>
      </c>
      <c r="CK6" s="2" t="s">
        <v>3936</v>
      </c>
      <c r="CL6" s="4">
        <v>8</v>
      </c>
      <c r="CM6" s="2" t="s">
        <v>3968</v>
      </c>
      <c r="CQ6" s="2" t="s">
        <v>3937</v>
      </c>
      <c r="CR6" s="2" t="s">
        <v>3937</v>
      </c>
      <c r="CS6" s="2" t="s">
        <v>3937</v>
      </c>
      <c r="CT6" s="2" t="s">
        <v>3937</v>
      </c>
      <c r="CU6" s="2" t="s">
        <v>3937</v>
      </c>
      <c r="CV6" s="2" t="s">
        <v>3937</v>
      </c>
      <c r="CW6" s="2" t="s">
        <v>3937</v>
      </c>
      <c r="CX6" s="3">
        <v>0</v>
      </c>
      <c r="CZ6" s="3">
        <v>0</v>
      </c>
      <c r="DA6" s="2" t="s">
        <v>3911</v>
      </c>
      <c r="DB6" s="3">
        <v>15329.57</v>
      </c>
      <c r="DC6" s="3">
        <v>15329.57</v>
      </c>
      <c r="DD6" s="3">
        <v>0</v>
      </c>
      <c r="DE6" s="3">
        <v>15329.57</v>
      </c>
      <c r="DF6" s="2" t="s">
        <v>3969</v>
      </c>
      <c r="DG6" s="2" t="s">
        <v>3970</v>
      </c>
    </row>
    <row r="7" spans="1:111" x14ac:dyDescent="0.2">
      <c r="A7" s="8" t="s">
        <v>3971</v>
      </c>
      <c r="B7" s="2" t="s">
        <v>3972</v>
      </c>
      <c r="C7" s="6">
        <v>44753</v>
      </c>
      <c r="D7" s="2" t="s">
        <v>3973</v>
      </c>
      <c r="E7" s="2" t="s">
        <v>283</v>
      </c>
      <c r="G7" s="2" t="s">
        <v>3974</v>
      </c>
      <c r="H7" s="2" t="s">
        <v>3918</v>
      </c>
      <c r="I7" s="6">
        <v>44755</v>
      </c>
      <c r="J7" s="6">
        <v>44959</v>
      </c>
      <c r="M7" s="2" t="s">
        <v>3919</v>
      </c>
      <c r="N7" s="3">
        <v>1</v>
      </c>
      <c r="O7" s="3">
        <v>1</v>
      </c>
      <c r="P7" s="3">
        <v>0</v>
      </c>
      <c r="Q7" s="3">
        <v>1</v>
      </c>
      <c r="R7" s="5">
        <v>0</v>
      </c>
      <c r="S7" s="3">
        <v>21270</v>
      </c>
      <c r="T7" s="3">
        <v>21270</v>
      </c>
      <c r="U7" s="2" t="s">
        <v>39</v>
      </c>
      <c r="V7" s="2" t="s">
        <v>3975</v>
      </c>
      <c r="W7" s="2" t="s">
        <v>3976</v>
      </c>
      <c r="X7" s="2" t="s">
        <v>3957</v>
      </c>
      <c r="Y7" s="2" t="s">
        <v>3923</v>
      </c>
      <c r="Z7" s="6"/>
      <c r="AA7" s="4">
        <v>1</v>
      </c>
      <c r="AB7" s="4">
        <v>1</v>
      </c>
      <c r="AE7" s="2" t="s">
        <v>3924</v>
      </c>
      <c r="AF7" s="2" t="s">
        <v>3958</v>
      </c>
      <c r="AH7" s="2" t="s">
        <v>3959</v>
      </c>
      <c r="AJ7" s="2" t="s">
        <v>3927</v>
      </c>
      <c r="AK7" s="2" t="s">
        <v>3903</v>
      </c>
      <c r="AL7" s="5">
        <v>0</v>
      </c>
      <c r="AN7" s="3">
        <v>0</v>
      </c>
      <c r="AO7" s="5">
        <v>1</v>
      </c>
      <c r="AQ7" s="5">
        <v>0</v>
      </c>
      <c r="AR7" s="2" t="s">
        <v>205</v>
      </c>
      <c r="AS7" s="2" t="s">
        <v>3904</v>
      </c>
      <c r="AV7" s="2" t="s">
        <v>3962</v>
      </c>
      <c r="AW7" s="2" t="s">
        <v>3906</v>
      </c>
      <c r="AX7" s="6">
        <v>44826</v>
      </c>
      <c r="AY7" s="2" t="s">
        <v>3977</v>
      </c>
      <c r="BA7" s="6"/>
      <c r="BB7" s="6"/>
      <c r="BC7" s="6">
        <v>44959</v>
      </c>
      <c r="BD7" s="6"/>
      <c r="BE7" s="6"/>
      <c r="BF7" s="6"/>
      <c r="BG7" s="6"/>
      <c r="BH7" s="2" t="s">
        <v>3943</v>
      </c>
      <c r="BJ7" s="3">
        <v>41300</v>
      </c>
      <c r="BK7" s="3">
        <v>41300</v>
      </c>
      <c r="BN7" s="2" t="s">
        <v>3932</v>
      </c>
      <c r="BO7" s="2" t="s">
        <v>3908</v>
      </c>
      <c r="BP7" s="2" t="s">
        <v>39</v>
      </c>
      <c r="BR7" s="2" t="s">
        <v>39</v>
      </c>
      <c r="BS7" s="2" t="s">
        <v>39</v>
      </c>
      <c r="BT7" s="2" t="s">
        <v>3965</v>
      </c>
      <c r="BZ7" s="4">
        <v>142</v>
      </c>
      <c r="CA7" s="3">
        <v>1</v>
      </c>
      <c r="CB7" s="3">
        <v>21270</v>
      </c>
      <c r="CD7" s="2" t="s">
        <v>3978</v>
      </c>
      <c r="CH7" s="5">
        <v>0</v>
      </c>
      <c r="CI7" s="2" t="s">
        <v>3979</v>
      </c>
      <c r="CK7" s="2" t="s">
        <v>3936</v>
      </c>
      <c r="CL7" s="4">
        <v>8</v>
      </c>
      <c r="CM7" s="2" t="s">
        <v>3911</v>
      </c>
      <c r="CQ7" s="2" t="s">
        <v>3937</v>
      </c>
      <c r="CR7" s="2" t="s">
        <v>3937</v>
      </c>
      <c r="CS7" s="2" t="s">
        <v>3937</v>
      </c>
      <c r="CT7" s="2" t="s">
        <v>3937</v>
      </c>
      <c r="CU7" s="2" t="s">
        <v>3937</v>
      </c>
      <c r="CV7" s="2" t="s">
        <v>3937</v>
      </c>
      <c r="CW7" s="2" t="s">
        <v>3937</v>
      </c>
      <c r="CX7" s="3">
        <v>0</v>
      </c>
      <c r="CZ7" s="3">
        <v>0</v>
      </c>
      <c r="DA7" s="2" t="s">
        <v>3980</v>
      </c>
      <c r="DB7" s="3">
        <v>21270</v>
      </c>
      <c r="DC7" s="3">
        <v>0</v>
      </c>
      <c r="DD7" s="3">
        <v>21270</v>
      </c>
      <c r="DE7" s="3">
        <v>0</v>
      </c>
      <c r="DF7" s="2" t="s">
        <v>3969</v>
      </c>
      <c r="DG7" s="2" t="s">
        <v>3981</v>
      </c>
    </row>
    <row r="8" spans="1:111" x14ac:dyDescent="0.2">
      <c r="A8" s="8" t="s">
        <v>3982</v>
      </c>
      <c r="B8" s="2" t="s">
        <v>3983</v>
      </c>
      <c r="C8" s="6">
        <v>44753</v>
      </c>
      <c r="D8" s="2" t="s">
        <v>3973</v>
      </c>
      <c r="E8" s="2" t="s">
        <v>3304</v>
      </c>
      <c r="G8" s="2" t="s">
        <v>3974</v>
      </c>
      <c r="H8" s="2" t="s">
        <v>3908</v>
      </c>
      <c r="I8" s="6">
        <v>44755</v>
      </c>
      <c r="J8" s="6">
        <v>44959</v>
      </c>
      <c r="M8" s="2" t="s">
        <v>3919</v>
      </c>
      <c r="N8" s="3">
        <v>1</v>
      </c>
      <c r="O8" s="3">
        <v>1</v>
      </c>
      <c r="P8" s="3">
        <v>0</v>
      </c>
      <c r="Q8" s="3">
        <v>1</v>
      </c>
      <c r="R8" s="5">
        <v>0</v>
      </c>
      <c r="S8" s="3">
        <v>5330</v>
      </c>
      <c r="T8" s="3">
        <v>5330</v>
      </c>
      <c r="U8" s="2" t="s">
        <v>39</v>
      </c>
      <c r="V8" s="2" t="s">
        <v>3984</v>
      </c>
      <c r="W8" s="2" t="s">
        <v>3976</v>
      </c>
      <c r="X8" s="2" t="s">
        <v>3957</v>
      </c>
      <c r="Y8" s="2" t="s">
        <v>3923</v>
      </c>
      <c r="Z8" s="6"/>
      <c r="AA8" s="4">
        <v>1</v>
      </c>
      <c r="AB8" s="4">
        <v>1</v>
      </c>
      <c r="AE8" s="2" t="s">
        <v>3924</v>
      </c>
      <c r="AF8" s="2" t="s">
        <v>3958</v>
      </c>
      <c r="AH8" s="2" t="s">
        <v>3959</v>
      </c>
      <c r="AJ8" s="2" t="s">
        <v>3927</v>
      </c>
      <c r="AK8" s="2" t="s">
        <v>3903</v>
      </c>
      <c r="AL8" s="5">
        <v>0</v>
      </c>
      <c r="AN8" s="3">
        <v>0</v>
      </c>
      <c r="AO8" s="5">
        <v>1</v>
      </c>
      <c r="AQ8" s="5">
        <v>0</v>
      </c>
      <c r="AR8" s="2" t="s">
        <v>205</v>
      </c>
      <c r="AS8" s="2" t="s">
        <v>3904</v>
      </c>
      <c r="AV8" s="2" t="s">
        <v>3962</v>
      </c>
      <c r="AW8" s="2" t="s">
        <v>3906</v>
      </c>
      <c r="AX8" s="6">
        <v>44826</v>
      </c>
      <c r="AY8" s="2" t="s">
        <v>3977</v>
      </c>
      <c r="BA8" s="6"/>
      <c r="BB8" s="6">
        <v>44753</v>
      </c>
      <c r="BC8" s="6">
        <v>44959</v>
      </c>
      <c r="BD8" s="6"/>
      <c r="BE8" s="6"/>
      <c r="BF8" s="6">
        <v>44777</v>
      </c>
      <c r="BG8" s="6"/>
      <c r="BH8" s="2" t="s">
        <v>3943</v>
      </c>
      <c r="BJ8" s="3">
        <v>9980</v>
      </c>
      <c r="BK8" s="3">
        <v>9980</v>
      </c>
      <c r="BN8" s="2" t="s">
        <v>3932</v>
      </c>
      <c r="BO8" s="2" t="s">
        <v>3908</v>
      </c>
      <c r="BP8" s="2" t="s">
        <v>39</v>
      </c>
      <c r="BR8" s="2" t="s">
        <v>39</v>
      </c>
      <c r="BS8" s="2" t="s">
        <v>39</v>
      </c>
      <c r="BT8" s="2" t="s">
        <v>3965</v>
      </c>
      <c r="BZ8" s="4">
        <v>15</v>
      </c>
      <c r="CA8" s="3">
        <v>1</v>
      </c>
      <c r="CB8" s="3">
        <v>5330</v>
      </c>
      <c r="CD8" s="2" t="s">
        <v>3978</v>
      </c>
      <c r="CH8" s="5">
        <v>0</v>
      </c>
      <c r="CI8" s="2" t="s">
        <v>3979</v>
      </c>
      <c r="CK8" s="2" t="s">
        <v>3936</v>
      </c>
      <c r="CL8" s="4">
        <v>8</v>
      </c>
      <c r="CM8" s="2" t="s">
        <v>3911</v>
      </c>
      <c r="CQ8" s="2" t="s">
        <v>3937</v>
      </c>
      <c r="CR8" s="2" t="s">
        <v>3937</v>
      </c>
      <c r="CS8" s="2" t="s">
        <v>3937</v>
      </c>
      <c r="CT8" s="2" t="s">
        <v>3937</v>
      </c>
      <c r="CU8" s="2" t="s">
        <v>3937</v>
      </c>
      <c r="CV8" s="2" t="s">
        <v>3937</v>
      </c>
      <c r="CW8" s="2" t="s">
        <v>3937</v>
      </c>
      <c r="CX8" s="3">
        <v>0</v>
      </c>
      <c r="CZ8" s="3">
        <v>0</v>
      </c>
      <c r="DA8" s="2" t="s">
        <v>3985</v>
      </c>
      <c r="DB8" s="3">
        <v>5330</v>
      </c>
      <c r="DC8" s="3">
        <v>0</v>
      </c>
      <c r="DD8" s="3">
        <v>5330</v>
      </c>
      <c r="DE8" s="3">
        <v>0</v>
      </c>
      <c r="DF8" s="2" t="s">
        <v>3969</v>
      </c>
      <c r="DG8" s="2" t="s">
        <v>3981</v>
      </c>
    </row>
    <row r="9" spans="1:111" x14ac:dyDescent="0.2">
      <c r="A9" s="8" t="s">
        <v>3986</v>
      </c>
      <c r="B9" s="2" t="s">
        <v>3987</v>
      </c>
      <c r="C9" s="6">
        <v>44753</v>
      </c>
      <c r="D9" s="2" t="s">
        <v>3973</v>
      </c>
      <c r="E9" s="2" t="s">
        <v>3932</v>
      </c>
      <c r="G9" s="2" t="s">
        <v>3974</v>
      </c>
      <c r="H9" s="2" t="s">
        <v>3948</v>
      </c>
      <c r="I9" s="6">
        <v>44755</v>
      </c>
      <c r="J9" s="6">
        <v>44959</v>
      </c>
      <c r="M9" s="2" t="s">
        <v>3919</v>
      </c>
      <c r="N9" s="3">
        <v>2</v>
      </c>
      <c r="O9" s="3">
        <v>2</v>
      </c>
      <c r="P9" s="3">
        <v>0</v>
      </c>
      <c r="Q9" s="3">
        <v>2</v>
      </c>
      <c r="R9" s="5">
        <v>0</v>
      </c>
      <c r="S9" s="3">
        <v>3780</v>
      </c>
      <c r="T9" s="3">
        <v>7560</v>
      </c>
      <c r="U9" s="2" t="s">
        <v>39</v>
      </c>
      <c r="V9" s="2" t="s">
        <v>3988</v>
      </c>
      <c r="W9" s="2" t="s">
        <v>3976</v>
      </c>
      <c r="X9" s="2" t="s">
        <v>3957</v>
      </c>
      <c r="Y9" s="2" t="s">
        <v>3923</v>
      </c>
      <c r="Z9" s="6"/>
      <c r="AA9" s="4">
        <v>1</v>
      </c>
      <c r="AB9" s="4">
        <v>1</v>
      </c>
      <c r="AE9" s="2" t="s">
        <v>3924</v>
      </c>
      <c r="AF9" s="2" t="s">
        <v>3958</v>
      </c>
      <c r="AH9" s="2" t="s">
        <v>3959</v>
      </c>
      <c r="AJ9" s="2" t="s">
        <v>3927</v>
      </c>
      <c r="AK9" s="2" t="s">
        <v>3903</v>
      </c>
      <c r="AL9" s="5">
        <v>0</v>
      </c>
      <c r="AN9" s="3">
        <v>0</v>
      </c>
      <c r="AO9" s="5">
        <v>2</v>
      </c>
      <c r="AQ9" s="5">
        <v>0</v>
      </c>
      <c r="AR9" s="2" t="s">
        <v>205</v>
      </c>
      <c r="AS9" s="2" t="s">
        <v>3904</v>
      </c>
      <c r="AV9" s="2" t="s">
        <v>3962</v>
      </c>
      <c r="AW9" s="2" t="s">
        <v>3906</v>
      </c>
      <c r="AX9" s="6">
        <v>44826</v>
      </c>
      <c r="AY9" s="2" t="s">
        <v>3977</v>
      </c>
      <c r="BA9" s="6"/>
      <c r="BB9" s="6"/>
      <c r="BC9" s="6">
        <v>44959</v>
      </c>
      <c r="BD9" s="6"/>
      <c r="BE9" s="6"/>
      <c r="BF9" s="6"/>
      <c r="BG9" s="6"/>
      <c r="BH9" s="2" t="s">
        <v>3943</v>
      </c>
      <c r="BJ9" s="3">
        <v>20430</v>
      </c>
      <c r="BK9" s="3">
        <v>10215</v>
      </c>
      <c r="BN9" s="2" t="s">
        <v>3932</v>
      </c>
      <c r="BO9" s="2" t="s">
        <v>3908</v>
      </c>
      <c r="BP9" s="2" t="s">
        <v>39</v>
      </c>
      <c r="BR9" s="2" t="s">
        <v>39</v>
      </c>
      <c r="BS9" s="2" t="s">
        <v>39</v>
      </c>
      <c r="BT9" s="2" t="s">
        <v>3965</v>
      </c>
      <c r="BZ9" s="4">
        <v>15</v>
      </c>
      <c r="CA9" s="3">
        <v>2</v>
      </c>
      <c r="CB9" s="3">
        <v>7560</v>
      </c>
      <c r="CD9" s="2" t="s">
        <v>3978</v>
      </c>
      <c r="CH9" s="5">
        <v>0</v>
      </c>
      <c r="CI9" s="2" t="s">
        <v>3979</v>
      </c>
      <c r="CK9" s="2" t="s">
        <v>3936</v>
      </c>
      <c r="CL9" s="4">
        <v>8</v>
      </c>
      <c r="CM9" s="2" t="s">
        <v>3911</v>
      </c>
      <c r="CQ9" s="2" t="s">
        <v>3937</v>
      </c>
      <c r="CR9" s="2" t="s">
        <v>3937</v>
      </c>
      <c r="CS9" s="2" t="s">
        <v>3937</v>
      </c>
      <c r="CT9" s="2" t="s">
        <v>3937</v>
      </c>
      <c r="CU9" s="2" t="s">
        <v>3937</v>
      </c>
      <c r="CV9" s="2" t="s">
        <v>3937</v>
      </c>
      <c r="CW9" s="2" t="s">
        <v>3937</v>
      </c>
      <c r="CX9" s="3">
        <v>0</v>
      </c>
      <c r="CZ9" s="3">
        <v>0</v>
      </c>
      <c r="DA9" s="2" t="s">
        <v>3989</v>
      </c>
      <c r="DB9" s="3">
        <v>7560</v>
      </c>
      <c r="DC9" s="3">
        <v>0</v>
      </c>
      <c r="DD9" s="3">
        <v>7560</v>
      </c>
      <c r="DE9" s="3">
        <v>0</v>
      </c>
      <c r="DF9" s="2" t="s">
        <v>3969</v>
      </c>
      <c r="DG9" s="2" t="s">
        <v>3981</v>
      </c>
    </row>
    <row r="10" spans="1:111" x14ac:dyDescent="0.2">
      <c r="A10" s="8" t="s">
        <v>3990</v>
      </c>
      <c r="B10" s="2" t="s">
        <v>3991</v>
      </c>
      <c r="C10" s="6">
        <v>44753</v>
      </c>
      <c r="D10" s="2" t="s">
        <v>3973</v>
      </c>
      <c r="E10" s="2" t="s">
        <v>3947</v>
      </c>
      <c r="G10" s="2" t="s">
        <v>3974</v>
      </c>
      <c r="H10" s="2" t="s">
        <v>3992</v>
      </c>
      <c r="I10" s="6">
        <v>44755</v>
      </c>
      <c r="J10" s="6">
        <v>44959</v>
      </c>
      <c r="M10" s="2" t="s">
        <v>3919</v>
      </c>
      <c r="N10" s="3">
        <v>1</v>
      </c>
      <c r="O10" s="3">
        <v>1</v>
      </c>
      <c r="P10" s="3">
        <v>0</v>
      </c>
      <c r="Q10" s="3">
        <v>1</v>
      </c>
      <c r="R10" s="5">
        <v>0</v>
      </c>
      <c r="S10" s="3">
        <v>3695</v>
      </c>
      <c r="T10" s="3">
        <v>3695</v>
      </c>
      <c r="U10" s="2" t="s">
        <v>39</v>
      </c>
      <c r="V10" s="2" t="s">
        <v>3993</v>
      </c>
      <c r="W10" s="2" t="s">
        <v>3976</v>
      </c>
      <c r="X10" s="2" t="s">
        <v>3957</v>
      </c>
      <c r="Y10" s="2" t="s">
        <v>3923</v>
      </c>
      <c r="Z10" s="6"/>
      <c r="AA10" s="4">
        <v>1</v>
      </c>
      <c r="AB10" s="4">
        <v>1</v>
      </c>
      <c r="AE10" s="2" t="s">
        <v>3924</v>
      </c>
      <c r="AF10" s="2" t="s">
        <v>3958</v>
      </c>
      <c r="AH10" s="2" t="s">
        <v>3959</v>
      </c>
      <c r="AJ10" s="2" t="s">
        <v>3903</v>
      </c>
      <c r="AK10" s="2" t="s">
        <v>3903</v>
      </c>
      <c r="AL10" s="5">
        <v>0</v>
      </c>
      <c r="AN10" s="3">
        <v>0</v>
      </c>
      <c r="AO10" s="5">
        <v>1</v>
      </c>
      <c r="AQ10" s="5">
        <v>0</v>
      </c>
      <c r="AR10" s="2" t="s">
        <v>205</v>
      </c>
      <c r="AS10" s="2" t="s">
        <v>3904</v>
      </c>
      <c r="AV10" s="2" t="s">
        <v>3962</v>
      </c>
      <c r="AW10" s="2" t="s">
        <v>3906</v>
      </c>
      <c r="AX10" s="6">
        <v>44826</v>
      </c>
      <c r="AY10" s="2" t="s">
        <v>3977</v>
      </c>
      <c r="BA10" s="6"/>
      <c r="BB10" s="6">
        <v>44753</v>
      </c>
      <c r="BC10" s="6">
        <v>44959</v>
      </c>
      <c r="BD10" s="6"/>
      <c r="BE10" s="6"/>
      <c r="BF10" s="6">
        <v>44777</v>
      </c>
      <c r="BG10" s="6"/>
      <c r="BH10" s="2" t="s">
        <v>3943</v>
      </c>
      <c r="BJ10" s="3">
        <v>7180</v>
      </c>
      <c r="BK10" s="3">
        <v>7180</v>
      </c>
      <c r="BN10" s="2" t="s">
        <v>3932</v>
      </c>
      <c r="BO10" s="2" t="s">
        <v>3908</v>
      </c>
      <c r="BP10" s="2" t="s">
        <v>39</v>
      </c>
      <c r="BR10" s="2" t="s">
        <v>39</v>
      </c>
      <c r="BS10" s="2" t="s">
        <v>39</v>
      </c>
      <c r="BT10" s="2" t="s">
        <v>3965</v>
      </c>
      <c r="BZ10" s="4">
        <v>15</v>
      </c>
      <c r="CA10" s="3">
        <v>1</v>
      </c>
      <c r="CB10" s="3">
        <v>3695</v>
      </c>
      <c r="CD10" s="2" t="s">
        <v>3978</v>
      </c>
      <c r="CH10" s="5">
        <v>0</v>
      </c>
      <c r="CI10" s="2" t="s">
        <v>3979</v>
      </c>
      <c r="CK10" s="2" t="s">
        <v>3936</v>
      </c>
      <c r="CL10" s="4">
        <v>8</v>
      </c>
      <c r="CM10" s="2" t="s">
        <v>3911</v>
      </c>
      <c r="CQ10" s="2" t="s">
        <v>3937</v>
      </c>
      <c r="CR10" s="2" t="s">
        <v>3937</v>
      </c>
      <c r="CS10" s="2" t="s">
        <v>3937</v>
      </c>
      <c r="CT10" s="2" t="s">
        <v>3937</v>
      </c>
      <c r="CU10" s="2" t="s">
        <v>3937</v>
      </c>
      <c r="CV10" s="2" t="s">
        <v>3937</v>
      </c>
      <c r="CW10" s="2" t="s">
        <v>3937</v>
      </c>
      <c r="CX10" s="3">
        <v>0</v>
      </c>
      <c r="CZ10" s="3">
        <v>0</v>
      </c>
      <c r="DA10" s="2" t="s">
        <v>3994</v>
      </c>
      <c r="DB10" s="3">
        <v>3695</v>
      </c>
      <c r="DC10" s="3">
        <v>0</v>
      </c>
      <c r="DD10" s="3">
        <v>3695</v>
      </c>
      <c r="DE10" s="3">
        <v>0</v>
      </c>
      <c r="DF10" s="2" t="s">
        <v>3969</v>
      </c>
      <c r="DG10" s="2" t="s">
        <v>3981</v>
      </c>
    </row>
    <row r="11" spans="1:111" x14ac:dyDescent="0.2">
      <c r="A11" s="8" t="s">
        <v>3995</v>
      </c>
      <c r="B11" s="2" t="s">
        <v>3996</v>
      </c>
      <c r="C11" s="6">
        <v>44753</v>
      </c>
      <c r="D11" s="2" t="s">
        <v>3973</v>
      </c>
      <c r="E11" s="2" t="s">
        <v>3997</v>
      </c>
      <c r="G11" s="2" t="s">
        <v>3974</v>
      </c>
      <c r="H11" s="2" t="s">
        <v>3998</v>
      </c>
      <c r="I11" s="6">
        <v>44755</v>
      </c>
      <c r="J11" s="6">
        <v>44959</v>
      </c>
      <c r="M11" s="2" t="s">
        <v>3919</v>
      </c>
      <c r="N11" s="3">
        <v>1</v>
      </c>
      <c r="O11" s="3">
        <v>1</v>
      </c>
      <c r="P11" s="3">
        <v>0</v>
      </c>
      <c r="Q11" s="3">
        <v>1</v>
      </c>
      <c r="R11" s="5">
        <v>0</v>
      </c>
      <c r="S11" s="3">
        <v>2755</v>
      </c>
      <c r="T11" s="3">
        <v>2755</v>
      </c>
      <c r="U11" s="2" t="s">
        <v>39</v>
      </c>
      <c r="V11" s="2" t="s">
        <v>3999</v>
      </c>
      <c r="W11" s="2" t="s">
        <v>3976</v>
      </c>
      <c r="X11" s="2" t="s">
        <v>3957</v>
      </c>
      <c r="Y11" s="2" t="s">
        <v>3923</v>
      </c>
      <c r="Z11" s="6"/>
      <c r="AA11" s="4">
        <v>1</v>
      </c>
      <c r="AB11" s="4">
        <v>1</v>
      </c>
      <c r="AE11" s="2" t="s">
        <v>3924</v>
      </c>
      <c r="AF11" s="2" t="s">
        <v>3958</v>
      </c>
      <c r="AH11" s="2" t="s">
        <v>3959</v>
      </c>
      <c r="AJ11" s="2" t="s">
        <v>3927</v>
      </c>
      <c r="AK11" s="2" t="s">
        <v>3903</v>
      </c>
      <c r="AL11" s="5">
        <v>0</v>
      </c>
      <c r="AN11" s="3">
        <v>0</v>
      </c>
      <c r="AO11" s="5">
        <v>1</v>
      </c>
      <c r="AQ11" s="5">
        <v>0</v>
      </c>
      <c r="AR11" s="2" t="s">
        <v>205</v>
      </c>
      <c r="AS11" s="2" t="s">
        <v>3904</v>
      </c>
      <c r="AV11" s="2" t="s">
        <v>3962</v>
      </c>
      <c r="AW11" s="2" t="s">
        <v>3906</v>
      </c>
      <c r="AX11" s="6">
        <v>44826</v>
      </c>
      <c r="AY11" s="2" t="s">
        <v>3977</v>
      </c>
      <c r="BA11" s="6"/>
      <c r="BB11" s="6">
        <v>44753</v>
      </c>
      <c r="BC11" s="6">
        <v>44959</v>
      </c>
      <c r="BD11" s="6"/>
      <c r="BE11" s="6"/>
      <c r="BF11" s="6">
        <v>44777</v>
      </c>
      <c r="BG11" s="6"/>
      <c r="BH11" s="2" t="s">
        <v>3943</v>
      </c>
      <c r="BJ11" s="3">
        <v>5350</v>
      </c>
      <c r="BK11" s="3">
        <v>5350</v>
      </c>
      <c r="BN11" s="2" t="s">
        <v>3932</v>
      </c>
      <c r="BO11" s="2" t="s">
        <v>3908</v>
      </c>
      <c r="BP11" s="2" t="s">
        <v>39</v>
      </c>
      <c r="BR11" s="2" t="s">
        <v>39</v>
      </c>
      <c r="BS11" s="2" t="s">
        <v>39</v>
      </c>
      <c r="BT11" s="2" t="s">
        <v>3965</v>
      </c>
      <c r="BZ11" s="4">
        <v>15</v>
      </c>
      <c r="CA11" s="3">
        <v>1</v>
      </c>
      <c r="CB11" s="3">
        <v>2755</v>
      </c>
      <c r="CD11" s="2" t="s">
        <v>3978</v>
      </c>
      <c r="CH11" s="5">
        <v>0</v>
      </c>
      <c r="CI11" s="2" t="s">
        <v>3979</v>
      </c>
      <c r="CK11" s="2" t="s">
        <v>3936</v>
      </c>
      <c r="CL11" s="4">
        <v>8</v>
      </c>
      <c r="CM11" s="2" t="s">
        <v>3911</v>
      </c>
      <c r="CQ11" s="2" t="s">
        <v>3937</v>
      </c>
      <c r="CR11" s="2" t="s">
        <v>3937</v>
      </c>
      <c r="CS11" s="2" t="s">
        <v>3937</v>
      </c>
      <c r="CT11" s="2" t="s">
        <v>3937</v>
      </c>
      <c r="CU11" s="2" t="s">
        <v>3937</v>
      </c>
      <c r="CV11" s="2" t="s">
        <v>3937</v>
      </c>
      <c r="CW11" s="2" t="s">
        <v>3937</v>
      </c>
      <c r="CX11" s="3">
        <v>0</v>
      </c>
      <c r="CZ11" s="3">
        <v>0</v>
      </c>
      <c r="DA11" s="2" t="s">
        <v>4000</v>
      </c>
      <c r="DB11" s="3">
        <v>2755</v>
      </c>
      <c r="DC11" s="3">
        <v>0</v>
      </c>
      <c r="DD11" s="3">
        <v>2755</v>
      </c>
      <c r="DE11" s="3">
        <v>0</v>
      </c>
      <c r="DF11" s="2" t="s">
        <v>3969</v>
      </c>
      <c r="DG11" s="2" t="s">
        <v>3981</v>
      </c>
    </row>
    <row r="12" spans="1:111" x14ac:dyDescent="0.2">
      <c r="A12" s="8" t="s">
        <v>4001</v>
      </c>
      <c r="B12" s="2" t="s">
        <v>4002</v>
      </c>
      <c r="C12" s="6">
        <v>44753</v>
      </c>
      <c r="D12" s="2" t="s">
        <v>3973</v>
      </c>
      <c r="E12" s="2" t="s">
        <v>4003</v>
      </c>
      <c r="G12" s="2" t="s">
        <v>3974</v>
      </c>
      <c r="H12" s="2" t="s">
        <v>4004</v>
      </c>
      <c r="I12" s="6">
        <v>44755</v>
      </c>
      <c r="J12" s="6">
        <v>44959</v>
      </c>
      <c r="M12" s="2" t="s">
        <v>3919</v>
      </c>
      <c r="N12" s="3">
        <v>1</v>
      </c>
      <c r="O12" s="3">
        <v>1</v>
      </c>
      <c r="P12" s="3">
        <v>0</v>
      </c>
      <c r="Q12" s="3">
        <v>1</v>
      </c>
      <c r="R12" s="5">
        <v>0</v>
      </c>
      <c r="S12" s="3">
        <v>4175</v>
      </c>
      <c r="T12" s="3">
        <v>4175</v>
      </c>
      <c r="U12" s="2" t="s">
        <v>39</v>
      </c>
      <c r="V12" s="2" t="s">
        <v>4005</v>
      </c>
      <c r="W12" s="2" t="s">
        <v>3976</v>
      </c>
      <c r="X12" s="2" t="s">
        <v>3957</v>
      </c>
      <c r="Y12" s="2" t="s">
        <v>3923</v>
      </c>
      <c r="Z12" s="6"/>
      <c r="AA12" s="4">
        <v>1</v>
      </c>
      <c r="AB12" s="4">
        <v>1</v>
      </c>
      <c r="AE12" s="2" t="s">
        <v>3924</v>
      </c>
      <c r="AF12" s="2" t="s">
        <v>3958</v>
      </c>
      <c r="AH12" s="2" t="s">
        <v>3959</v>
      </c>
      <c r="AJ12" s="2" t="s">
        <v>3927</v>
      </c>
      <c r="AK12" s="2" t="s">
        <v>3903</v>
      </c>
      <c r="AL12" s="5">
        <v>0</v>
      </c>
      <c r="AN12" s="3">
        <v>0</v>
      </c>
      <c r="AO12" s="5">
        <v>1</v>
      </c>
      <c r="AQ12" s="5">
        <v>0</v>
      </c>
      <c r="AR12" s="2" t="s">
        <v>205</v>
      </c>
      <c r="AS12" s="2" t="s">
        <v>3904</v>
      </c>
      <c r="AV12" s="2" t="s">
        <v>3962</v>
      </c>
      <c r="AW12" s="2" t="s">
        <v>3906</v>
      </c>
      <c r="AX12" s="6">
        <v>44826</v>
      </c>
      <c r="AY12" s="2" t="s">
        <v>3977</v>
      </c>
      <c r="BA12" s="6"/>
      <c r="BB12" s="6">
        <v>44753</v>
      </c>
      <c r="BC12" s="6">
        <v>44959</v>
      </c>
      <c r="BD12" s="6"/>
      <c r="BE12" s="6"/>
      <c r="BF12" s="6">
        <v>44777</v>
      </c>
      <c r="BG12" s="6"/>
      <c r="BH12" s="2" t="s">
        <v>3943</v>
      </c>
      <c r="BJ12" s="3">
        <v>8110</v>
      </c>
      <c r="BK12" s="3">
        <v>8110</v>
      </c>
      <c r="BN12" s="2" t="s">
        <v>3932</v>
      </c>
      <c r="BO12" s="2" t="s">
        <v>3908</v>
      </c>
      <c r="BP12" s="2" t="s">
        <v>39</v>
      </c>
      <c r="BR12" s="2" t="s">
        <v>39</v>
      </c>
      <c r="BS12" s="2" t="s">
        <v>39</v>
      </c>
      <c r="BT12" s="2" t="s">
        <v>3965</v>
      </c>
      <c r="BZ12" s="4">
        <v>15</v>
      </c>
      <c r="CA12" s="3">
        <v>1</v>
      </c>
      <c r="CB12" s="3">
        <v>4175</v>
      </c>
      <c r="CD12" s="2" t="s">
        <v>3978</v>
      </c>
      <c r="CH12" s="5">
        <v>0</v>
      </c>
      <c r="CI12" s="2" t="s">
        <v>3979</v>
      </c>
      <c r="CK12" s="2" t="s">
        <v>3936</v>
      </c>
      <c r="CL12" s="4">
        <v>8</v>
      </c>
      <c r="CM12" s="2" t="s">
        <v>3911</v>
      </c>
      <c r="CQ12" s="2" t="s">
        <v>3937</v>
      </c>
      <c r="CR12" s="2" t="s">
        <v>3937</v>
      </c>
      <c r="CS12" s="2" t="s">
        <v>3937</v>
      </c>
      <c r="CT12" s="2" t="s">
        <v>3937</v>
      </c>
      <c r="CU12" s="2" t="s">
        <v>3937</v>
      </c>
      <c r="CV12" s="2" t="s">
        <v>3937</v>
      </c>
      <c r="CW12" s="2" t="s">
        <v>3937</v>
      </c>
      <c r="CX12" s="3">
        <v>0</v>
      </c>
      <c r="CZ12" s="3">
        <v>0</v>
      </c>
      <c r="DA12" s="2" t="s">
        <v>4006</v>
      </c>
      <c r="DB12" s="3">
        <v>4175</v>
      </c>
      <c r="DC12" s="3">
        <v>0</v>
      </c>
      <c r="DD12" s="3">
        <v>4175</v>
      </c>
      <c r="DE12" s="3">
        <v>0</v>
      </c>
      <c r="DF12" s="2" t="s">
        <v>3969</v>
      </c>
      <c r="DG12" s="2" t="s">
        <v>3981</v>
      </c>
    </row>
    <row r="13" spans="1:111" x14ac:dyDescent="0.2">
      <c r="A13" s="8" t="s">
        <v>4007</v>
      </c>
      <c r="B13" s="2" t="s">
        <v>4008</v>
      </c>
      <c r="C13" s="6">
        <v>44753</v>
      </c>
      <c r="D13" s="2" t="s">
        <v>3973</v>
      </c>
      <c r="E13" s="2" t="s">
        <v>4009</v>
      </c>
      <c r="G13" s="2" t="s">
        <v>3974</v>
      </c>
      <c r="H13" s="2" t="s">
        <v>4010</v>
      </c>
      <c r="I13" s="6">
        <v>44755</v>
      </c>
      <c r="J13" s="6">
        <v>44959</v>
      </c>
      <c r="M13" s="2" t="s">
        <v>3919</v>
      </c>
      <c r="N13" s="3">
        <v>1</v>
      </c>
      <c r="O13" s="3">
        <v>1</v>
      </c>
      <c r="P13" s="3">
        <v>0</v>
      </c>
      <c r="Q13" s="3">
        <v>1</v>
      </c>
      <c r="R13" s="5">
        <v>0</v>
      </c>
      <c r="S13" s="3">
        <v>2490</v>
      </c>
      <c r="T13" s="3">
        <v>2490</v>
      </c>
      <c r="U13" s="2" t="s">
        <v>39</v>
      </c>
      <c r="V13" s="2" t="s">
        <v>4011</v>
      </c>
      <c r="W13" s="2" t="s">
        <v>3976</v>
      </c>
      <c r="X13" s="2" t="s">
        <v>3957</v>
      </c>
      <c r="Y13" s="2" t="s">
        <v>3923</v>
      </c>
      <c r="Z13" s="6"/>
      <c r="AA13" s="4">
        <v>1</v>
      </c>
      <c r="AB13" s="4">
        <v>1</v>
      </c>
      <c r="AE13" s="2" t="s">
        <v>3924</v>
      </c>
      <c r="AF13" s="2" t="s">
        <v>3958</v>
      </c>
      <c r="AH13" s="2" t="s">
        <v>3959</v>
      </c>
      <c r="AJ13" s="2" t="s">
        <v>3903</v>
      </c>
      <c r="AK13" s="2" t="s">
        <v>3903</v>
      </c>
      <c r="AL13" s="5">
        <v>0</v>
      </c>
      <c r="AN13" s="3">
        <v>0</v>
      </c>
      <c r="AO13" s="5">
        <v>1</v>
      </c>
      <c r="AQ13" s="5">
        <v>0</v>
      </c>
      <c r="AR13" s="2" t="s">
        <v>205</v>
      </c>
      <c r="AS13" s="2" t="s">
        <v>3904</v>
      </c>
      <c r="AV13" s="2" t="s">
        <v>3962</v>
      </c>
      <c r="AW13" s="2" t="s">
        <v>3906</v>
      </c>
      <c r="AX13" s="6">
        <v>44826</v>
      </c>
      <c r="AY13" s="2" t="s">
        <v>3977</v>
      </c>
      <c r="BA13" s="6"/>
      <c r="BB13" s="6">
        <v>44753</v>
      </c>
      <c r="BC13" s="6">
        <v>44959</v>
      </c>
      <c r="BD13" s="6"/>
      <c r="BE13" s="6"/>
      <c r="BF13" s="6">
        <v>44777</v>
      </c>
      <c r="BG13" s="6"/>
      <c r="BH13" s="2" t="s">
        <v>3943</v>
      </c>
      <c r="BJ13" s="3">
        <v>3830</v>
      </c>
      <c r="BK13" s="3">
        <v>3830</v>
      </c>
      <c r="BN13" s="2" t="s">
        <v>3932</v>
      </c>
      <c r="BO13" s="2" t="s">
        <v>3908</v>
      </c>
      <c r="BP13" s="2" t="s">
        <v>39</v>
      </c>
      <c r="BR13" s="2" t="s">
        <v>39</v>
      </c>
      <c r="BS13" s="2" t="s">
        <v>39</v>
      </c>
      <c r="BT13" s="2" t="s">
        <v>3965</v>
      </c>
      <c r="BZ13" s="4">
        <v>15</v>
      </c>
      <c r="CA13" s="3">
        <v>1</v>
      </c>
      <c r="CB13" s="3">
        <v>2490</v>
      </c>
      <c r="CD13" s="2" t="s">
        <v>3978</v>
      </c>
      <c r="CH13" s="5">
        <v>0</v>
      </c>
      <c r="CI13" s="2" t="s">
        <v>3979</v>
      </c>
      <c r="CK13" s="2" t="s">
        <v>3936</v>
      </c>
      <c r="CL13" s="4">
        <v>8</v>
      </c>
      <c r="CM13" s="2" t="s">
        <v>3911</v>
      </c>
      <c r="CQ13" s="2" t="s">
        <v>3937</v>
      </c>
      <c r="CR13" s="2" t="s">
        <v>3937</v>
      </c>
      <c r="CS13" s="2" t="s">
        <v>3937</v>
      </c>
      <c r="CT13" s="2" t="s">
        <v>3937</v>
      </c>
      <c r="CU13" s="2" t="s">
        <v>3937</v>
      </c>
      <c r="CV13" s="2" t="s">
        <v>3937</v>
      </c>
      <c r="CW13" s="2" t="s">
        <v>3937</v>
      </c>
      <c r="CX13" s="3">
        <v>0</v>
      </c>
      <c r="CZ13" s="3">
        <v>0</v>
      </c>
      <c r="DA13" s="2" t="s">
        <v>4012</v>
      </c>
      <c r="DB13" s="3">
        <v>2490</v>
      </c>
      <c r="DC13" s="3">
        <v>0</v>
      </c>
      <c r="DD13" s="3">
        <v>2490</v>
      </c>
      <c r="DE13" s="3">
        <v>0</v>
      </c>
      <c r="DF13" s="2" t="s">
        <v>3969</v>
      </c>
      <c r="DG13" s="2" t="s">
        <v>3981</v>
      </c>
    </row>
    <row r="14" spans="1:111" x14ac:dyDescent="0.2">
      <c r="A14" s="8" t="s">
        <v>4013</v>
      </c>
      <c r="B14" s="2" t="s">
        <v>4014</v>
      </c>
      <c r="C14" s="6">
        <v>44753</v>
      </c>
      <c r="D14" s="2" t="s">
        <v>3973</v>
      </c>
      <c r="E14" s="2" t="s">
        <v>4015</v>
      </c>
      <c r="G14" s="2" t="s">
        <v>3974</v>
      </c>
      <c r="H14" s="2" t="s">
        <v>4016</v>
      </c>
      <c r="I14" s="6">
        <v>44755</v>
      </c>
      <c r="J14" s="6">
        <v>44959</v>
      </c>
      <c r="M14" s="2" t="s">
        <v>3919</v>
      </c>
      <c r="N14" s="3">
        <v>1</v>
      </c>
      <c r="O14" s="3">
        <v>1</v>
      </c>
      <c r="P14" s="3">
        <v>0</v>
      </c>
      <c r="Q14" s="3">
        <v>1</v>
      </c>
      <c r="R14" s="5">
        <v>0</v>
      </c>
      <c r="S14" s="3">
        <v>4175</v>
      </c>
      <c r="T14" s="3">
        <v>4175</v>
      </c>
      <c r="U14" s="2" t="s">
        <v>39</v>
      </c>
      <c r="V14" s="2" t="s">
        <v>4017</v>
      </c>
      <c r="W14" s="2" t="s">
        <v>3976</v>
      </c>
      <c r="X14" s="2" t="s">
        <v>3957</v>
      </c>
      <c r="Y14" s="2" t="s">
        <v>3923</v>
      </c>
      <c r="Z14" s="6"/>
      <c r="AA14" s="4">
        <v>1</v>
      </c>
      <c r="AB14" s="4">
        <v>1</v>
      </c>
      <c r="AE14" s="2" t="s">
        <v>3924</v>
      </c>
      <c r="AF14" s="2" t="s">
        <v>3958</v>
      </c>
      <c r="AH14" s="2" t="s">
        <v>3959</v>
      </c>
      <c r="AJ14" s="2" t="s">
        <v>3903</v>
      </c>
      <c r="AK14" s="2" t="s">
        <v>3903</v>
      </c>
      <c r="AL14" s="5">
        <v>0</v>
      </c>
      <c r="AN14" s="3">
        <v>0</v>
      </c>
      <c r="AO14" s="5">
        <v>1</v>
      </c>
      <c r="AQ14" s="5">
        <v>0</v>
      </c>
      <c r="AR14" s="2" t="s">
        <v>205</v>
      </c>
      <c r="AS14" s="2" t="s">
        <v>3904</v>
      </c>
      <c r="AV14" s="2" t="s">
        <v>3962</v>
      </c>
      <c r="AW14" s="2" t="s">
        <v>3906</v>
      </c>
      <c r="AX14" s="6">
        <v>44826</v>
      </c>
      <c r="AY14" s="2" t="s">
        <v>3977</v>
      </c>
      <c r="BA14" s="6"/>
      <c r="BB14" s="6">
        <v>44753</v>
      </c>
      <c r="BC14" s="6">
        <v>44959</v>
      </c>
      <c r="BD14" s="6"/>
      <c r="BE14" s="6"/>
      <c r="BF14" s="6">
        <v>44777</v>
      </c>
      <c r="BG14" s="6"/>
      <c r="BH14" s="2" t="s">
        <v>3943</v>
      </c>
      <c r="BJ14" s="3">
        <v>8110</v>
      </c>
      <c r="BK14" s="3">
        <v>8110</v>
      </c>
      <c r="BN14" s="2" t="s">
        <v>3932</v>
      </c>
      <c r="BO14" s="2" t="s">
        <v>3908</v>
      </c>
      <c r="BP14" s="2" t="s">
        <v>39</v>
      </c>
      <c r="BR14" s="2" t="s">
        <v>39</v>
      </c>
      <c r="BS14" s="2" t="s">
        <v>39</v>
      </c>
      <c r="BT14" s="2" t="s">
        <v>3965</v>
      </c>
      <c r="BZ14" s="4">
        <v>15</v>
      </c>
      <c r="CA14" s="3">
        <v>1</v>
      </c>
      <c r="CB14" s="3">
        <v>4175</v>
      </c>
      <c r="CD14" s="2" t="s">
        <v>3978</v>
      </c>
      <c r="CH14" s="5">
        <v>0</v>
      </c>
      <c r="CI14" s="2" t="s">
        <v>3979</v>
      </c>
      <c r="CK14" s="2" t="s">
        <v>3936</v>
      </c>
      <c r="CL14" s="4">
        <v>8</v>
      </c>
      <c r="CM14" s="2" t="s">
        <v>3911</v>
      </c>
      <c r="CQ14" s="2" t="s">
        <v>3937</v>
      </c>
      <c r="CR14" s="2" t="s">
        <v>3937</v>
      </c>
      <c r="CS14" s="2" t="s">
        <v>3937</v>
      </c>
      <c r="CT14" s="2" t="s">
        <v>3937</v>
      </c>
      <c r="CU14" s="2" t="s">
        <v>3937</v>
      </c>
      <c r="CV14" s="2" t="s">
        <v>3937</v>
      </c>
      <c r="CW14" s="2" t="s">
        <v>3937</v>
      </c>
      <c r="CX14" s="3">
        <v>0</v>
      </c>
      <c r="CZ14" s="3">
        <v>0</v>
      </c>
      <c r="DA14" s="2" t="s">
        <v>4006</v>
      </c>
      <c r="DB14" s="3">
        <v>4175</v>
      </c>
      <c r="DC14" s="3">
        <v>0</v>
      </c>
      <c r="DD14" s="3">
        <v>4175</v>
      </c>
      <c r="DE14" s="3">
        <v>0</v>
      </c>
      <c r="DF14" s="2" t="s">
        <v>3969</v>
      </c>
      <c r="DG14" s="2" t="s">
        <v>3981</v>
      </c>
    </row>
    <row r="15" spans="1:111" x14ac:dyDescent="0.2">
      <c r="A15" s="8" t="s">
        <v>4018</v>
      </c>
      <c r="B15" s="2" t="s">
        <v>4019</v>
      </c>
      <c r="C15" s="6">
        <v>44753</v>
      </c>
      <c r="D15" s="2" t="s">
        <v>3973</v>
      </c>
      <c r="E15" s="2" t="s">
        <v>4020</v>
      </c>
      <c r="G15" s="2" t="s">
        <v>3974</v>
      </c>
      <c r="H15" s="2" t="s">
        <v>4021</v>
      </c>
      <c r="I15" s="6">
        <v>44755</v>
      </c>
      <c r="J15" s="6">
        <v>44959</v>
      </c>
      <c r="M15" s="2" t="s">
        <v>3919</v>
      </c>
      <c r="N15" s="3">
        <v>1</v>
      </c>
      <c r="O15" s="3">
        <v>1</v>
      </c>
      <c r="P15" s="3">
        <v>0</v>
      </c>
      <c r="Q15" s="3">
        <v>1</v>
      </c>
      <c r="R15" s="5">
        <v>0</v>
      </c>
      <c r="S15" s="3">
        <v>2565</v>
      </c>
      <c r="T15" s="3">
        <v>2565</v>
      </c>
      <c r="U15" s="2" t="s">
        <v>39</v>
      </c>
      <c r="V15" s="2" t="s">
        <v>4022</v>
      </c>
      <c r="W15" s="2" t="s">
        <v>3976</v>
      </c>
      <c r="X15" s="2" t="s">
        <v>3957</v>
      </c>
      <c r="Y15" s="2" t="s">
        <v>3923</v>
      </c>
      <c r="Z15" s="6"/>
      <c r="AA15" s="4">
        <v>1</v>
      </c>
      <c r="AB15" s="4">
        <v>1</v>
      </c>
      <c r="AE15" s="2" t="s">
        <v>3924</v>
      </c>
      <c r="AF15" s="2" t="s">
        <v>3958</v>
      </c>
      <c r="AH15" s="2" t="s">
        <v>3959</v>
      </c>
      <c r="AK15" s="2" t="s">
        <v>3903</v>
      </c>
      <c r="AL15" s="5">
        <v>0</v>
      </c>
      <c r="AN15" s="3">
        <v>0</v>
      </c>
      <c r="AO15" s="5">
        <v>1</v>
      </c>
      <c r="AQ15" s="5">
        <v>0</v>
      </c>
      <c r="AR15" s="2" t="s">
        <v>205</v>
      </c>
      <c r="AS15" s="2" t="s">
        <v>3904</v>
      </c>
      <c r="AV15" s="2" t="s">
        <v>3962</v>
      </c>
      <c r="AW15" s="2" t="s">
        <v>3906</v>
      </c>
      <c r="AX15" s="6">
        <v>44826</v>
      </c>
      <c r="AY15" s="2" t="s">
        <v>3977</v>
      </c>
      <c r="BA15" s="6"/>
      <c r="BB15" s="6"/>
      <c r="BC15" s="6">
        <v>44959</v>
      </c>
      <c r="BD15" s="6"/>
      <c r="BE15" s="6"/>
      <c r="BF15" s="6"/>
      <c r="BG15" s="6"/>
      <c r="BH15" s="2" t="s">
        <v>3943</v>
      </c>
      <c r="BJ15" s="3">
        <v>3830</v>
      </c>
      <c r="BK15" s="3">
        <v>3830</v>
      </c>
      <c r="BN15" s="2" t="s">
        <v>3932</v>
      </c>
      <c r="BO15" s="2" t="s">
        <v>3908</v>
      </c>
      <c r="BP15" s="2" t="s">
        <v>39</v>
      </c>
      <c r="BR15" s="2" t="s">
        <v>39</v>
      </c>
      <c r="BS15" s="2" t="s">
        <v>39</v>
      </c>
      <c r="BT15" s="2" t="s">
        <v>3965</v>
      </c>
      <c r="BZ15" s="4">
        <v>15</v>
      </c>
      <c r="CA15" s="3">
        <v>1</v>
      </c>
      <c r="CB15" s="3">
        <v>2565</v>
      </c>
      <c r="CD15" s="2" t="s">
        <v>3978</v>
      </c>
      <c r="CH15" s="5">
        <v>0</v>
      </c>
      <c r="CI15" s="2" t="s">
        <v>3979</v>
      </c>
      <c r="CK15" s="2" t="s">
        <v>3936</v>
      </c>
      <c r="CL15" s="4">
        <v>8</v>
      </c>
      <c r="CM15" s="2" t="s">
        <v>3911</v>
      </c>
      <c r="CQ15" s="2" t="s">
        <v>3937</v>
      </c>
      <c r="CR15" s="2" t="s">
        <v>3937</v>
      </c>
      <c r="CS15" s="2" t="s">
        <v>3937</v>
      </c>
      <c r="CT15" s="2" t="s">
        <v>3937</v>
      </c>
      <c r="CU15" s="2" t="s">
        <v>3937</v>
      </c>
      <c r="CV15" s="2" t="s">
        <v>3937</v>
      </c>
      <c r="CW15" s="2" t="s">
        <v>3937</v>
      </c>
      <c r="CX15" s="3">
        <v>0</v>
      </c>
      <c r="CZ15" s="3">
        <v>0</v>
      </c>
      <c r="DA15" s="2" t="s">
        <v>4023</v>
      </c>
      <c r="DB15" s="3">
        <v>2565</v>
      </c>
      <c r="DC15" s="3">
        <v>0</v>
      </c>
      <c r="DD15" s="3">
        <v>2565</v>
      </c>
      <c r="DE15" s="3">
        <v>0</v>
      </c>
      <c r="DF15" s="2" t="s">
        <v>3969</v>
      </c>
      <c r="DG15" s="2" t="s">
        <v>3981</v>
      </c>
    </row>
    <row r="16" spans="1:111" x14ac:dyDescent="0.2">
      <c r="A16" s="8" t="s">
        <v>4024</v>
      </c>
      <c r="B16" s="2" t="s">
        <v>4025</v>
      </c>
      <c r="C16" s="6">
        <v>44753</v>
      </c>
      <c r="D16" s="2" t="s">
        <v>3973</v>
      </c>
      <c r="E16" s="2" t="s">
        <v>3918</v>
      </c>
      <c r="G16" s="2" t="s">
        <v>3974</v>
      </c>
      <c r="H16" s="2" t="s">
        <v>4026</v>
      </c>
      <c r="I16" s="6">
        <v>44755</v>
      </c>
      <c r="J16" s="6">
        <v>44959</v>
      </c>
      <c r="M16" s="2" t="s">
        <v>3919</v>
      </c>
      <c r="N16" s="3">
        <v>1</v>
      </c>
      <c r="O16" s="3">
        <v>1</v>
      </c>
      <c r="P16" s="3">
        <v>0</v>
      </c>
      <c r="Q16" s="3">
        <v>1</v>
      </c>
      <c r="R16" s="5">
        <v>0</v>
      </c>
      <c r="S16" s="3">
        <v>2585</v>
      </c>
      <c r="T16" s="3">
        <v>2585</v>
      </c>
      <c r="U16" s="2" t="s">
        <v>39</v>
      </c>
      <c r="V16" s="2" t="s">
        <v>4027</v>
      </c>
      <c r="W16" s="2" t="s">
        <v>3976</v>
      </c>
      <c r="X16" s="2" t="s">
        <v>3957</v>
      </c>
      <c r="Y16" s="2" t="s">
        <v>3923</v>
      </c>
      <c r="Z16" s="6"/>
      <c r="AA16" s="4">
        <v>1</v>
      </c>
      <c r="AB16" s="4">
        <v>1</v>
      </c>
      <c r="AE16" s="2" t="s">
        <v>3924</v>
      </c>
      <c r="AF16" s="2" t="s">
        <v>3958</v>
      </c>
      <c r="AH16" s="2" t="s">
        <v>3959</v>
      </c>
      <c r="AJ16" s="2" t="s">
        <v>3927</v>
      </c>
      <c r="AK16" s="2" t="s">
        <v>3903</v>
      </c>
      <c r="AL16" s="5">
        <v>0</v>
      </c>
      <c r="AN16" s="3">
        <v>0</v>
      </c>
      <c r="AO16" s="5">
        <v>1</v>
      </c>
      <c r="AQ16" s="5">
        <v>0</v>
      </c>
      <c r="AR16" s="2" t="s">
        <v>205</v>
      </c>
      <c r="AS16" s="2" t="s">
        <v>3904</v>
      </c>
      <c r="AV16" s="2" t="s">
        <v>3962</v>
      </c>
      <c r="AW16" s="2" t="s">
        <v>3906</v>
      </c>
      <c r="AX16" s="6">
        <v>44826</v>
      </c>
      <c r="AY16" s="2" t="s">
        <v>3977</v>
      </c>
      <c r="BA16" s="6"/>
      <c r="BB16" s="6">
        <v>44753</v>
      </c>
      <c r="BC16" s="6">
        <v>44959</v>
      </c>
      <c r="BD16" s="6"/>
      <c r="BE16" s="6"/>
      <c r="BF16" s="6">
        <v>44777</v>
      </c>
      <c r="BG16" s="6"/>
      <c r="BH16" s="2" t="s">
        <v>3943</v>
      </c>
      <c r="BJ16" s="3">
        <v>5020</v>
      </c>
      <c r="BK16" s="3">
        <v>5020</v>
      </c>
      <c r="BN16" s="2" t="s">
        <v>3932</v>
      </c>
      <c r="BO16" s="2" t="s">
        <v>3908</v>
      </c>
      <c r="BP16" s="2" t="s">
        <v>39</v>
      </c>
      <c r="BR16" s="2" t="s">
        <v>39</v>
      </c>
      <c r="BS16" s="2" t="s">
        <v>39</v>
      </c>
      <c r="BT16" s="2" t="s">
        <v>3965</v>
      </c>
      <c r="BZ16" s="4">
        <v>15</v>
      </c>
      <c r="CA16" s="3">
        <v>1</v>
      </c>
      <c r="CB16" s="3">
        <v>2585</v>
      </c>
      <c r="CD16" s="2" t="s">
        <v>3978</v>
      </c>
      <c r="CH16" s="5">
        <v>0</v>
      </c>
      <c r="CI16" s="2" t="s">
        <v>3979</v>
      </c>
      <c r="CK16" s="2" t="s">
        <v>3936</v>
      </c>
      <c r="CL16" s="4">
        <v>8</v>
      </c>
      <c r="CM16" s="2" t="s">
        <v>3911</v>
      </c>
      <c r="CQ16" s="2" t="s">
        <v>3937</v>
      </c>
      <c r="CR16" s="2" t="s">
        <v>3937</v>
      </c>
      <c r="CS16" s="2" t="s">
        <v>3937</v>
      </c>
      <c r="CT16" s="2" t="s">
        <v>3937</v>
      </c>
      <c r="CU16" s="2" t="s">
        <v>3937</v>
      </c>
      <c r="CV16" s="2" t="s">
        <v>3937</v>
      </c>
      <c r="CW16" s="2" t="s">
        <v>3937</v>
      </c>
      <c r="CX16" s="3">
        <v>0</v>
      </c>
      <c r="CZ16" s="3">
        <v>0</v>
      </c>
      <c r="DA16" s="2" t="s">
        <v>4028</v>
      </c>
      <c r="DB16" s="3">
        <v>2585</v>
      </c>
      <c r="DC16" s="3">
        <v>0</v>
      </c>
      <c r="DD16" s="3">
        <v>2585</v>
      </c>
      <c r="DE16" s="3">
        <v>0</v>
      </c>
      <c r="DF16" s="2" t="s">
        <v>3969</v>
      </c>
      <c r="DG16" s="2" t="s">
        <v>3981</v>
      </c>
    </row>
    <row r="17" spans="1:111" x14ac:dyDescent="0.2">
      <c r="A17" s="8" t="s">
        <v>4029</v>
      </c>
      <c r="B17" s="2" t="s">
        <v>4030</v>
      </c>
      <c r="C17" s="6">
        <v>44753</v>
      </c>
      <c r="D17" s="2" t="s">
        <v>3973</v>
      </c>
      <c r="E17" s="2" t="s">
        <v>4031</v>
      </c>
      <c r="G17" s="2" t="s">
        <v>3974</v>
      </c>
      <c r="H17" s="2" t="s">
        <v>4032</v>
      </c>
      <c r="I17" s="6">
        <v>44755</v>
      </c>
      <c r="J17" s="6">
        <v>44959</v>
      </c>
      <c r="M17" s="2" t="s">
        <v>3919</v>
      </c>
      <c r="N17" s="3">
        <v>1</v>
      </c>
      <c r="O17" s="3">
        <v>1</v>
      </c>
      <c r="P17" s="3">
        <v>0</v>
      </c>
      <c r="Q17" s="3">
        <v>1</v>
      </c>
      <c r="R17" s="5">
        <v>0</v>
      </c>
      <c r="S17" s="3">
        <v>4175</v>
      </c>
      <c r="T17" s="3">
        <v>4175</v>
      </c>
      <c r="U17" s="2" t="s">
        <v>39</v>
      </c>
      <c r="V17" s="2" t="s">
        <v>4033</v>
      </c>
      <c r="W17" s="2" t="s">
        <v>3976</v>
      </c>
      <c r="X17" s="2" t="s">
        <v>3957</v>
      </c>
      <c r="Y17" s="2" t="s">
        <v>3923</v>
      </c>
      <c r="Z17" s="6"/>
      <c r="AA17" s="4">
        <v>1</v>
      </c>
      <c r="AB17" s="4">
        <v>1</v>
      </c>
      <c r="AE17" s="2" t="s">
        <v>3924</v>
      </c>
      <c r="AF17" s="2" t="s">
        <v>3958</v>
      </c>
      <c r="AH17" s="2" t="s">
        <v>3959</v>
      </c>
      <c r="AJ17" s="2" t="s">
        <v>3903</v>
      </c>
      <c r="AK17" s="2" t="s">
        <v>3903</v>
      </c>
      <c r="AL17" s="5">
        <v>0</v>
      </c>
      <c r="AN17" s="3">
        <v>0</v>
      </c>
      <c r="AO17" s="5">
        <v>1</v>
      </c>
      <c r="AQ17" s="5">
        <v>0</v>
      </c>
      <c r="AR17" s="2" t="s">
        <v>205</v>
      </c>
      <c r="AS17" s="2" t="s">
        <v>3904</v>
      </c>
      <c r="AV17" s="2" t="s">
        <v>3962</v>
      </c>
      <c r="AW17" s="2" t="s">
        <v>3906</v>
      </c>
      <c r="AX17" s="6">
        <v>44826</v>
      </c>
      <c r="AY17" s="2" t="s">
        <v>3977</v>
      </c>
      <c r="BA17" s="6"/>
      <c r="BB17" s="6">
        <v>44753</v>
      </c>
      <c r="BC17" s="6">
        <v>44959</v>
      </c>
      <c r="BD17" s="6"/>
      <c r="BE17" s="6"/>
      <c r="BF17" s="6">
        <v>44777</v>
      </c>
      <c r="BG17" s="6"/>
      <c r="BH17" s="2" t="s">
        <v>3943</v>
      </c>
      <c r="BJ17" s="3">
        <v>8110</v>
      </c>
      <c r="BK17" s="3">
        <v>8110</v>
      </c>
      <c r="BN17" s="2" t="s">
        <v>3932</v>
      </c>
      <c r="BO17" s="2" t="s">
        <v>3908</v>
      </c>
      <c r="BP17" s="2" t="s">
        <v>39</v>
      </c>
      <c r="BR17" s="2" t="s">
        <v>39</v>
      </c>
      <c r="BS17" s="2" t="s">
        <v>39</v>
      </c>
      <c r="BT17" s="2" t="s">
        <v>3965</v>
      </c>
      <c r="BZ17" s="4">
        <v>15</v>
      </c>
      <c r="CA17" s="3">
        <v>1</v>
      </c>
      <c r="CB17" s="3">
        <v>4175</v>
      </c>
      <c r="CD17" s="2" t="s">
        <v>3978</v>
      </c>
      <c r="CH17" s="5">
        <v>0</v>
      </c>
      <c r="CI17" s="2" t="s">
        <v>3979</v>
      </c>
      <c r="CK17" s="2" t="s">
        <v>3936</v>
      </c>
      <c r="CL17" s="4">
        <v>8</v>
      </c>
      <c r="CM17" s="2" t="s">
        <v>3911</v>
      </c>
      <c r="CQ17" s="2" t="s">
        <v>3937</v>
      </c>
      <c r="CR17" s="2" t="s">
        <v>3937</v>
      </c>
      <c r="CS17" s="2" t="s">
        <v>3937</v>
      </c>
      <c r="CT17" s="2" t="s">
        <v>3937</v>
      </c>
      <c r="CU17" s="2" t="s">
        <v>3937</v>
      </c>
      <c r="CV17" s="2" t="s">
        <v>3937</v>
      </c>
      <c r="CW17" s="2" t="s">
        <v>3937</v>
      </c>
      <c r="CX17" s="3">
        <v>0</v>
      </c>
      <c r="CZ17" s="3">
        <v>0</v>
      </c>
      <c r="DA17" s="2" t="s">
        <v>4006</v>
      </c>
      <c r="DB17" s="3">
        <v>4175</v>
      </c>
      <c r="DC17" s="3">
        <v>0</v>
      </c>
      <c r="DD17" s="3">
        <v>4175</v>
      </c>
      <c r="DE17" s="3">
        <v>0</v>
      </c>
      <c r="DF17" s="2" t="s">
        <v>3969</v>
      </c>
      <c r="DG17" s="2" t="s">
        <v>3981</v>
      </c>
    </row>
    <row r="18" spans="1:111" x14ac:dyDescent="0.2">
      <c r="A18" s="8" t="s">
        <v>4034</v>
      </c>
      <c r="B18" s="2" t="s">
        <v>4035</v>
      </c>
      <c r="C18" s="6">
        <v>44753</v>
      </c>
      <c r="D18" s="2" t="s">
        <v>3973</v>
      </c>
      <c r="E18" s="2" t="s">
        <v>4036</v>
      </c>
      <c r="G18" s="2" t="s">
        <v>3974</v>
      </c>
      <c r="H18" s="2" t="s">
        <v>4037</v>
      </c>
      <c r="I18" s="6">
        <v>44755</v>
      </c>
      <c r="J18" s="6">
        <v>44959</v>
      </c>
      <c r="M18" s="2" t="s">
        <v>3919</v>
      </c>
      <c r="N18" s="3">
        <v>1</v>
      </c>
      <c r="O18" s="3">
        <v>1</v>
      </c>
      <c r="P18" s="3">
        <v>0</v>
      </c>
      <c r="Q18" s="3">
        <v>1</v>
      </c>
      <c r="R18" s="5">
        <v>0</v>
      </c>
      <c r="S18" s="3">
        <v>2565</v>
      </c>
      <c r="T18" s="3">
        <v>2565</v>
      </c>
      <c r="U18" s="2" t="s">
        <v>39</v>
      </c>
      <c r="V18" s="2" t="s">
        <v>4038</v>
      </c>
      <c r="W18" s="2" t="s">
        <v>3976</v>
      </c>
      <c r="X18" s="2" t="s">
        <v>3957</v>
      </c>
      <c r="Y18" s="2" t="s">
        <v>3923</v>
      </c>
      <c r="Z18" s="6"/>
      <c r="AA18" s="4">
        <v>1</v>
      </c>
      <c r="AB18" s="4">
        <v>1</v>
      </c>
      <c r="AE18" s="2" t="s">
        <v>3924</v>
      </c>
      <c r="AF18" s="2" t="s">
        <v>3958</v>
      </c>
      <c r="AH18" s="2" t="s">
        <v>3959</v>
      </c>
      <c r="AJ18" s="2" t="s">
        <v>3903</v>
      </c>
      <c r="AK18" s="2" t="s">
        <v>3903</v>
      </c>
      <c r="AL18" s="5">
        <v>0</v>
      </c>
      <c r="AN18" s="3">
        <v>0</v>
      </c>
      <c r="AO18" s="5">
        <v>1</v>
      </c>
      <c r="AQ18" s="5">
        <v>0</v>
      </c>
      <c r="AR18" s="2" t="s">
        <v>205</v>
      </c>
      <c r="AS18" s="2" t="s">
        <v>3904</v>
      </c>
      <c r="AV18" s="2" t="s">
        <v>3962</v>
      </c>
      <c r="AW18" s="2" t="s">
        <v>3906</v>
      </c>
      <c r="AX18" s="6">
        <v>44826</v>
      </c>
      <c r="AY18" s="2" t="s">
        <v>3977</v>
      </c>
      <c r="BA18" s="6"/>
      <c r="BB18" s="6">
        <v>44753</v>
      </c>
      <c r="BC18" s="6">
        <v>44959</v>
      </c>
      <c r="BD18" s="6"/>
      <c r="BE18" s="6"/>
      <c r="BF18" s="6">
        <v>44777</v>
      </c>
      <c r="BG18" s="6"/>
      <c r="BH18" s="2" t="s">
        <v>3931</v>
      </c>
      <c r="BJ18" s="3">
        <v>3980</v>
      </c>
      <c r="BK18" s="3">
        <v>3980</v>
      </c>
      <c r="BN18" s="2" t="s">
        <v>3932</v>
      </c>
      <c r="BO18" s="2" t="s">
        <v>3908</v>
      </c>
      <c r="BP18" s="2" t="s">
        <v>39</v>
      </c>
      <c r="BR18" s="2" t="s">
        <v>39</v>
      </c>
      <c r="BS18" s="2" t="s">
        <v>39</v>
      </c>
      <c r="BT18" s="2" t="s">
        <v>3965</v>
      </c>
      <c r="BZ18" s="4">
        <v>15</v>
      </c>
      <c r="CA18" s="3">
        <v>1</v>
      </c>
      <c r="CB18" s="3">
        <v>2565</v>
      </c>
      <c r="CD18" s="2" t="s">
        <v>3978</v>
      </c>
      <c r="CH18" s="5">
        <v>0</v>
      </c>
      <c r="CI18" s="2" t="s">
        <v>3979</v>
      </c>
      <c r="CK18" s="2" t="s">
        <v>3936</v>
      </c>
      <c r="CL18" s="4">
        <v>8</v>
      </c>
      <c r="CM18" s="2" t="s">
        <v>3911</v>
      </c>
      <c r="CQ18" s="2" t="s">
        <v>3937</v>
      </c>
      <c r="CR18" s="2" t="s">
        <v>3937</v>
      </c>
      <c r="CS18" s="2" t="s">
        <v>3937</v>
      </c>
      <c r="CT18" s="2" t="s">
        <v>3937</v>
      </c>
      <c r="CU18" s="2" t="s">
        <v>3937</v>
      </c>
      <c r="CV18" s="2" t="s">
        <v>3937</v>
      </c>
      <c r="CW18" s="2" t="s">
        <v>3937</v>
      </c>
      <c r="CX18" s="3">
        <v>0</v>
      </c>
      <c r="CZ18" s="3">
        <v>0</v>
      </c>
      <c r="DA18" s="2" t="s">
        <v>4023</v>
      </c>
      <c r="DB18" s="3">
        <v>2565</v>
      </c>
      <c r="DC18" s="3">
        <v>0</v>
      </c>
      <c r="DD18" s="3">
        <v>2565</v>
      </c>
      <c r="DE18" s="3">
        <v>0</v>
      </c>
      <c r="DF18" s="2" t="s">
        <v>3969</v>
      </c>
      <c r="DG18" s="2" t="s">
        <v>3981</v>
      </c>
    </row>
    <row r="19" spans="1:111" x14ac:dyDescent="0.2">
      <c r="A19" s="8" t="s">
        <v>4039</v>
      </c>
      <c r="B19" s="2" t="s">
        <v>4040</v>
      </c>
      <c r="C19" s="6">
        <v>44753</v>
      </c>
      <c r="D19" s="2" t="s">
        <v>3973</v>
      </c>
      <c r="E19" s="2" t="s">
        <v>4041</v>
      </c>
      <c r="G19" s="2" t="s">
        <v>3974</v>
      </c>
      <c r="H19" s="2" t="s">
        <v>4042</v>
      </c>
      <c r="I19" s="6">
        <v>44755</v>
      </c>
      <c r="J19" s="6">
        <v>44959</v>
      </c>
      <c r="M19" s="2" t="s">
        <v>3919</v>
      </c>
      <c r="N19" s="3">
        <v>1</v>
      </c>
      <c r="O19" s="3">
        <v>1</v>
      </c>
      <c r="P19" s="3">
        <v>0</v>
      </c>
      <c r="Q19" s="3">
        <v>1</v>
      </c>
      <c r="R19" s="5">
        <v>0</v>
      </c>
      <c r="S19" s="3">
        <v>2565</v>
      </c>
      <c r="T19" s="3">
        <v>2565</v>
      </c>
      <c r="U19" s="2" t="s">
        <v>39</v>
      </c>
      <c r="V19" s="2" t="s">
        <v>4043</v>
      </c>
      <c r="W19" s="2" t="s">
        <v>3976</v>
      </c>
      <c r="X19" s="2" t="s">
        <v>3957</v>
      </c>
      <c r="Y19" s="2" t="s">
        <v>3923</v>
      </c>
      <c r="Z19" s="6"/>
      <c r="AA19" s="4">
        <v>1</v>
      </c>
      <c r="AB19" s="4">
        <v>1</v>
      </c>
      <c r="AE19" s="2" t="s">
        <v>3924</v>
      </c>
      <c r="AF19" s="2" t="s">
        <v>3958</v>
      </c>
      <c r="AH19" s="2" t="s">
        <v>3959</v>
      </c>
      <c r="AJ19" s="2" t="s">
        <v>3927</v>
      </c>
      <c r="AK19" s="2" t="s">
        <v>3903</v>
      </c>
      <c r="AL19" s="5">
        <v>0</v>
      </c>
      <c r="AN19" s="3">
        <v>0</v>
      </c>
      <c r="AO19" s="5">
        <v>1</v>
      </c>
      <c r="AQ19" s="5">
        <v>0</v>
      </c>
      <c r="AR19" s="2" t="s">
        <v>205</v>
      </c>
      <c r="AS19" s="2" t="s">
        <v>3904</v>
      </c>
      <c r="AV19" s="2" t="s">
        <v>3962</v>
      </c>
      <c r="AW19" s="2" t="s">
        <v>3906</v>
      </c>
      <c r="AX19" s="6">
        <v>44826</v>
      </c>
      <c r="AY19" s="2" t="s">
        <v>3977</v>
      </c>
      <c r="BA19" s="6"/>
      <c r="BB19" s="6"/>
      <c r="BC19" s="6">
        <v>44959</v>
      </c>
      <c r="BD19" s="6"/>
      <c r="BE19" s="6"/>
      <c r="BF19" s="6"/>
      <c r="BG19" s="6"/>
      <c r="BH19" s="2" t="s">
        <v>3943</v>
      </c>
      <c r="BJ19" s="3">
        <v>3980</v>
      </c>
      <c r="BK19" s="3">
        <v>3980</v>
      </c>
      <c r="BN19" s="2" t="s">
        <v>3932</v>
      </c>
      <c r="BO19" s="2" t="s">
        <v>3908</v>
      </c>
      <c r="BP19" s="2" t="s">
        <v>39</v>
      </c>
      <c r="BR19" s="2" t="s">
        <v>39</v>
      </c>
      <c r="BS19" s="2" t="s">
        <v>39</v>
      </c>
      <c r="BT19" s="2" t="s">
        <v>3965</v>
      </c>
      <c r="BZ19" s="4">
        <v>15</v>
      </c>
      <c r="CA19" s="3">
        <v>1</v>
      </c>
      <c r="CB19" s="3">
        <v>2565</v>
      </c>
      <c r="CD19" s="2" t="s">
        <v>3978</v>
      </c>
      <c r="CH19" s="5">
        <v>0</v>
      </c>
      <c r="CI19" s="2" t="s">
        <v>3979</v>
      </c>
      <c r="CK19" s="2" t="s">
        <v>3936</v>
      </c>
      <c r="CL19" s="4">
        <v>8</v>
      </c>
      <c r="CM19" s="2" t="s">
        <v>3911</v>
      </c>
      <c r="CQ19" s="2" t="s">
        <v>3937</v>
      </c>
      <c r="CR19" s="2" t="s">
        <v>3937</v>
      </c>
      <c r="CS19" s="2" t="s">
        <v>3937</v>
      </c>
      <c r="CT19" s="2" t="s">
        <v>3937</v>
      </c>
      <c r="CU19" s="2" t="s">
        <v>3937</v>
      </c>
      <c r="CV19" s="2" t="s">
        <v>3937</v>
      </c>
      <c r="CW19" s="2" t="s">
        <v>3937</v>
      </c>
      <c r="CX19" s="3">
        <v>0</v>
      </c>
      <c r="CZ19" s="3">
        <v>0</v>
      </c>
      <c r="DA19" s="2" t="s">
        <v>4023</v>
      </c>
      <c r="DB19" s="3">
        <v>2565</v>
      </c>
      <c r="DC19" s="3">
        <v>0</v>
      </c>
      <c r="DD19" s="3">
        <v>2565</v>
      </c>
      <c r="DE19" s="3">
        <v>0</v>
      </c>
      <c r="DF19" s="2" t="s">
        <v>3969</v>
      </c>
      <c r="DG19" s="2" t="s">
        <v>3981</v>
      </c>
    </row>
    <row r="20" spans="1:111" x14ac:dyDescent="0.2">
      <c r="A20" s="8" t="s">
        <v>4044</v>
      </c>
      <c r="B20" s="2" t="s">
        <v>4045</v>
      </c>
      <c r="C20" s="6">
        <v>44753</v>
      </c>
      <c r="D20" s="2" t="s">
        <v>3973</v>
      </c>
      <c r="E20" s="2" t="s">
        <v>4046</v>
      </c>
      <c r="G20" s="2" t="s">
        <v>3974</v>
      </c>
      <c r="H20" s="2" t="s">
        <v>4047</v>
      </c>
      <c r="I20" s="6">
        <v>44755</v>
      </c>
      <c r="J20" s="6">
        <v>44959</v>
      </c>
      <c r="M20" s="2" t="s">
        <v>3919</v>
      </c>
      <c r="N20" s="3">
        <v>2</v>
      </c>
      <c r="O20" s="3">
        <v>2</v>
      </c>
      <c r="P20" s="3">
        <v>0</v>
      </c>
      <c r="Q20" s="3">
        <v>2</v>
      </c>
      <c r="R20" s="5">
        <v>0</v>
      </c>
      <c r="S20" s="3">
        <v>1875</v>
      </c>
      <c r="T20" s="3">
        <v>3750</v>
      </c>
      <c r="U20" s="2" t="s">
        <v>39</v>
      </c>
      <c r="V20" s="2" t="s">
        <v>4048</v>
      </c>
      <c r="W20" s="2" t="s">
        <v>3976</v>
      </c>
      <c r="X20" s="2" t="s">
        <v>3957</v>
      </c>
      <c r="Y20" s="2" t="s">
        <v>3923</v>
      </c>
      <c r="Z20" s="6"/>
      <c r="AA20" s="4">
        <v>1</v>
      </c>
      <c r="AB20" s="4">
        <v>1</v>
      </c>
      <c r="AE20" s="2" t="s">
        <v>3924</v>
      </c>
      <c r="AF20" s="2" t="s">
        <v>3958</v>
      </c>
      <c r="AH20" s="2" t="s">
        <v>3959</v>
      </c>
      <c r="AJ20" s="2" t="s">
        <v>3927</v>
      </c>
      <c r="AK20" s="2" t="s">
        <v>3903</v>
      </c>
      <c r="AL20" s="5">
        <v>0</v>
      </c>
      <c r="AN20" s="3">
        <v>0</v>
      </c>
      <c r="AO20" s="5">
        <v>2</v>
      </c>
      <c r="AQ20" s="5">
        <v>0</v>
      </c>
      <c r="AR20" s="2" t="s">
        <v>205</v>
      </c>
      <c r="AS20" s="2" t="s">
        <v>3904</v>
      </c>
      <c r="AV20" s="2" t="s">
        <v>3962</v>
      </c>
      <c r="AW20" s="2" t="s">
        <v>3906</v>
      </c>
      <c r="AX20" s="6">
        <v>44826</v>
      </c>
      <c r="AY20" s="2" t="s">
        <v>3977</v>
      </c>
      <c r="BA20" s="6"/>
      <c r="BB20" s="6"/>
      <c r="BC20" s="6">
        <v>44959</v>
      </c>
      <c r="BD20" s="6"/>
      <c r="BE20" s="6"/>
      <c r="BF20" s="6"/>
      <c r="BG20" s="6"/>
      <c r="BH20" s="2" t="s">
        <v>3931</v>
      </c>
      <c r="BJ20" s="3">
        <v>2510</v>
      </c>
      <c r="BK20" s="3">
        <v>1255</v>
      </c>
      <c r="BN20" s="2" t="s">
        <v>3932</v>
      </c>
      <c r="BO20" s="2" t="s">
        <v>3908</v>
      </c>
      <c r="BP20" s="2" t="s">
        <v>39</v>
      </c>
      <c r="BR20" s="2" t="s">
        <v>39</v>
      </c>
      <c r="BS20" s="2" t="s">
        <v>39</v>
      </c>
      <c r="BT20" s="2" t="s">
        <v>3965</v>
      </c>
      <c r="BZ20" s="4">
        <v>204</v>
      </c>
      <c r="CA20" s="3">
        <v>2</v>
      </c>
      <c r="CB20" s="3">
        <v>3750</v>
      </c>
      <c r="CD20" s="2" t="s">
        <v>3978</v>
      </c>
      <c r="CH20" s="5">
        <v>0</v>
      </c>
      <c r="CI20" s="2" t="s">
        <v>3979</v>
      </c>
      <c r="CK20" s="2" t="s">
        <v>3936</v>
      </c>
      <c r="CL20" s="4">
        <v>8</v>
      </c>
      <c r="CM20" s="2" t="s">
        <v>3911</v>
      </c>
      <c r="CQ20" s="2" t="s">
        <v>3937</v>
      </c>
      <c r="CR20" s="2" t="s">
        <v>3937</v>
      </c>
      <c r="CS20" s="2" t="s">
        <v>3937</v>
      </c>
      <c r="CT20" s="2" t="s">
        <v>3937</v>
      </c>
      <c r="CU20" s="2" t="s">
        <v>3937</v>
      </c>
      <c r="CV20" s="2" t="s">
        <v>3937</v>
      </c>
      <c r="CW20" s="2" t="s">
        <v>3937</v>
      </c>
      <c r="CX20" s="3">
        <v>0</v>
      </c>
      <c r="CZ20" s="3">
        <v>0</v>
      </c>
      <c r="DA20" s="2" t="s">
        <v>4049</v>
      </c>
      <c r="DB20" s="3">
        <v>3750</v>
      </c>
      <c r="DC20" s="3">
        <v>0</v>
      </c>
      <c r="DD20" s="3">
        <v>3750</v>
      </c>
      <c r="DE20" s="3">
        <v>0</v>
      </c>
      <c r="DF20" s="2" t="s">
        <v>3969</v>
      </c>
      <c r="DG20" s="2" t="s">
        <v>3981</v>
      </c>
    </row>
    <row r="21" spans="1:111" x14ac:dyDescent="0.2">
      <c r="A21" s="8" t="s">
        <v>4050</v>
      </c>
      <c r="B21" s="2" t="s">
        <v>4051</v>
      </c>
      <c r="C21" s="6">
        <v>44750</v>
      </c>
      <c r="D21" s="2" t="s">
        <v>4052</v>
      </c>
      <c r="E21" s="2" t="s">
        <v>283</v>
      </c>
      <c r="G21" s="2" t="s">
        <v>4053</v>
      </c>
      <c r="H21" s="2" t="s">
        <v>3918</v>
      </c>
      <c r="I21" s="6">
        <v>44755</v>
      </c>
      <c r="J21" s="6">
        <v>44772</v>
      </c>
      <c r="M21" s="2" t="s">
        <v>4054</v>
      </c>
      <c r="N21" s="3">
        <v>2</v>
      </c>
      <c r="O21" s="3">
        <v>2</v>
      </c>
      <c r="P21" s="3">
        <v>0</v>
      </c>
      <c r="Q21" s="3">
        <v>2</v>
      </c>
      <c r="R21" s="5">
        <v>0</v>
      </c>
      <c r="S21" s="3">
        <v>8659</v>
      </c>
      <c r="T21" s="3">
        <v>17318</v>
      </c>
      <c r="U21" s="2" t="s">
        <v>39</v>
      </c>
      <c r="V21" s="2" t="s">
        <v>4055</v>
      </c>
      <c r="W21" s="2" t="s">
        <v>4056</v>
      </c>
      <c r="X21" s="2" t="s">
        <v>3957</v>
      </c>
      <c r="Y21" s="2" t="s">
        <v>3923</v>
      </c>
      <c r="Z21" s="6"/>
      <c r="AA21" s="4">
        <v>1</v>
      </c>
      <c r="AB21" s="4">
        <v>1</v>
      </c>
      <c r="AE21" s="2" t="s">
        <v>3924</v>
      </c>
      <c r="AF21" s="2" t="s">
        <v>3958</v>
      </c>
      <c r="AH21" s="2" t="s">
        <v>3959</v>
      </c>
      <c r="AJ21" s="2" t="s">
        <v>3903</v>
      </c>
      <c r="AK21" s="2" t="s">
        <v>3903</v>
      </c>
      <c r="AL21" s="5">
        <v>0</v>
      </c>
      <c r="AN21" s="3">
        <v>0</v>
      </c>
      <c r="AO21" s="5">
        <v>2</v>
      </c>
      <c r="AQ21" s="5">
        <v>0</v>
      </c>
      <c r="AR21" s="2" t="s">
        <v>4057</v>
      </c>
      <c r="AS21" s="2" t="s">
        <v>3904</v>
      </c>
      <c r="AV21" s="2" t="s">
        <v>3962</v>
      </c>
      <c r="AW21" s="2" t="s">
        <v>3906</v>
      </c>
      <c r="AX21" s="6">
        <v>44820</v>
      </c>
      <c r="AY21" s="2" t="s">
        <v>4058</v>
      </c>
      <c r="BA21" s="6"/>
      <c r="BB21" s="6">
        <v>44753</v>
      </c>
      <c r="BC21" s="6">
        <v>44772</v>
      </c>
      <c r="BD21" s="6"/>
      <c r="BE21" s="6"/>
      <c r="BF21" s="6">
        <v>44760</v>
      </c>
      <c r="BG21" s="6"/>
      <c r="BH21" s="2" t="s">
        <v>3943</v>
      </c>
      <c r="BJ21" s="3">
        <v>17318</v>
      </c>
      <c r="BK21" s="3">
        <v>8659</v>
      </c>
      <c r="BN21" s="2" t="s">
        <v>2705</v>
      </c>
      <c r="BO21" s="2" t="s">
        <v>3908</v>
      </c>
      <c r="BP21" s="2" t="s">
        <v>39</v>
      </c>
      <c r="BR21" s="2" t="s">
        <v>39</v>
      </c>
      <c r="BS21" s="2" t="s">
        <v>39</v>
      </c>
      <c r="BT21" s="2" t="s">
        <v>3965</v>
      </c>
      <c r="BZ21" s="4">
        <v>28</v>
      </c>
      <c r="CA21" s="3">
        <v>2</v>
      </c>
      <c r="CB21" s="3">
        <v>17318</v>
      </c>
      <c r="CD21" s="2" t="s">
        <v>4059</v>
      </c>
      <c r="CH21" s="5">
        <v>0</v>
      </c>
      <c r="CI21" s="2" t="s">
        <v>3979</v>
      </c>
      <c r="CK21" s="2" t="s">
        <v>3936</v>
      </c>
      <c r="CL21" s="4">
        <v>8</v>
      </c>
      <c r="CM21" s="2" t="s">
        <v>3911</v>
      </c>
      <c r="CQ21" s="2" t="s">
        <v>3937</v>
      </c>
      <c r="CR21" s="2" t="s">
        <v>3937</v>
      </c>
      <c r="CS21" s="2" t="s">
        <v>3937</v>
      </c>
      <c r="CT21" s="2" t="s">
        <v>3937</v>
      </c>
      <c r="CU21" s="2" t="s">
        <v>3937</v>
      </c>
      <c r="CV21" s="2" t="s">
        <v>3937</v>
      </c>
      <c r="CW21" s="2" t="s">
        <v>3937</v>
      </c>
      <c r="CX21" s="3">
        <v>0</v>
      </c>
      <c r="CZ21" s="3">
        <v>0</v>
      </c>
      <c r="DA21" s="2" t="s">
        <v>4060</v>
      </c>
      <c r="DB21" s="3">
        <v>17318</v>
      </c>
      <c r="DC21" s="3">
        <v>0</v>
      </c>
      <c r="DD21" s="3">
        <v>17318</v>
      </c>
      <c r="DE21" s="3">
        <v>0</v>
      </c>
      <c r="DF21" s="2" t="s">
        <v>3969</v>
      </c>
      <c r="DG21" s="2" t="s">
        <v>3981</v>
      </c>
    </row>
    <row r="22" spans="1:111" x14ac:dyDescent="0.2">
      <c r="A22" s="8" t="s">
        <v>4061</v>
      </c>
      <c r="B22" s="2" t="s">
        <v>4062</v>
      </c>
      <c r="C22" s="6">
        <v>44750</v>
      </c>
      <c r="D22" s="2" t="s">
        <v>4052</v>
      </c>
      <c r="E22" s="2" t="s">
        <v>3304</v>
      </c>
      <c r="G22" s="2" t="s">
        <v>4053</v>
      </c>
      <c r="H22" s="2" t="s">
        <v>3908</v>
      </c>
      <c r="I22" s="6">
        <v>44755</v>
      </c>
      <c r="J22" s="6">
        <v>45019</v>
      </c>
      <c r="M22" s="2" t="s">
        <v>4054</v>
      </c>
      <c r="N22" s="3">
        <v>2</v>
      </c>
      <c r="O22" s="3">
        <v>2</v>
      </c>
      <c r="P22" s="3">
        <v>0</v>
      </c>
      <c r="Q22" s="3">
        <v>2</v>
      </c>
      <c r="R22" s="5">
        <v>0</v>
      </c>
      <c r="S22" s="3">
        <v>10970</v>
      </c>
      <c r="T22" s="3">
        <v>21940</v>
      </c>
      <c r="U22" s="2" t="s">
        <v>39</v>
      </c>
      <c r="V22" s="2" t="s">
        <v>4063</v>
      </c>
      <c r="W22" s="2" t="s">
        <v>4056</v>
      </c>
      <c r="X22" s="2" t="s">
        <v>3957</v>
      </c>
      <c r="Y22" s="2" t="s">
        <v>3923</v>
      </c>
      <c r="Z22" s="6"/>
      <c r="AA22" s="4">
        <v>1</v>
      </c>
      <c r="AB22" s="4">
        <v>1</v>
      </c>
      <c r="AE22" s="2" t="s">
        <v>3924</v>
      </c>
      <c r="AF22" s="2" t="s">
        <v>3958</v>
      </c>
      <c r="AH22" s="2" t="s">
        <v>3959</v>
      </c>
      <c r="AK22" s="2" t="s">
        <v>3903</v>
      </c>
      <c r="AL22" s="5">
        <v>0</v>
      </c>
      <c r="AN22" s="3">
        <v>0</v>
      </c>
      <c r="AO22" s="5">
        <v>2</v>
      </c>
      <c r="AQ22" s="5">
        <v>0</v>
      </c>
      <c r="AR22" s="2" t="s">
        <v>4064</v>
      </c>
      <c r="AS22" s="2" t="s">
        <v>3904</v>
      </c>
      <c r="AV22" s="2" t="s">
        <v>3962</v>
      </c>
      <c r="AW22" s="2" t="s">
        <v>3906</v>
      </c>
      <c r="AX22" s="6">
        <v>44820</v>
      </c>
      <c r="AY22" s="2" t="s">
        <v>4065</v>
      </c>
      <c r="BA22" s="6"/>
      <c r="BB22" s="6"/>
      <c r="BC22" s="6">
        <v>45019</v>
      </c>
      <c r="BD22" s="6"/>
      <c r="BE22" s="6"/>
      <c r="BF22" s="6"/>
      <c r="BG22" s="6"/>
      <c r="BH22" s="2" t="s">
        <v>3931</v>
      </c>
      <c r="BJ22" s="3">
        <v>21940</v>
      </c>
      <c r="BK22" s="3">
        <v>10970</v>
      </c>
      <c r="BN22" s="2" t="s">
        <v>2705</v>
      </c>
      <c r="BO22" s="2" t="s">
        <v>3908</v>
      </c>
      <c r="BP22" s="2" t="s">
        <v>39</v>
      </c>
      <c r="BR22" s="2" t="s">
        <v>39</v>
      </c>
      <c r="BS22" s="2" t="s">
        <v>39</v>
      </c>
      <c r="BT22" s="2" t="s">
        <v>3965</v>
      </c>
      <c r="BZ22" s="4">
        <v>25</v>
      </c>
      <c r="CA22" s="3">
        <v>2</v>
      </c>
      <c r="CB22" s="3">
        <v>21940</v>
      </c>
      <c r="CD22" s="2" t="s">
        <v>4059</v>
      </c>
      <c r="CH22" s="5">
        <v>0</v>
      </c>
      <c r="CI22" s="2" t="s">
        <v>3979</v>
      </c>
      <c r="CK22" s="2" t="s">
        <v>3936</v>
      </c>
      <c r="CL22" s="4">
        <v>8</v>
      </c>
      <c r="CM22" s="2" t="s">
        <v>3911</v>
      </c>
      <c r="CQ22" s="2" t="s">
        <v>3937</v>
      </c>
      <c r="CR22" s="2" t="s">
        <v>3937</v>
      </c>
      <c r="CS22" s="2" t="s">
        <v>3937</v>
      </c>
      <c r="CT22" s="2" t="s">
        <v>3937</v>
      </c>
      <c r="CU22" s="2" t="s">
        <v>3937</v>
      </c>
      <c r="CV22" s="2" t="s">
        <v>3937</v>
      </c>
      <c r="CW22" s="2" t="s">
        <v>3937</v>
      </c>
      <c r="CX22" s="3">
        <v>0</v>
      </c>
      <c r="CZ22" s="3">
        <v>0</v>
      </c>
      <c r="DA22" s="2" t="s">
        <v>4066</v>
      </c>
      <c r="DB22" s="3">
        <v>21940</v>
      </c>
      <c r="DC22" s="3">
        <v>0</v>
      </c>
      <c r="DD22" s="3">
        <v>21940</v>
      </c>
      <c r="DE22" s="3">
        <v>0</v>
      </c>
      <c r="DF22" s="2" t="s">
        <v>3969</v>
      </c>
      <c r="DG22" s="2" t="s">
        <v>3981</v>
      </c>
    </row>
    <row r="23" spans="1:111" x14ac:dyDescent="0.2">
      <c r="A23" s="8" t="s">
        <v>4067</v>
      </c>
      <c r="B23" s="2" t="s">
        <v>4068</v>
      </c>
      <c r="C23" s="6">
        <v>44750</v>
      </c>
      <c r="D23" s="2" t="s">
        <v>4052</v>
      </c>
      <c r="E23" s="2" t="s">
        <v>3932</v>
      </c>
      <c r="G23" s="2" t="s">
        <v>4053</v>
      </c>
      <c r="H23" s="2" t="s">
        <v>3948</v>
      </c>
      <c r="I23" s="6">
        <v>44755</v>
      </c>
      <c r="J23" s="6">
        <v>44772</v>
      </c>
      <c r="M23" s="2" t="s">
        <v>4054</v>
      </c>
      <c r="N23" s="3">
        <v>1</v>
      </c>
      <c r="O23" s="3">
        <v>1</v>
      </c>
      <c r="P23" s="3">
        <v>0</v>
      </c>
      <c r="Q23" s="3">
        <v>1</v>
      </c>
      <c r="R23" s="5">
        <v>0</v>
      </c>
      <c r="S23" s="3">
        <v>13147</v>
      </c>
      <c r="T23" s="3">
        <v>13147</v>
      </c>
      <c r="U23" s="2" t="s">
        <v>39</v>
      </c>
      <c r="V23" s="2" t="s">
        <v>4069</v>
      </c>
      <c r="W23" s="2" t="s">
        <v>4056</v>
      </c>
      <c r="X23" s="2" t="s">
        <v>3957</v>
      </c>
      <c r="Y23" s="2" t="s">
        <v>3923</v>
      </c>
      <c r="Z23" s="6"/>
      <c r="AA23" s="4">
        <v>1</v>
      </c>
      <c r="AB23" s="4">
        <v>1</v>
      </c>
      <c r="AE23" s="2" t="s">
        <v>3924</v>
      </c>
      <c r="AF23" s="2" t="s">
        <v>3958</v>
      </c>
      <c r="AH23" s="2" t="s">
        <v>3959</v>
      </c>
      <c r="AK23" s="2" t="s">
        <v>3903</v>
      </c>
      <c r="AL23" s="5">
        <v>0</v>
      </c>
      <c r="AN23" s="3">
        <v>0</v>
      </c>
      <c r="AO23" s="5">
        <v>1</v>
      </c>
      <c r="AQ23" s="5">
        <v>0</v>
      </c>
      <c r="AR23" s="2" t="s">
        <v>4070</v>
      </c>
      <c r="AS23" s="2" t="s">
        <v>3904</v>
      </c>
      <c r="AV23" s="2" t="s">
        <v>3962</v>
      </c>
      <c r="AW23" s="2" t="s">
        <v>3906</v>
      </c>
      <c r="AX23" s="6">
        <v>44820</v>
      </c>
      <c r="AY23" s="2" t="s">
        <v>4071</v>
      </c>
      <c r="BA23" s="6"/>
      <c r="BB23" s="6"/>
      <c r="BC23" s="6">
        <v>44772</v>
      </c>
      <c r="BD23" s="6"/>
      <c r="BE23" s="6"/>
      <c r="BF23" s="6"/>
      <c r="BG23" s="6"/>
      <c r="BH23" s="2" t="s">
        <v>3931</v>
      </c>
      <c r="BJ23" s="3">
        <v>13147</v>
      </c>
      <c r="BK23" s="3">
        <v>13147</v>
      </c>
      <c r="BN23" s="2" t="s">
        <v>2705</v>
      </c>
      <c r="BO23" s="2" t="s">
        <v>3908</v>
      </c>
      <c r="BP23" s="2" t="s">
        <v>39</v>
      </c>
      <c r="BR23" s="2" t="s">
        <v>39</v>
      </c>
      <c r="BS23" s="2" t="s">
        <v>39</v>
      </c>
      <c r="BT23" s="2" t="s">
        <v>3965</v>
      </c>
      <c r="BZ23" s="4">
        <v>40</v>
      </c>
      <c r="CA23" s="3">
        <v>1</v>
      </c>
      <c r="CB23" s="3">
        <v>13147</v>
      </c>
      <c r="CD23" s="2" t="s">
        <v>4059</v>
      </c>
      <c r="CH23" s="5">
        <v>0</v>
      </c>
      <c r="CI23" s="2" t="s">
        <v>3979</v>
      </c>
      <c r="CK23" s="2" t="s">
        <v>3936</v>
      </c>
      <c r="CL23" s="4">
        <v>8</v>
      </c>
      <c r="CM23" s="2" t="s">
        <v>3911</v>
      </c>
      <c r="CQ23" s="2" t="s">
        <v>3937</v>
      </c>
      <c r="CR23" s="2" t="s">
        <v>3937</v>
      </c>
      <c r="CS23" s="2" t="s">
        <v>3937</v>
      </c>
      <c r="CT23" s="2" t="s">
        <v>3937</v>
      </c>
      <c r="CU23" s="2" t="s">
        <v>3937</v>
      </c>
      <c r="CV23" s="2" t="s">
        <v>3937</v>
      </c>
      <c r="CW23" s="2" t="s">
        <v>3937</v>
      </c>
      <c r="CX23" s="3">
        <v>0</v>
      </c>
      <c r="CZ23" s="3">
        <v>0</v>
      </c>
      <c r="DA23" s="2" t="s">
        <v>4072</v>
      </c>
      <c r="DB23" s="3">
        <v>13147</v>
      </c>
      <c r="DC23" s="3">
        <v>0</v>
      </c>
      <c r="DD23" s="3">
        <v>13147</v>
      </c>
      <c r="DE23" s="3">
        <v>0</v>
      </c>
      <c r="DF23" s="2" t="s">
        <v>3969</v>
      </c>
      <c r="DG23" s="2" t="s">
        <v>3981</v>
      </c>
    </row>
    <row r="24" spans="1:111" x14ac:dyDescent="0.2">
      <c r="A24" s="8" t="s">
        <v>4073</v>
      </c>
      <c r="B24" s="2" t="s">
        <v>4074</v>
      </c>
      <c r="C24" s="6">
        <v>44750</v>
      </c>
      <c r="D24" s="2" t="s">
        <v>4052</v>
      </c>
      <c r="E24" s="2" t="s">
        <v>3947</v>
      </c>
      <c r="G24" s="2" t="s">
        <v>4053</v>
      </c>
      <c r="H24" s="2" t="s">
        <v>3992</v>
      </c>
      <c r="I24" s="6">
        <v>44755</v>
      </c>
      <c r="J24" s="6">
        <v>44790</v>
      </c>
      <c r="M24" s="2" t="s">
        <v>4054</v>
      </c>
      <c r="N24" s="3">
        <v>1</v>
      </c>
      <c r="O24" s="3">
        <v>1</v>
      </c>
      <c r="P24" s="3">
        <v>0</v>
      </c>
      <c r="Q24" s="3">
        <v>1</v>
      </c>
      <c r="R24" s="5">
        <v>0</v>
      </c>
      <c r="S24" s="3">
        <v>69459</v>
      </c>
      <c r="T24" s="3">
        <v>69459</v>
      </c>
      <c r="U24" s="2" t="s">
        <v>39</v>
      </c>
      <c r="V24" s="2" t="s">
        <v>4075</v>
      </c>
      <c r="W24" s="2" t="s">
        <v>4056</v>
      </c>
      <c r="X24" s="2" t="s">
        <v>3957</v>
      </c>
      <c r="Y24" s="2" t="s">
        <v>3923</v>
      </c>
      <c r="Z24" s="6"/>
      <c r="AA24" s="4">
        <v>1</v>
      </c>
      <c r="AB24" s="4">
        <v>1</v>
      </c>
      <c r="AE24" s="2" t="s">
        <v>3924</v>
      </c>
      <c r="AF24" s="2" t="s">
        <v>3958</v>
      </c>
      <c r="AH24" s="2" t="s">
        <v>3959</v>
      </c>
      <c r="AJ24" s="2" t="s">
        <v>4076</v>
      </c>
      <c r="AK24" s="2" t="s">
        <v>3903</v>
      </c>
      <c r="AL24" s="5">
        <v>0</v>
      </c>
      <c r="AN24" s="3">
        <v>0</v>
      </c>
      <c r="AO24" s="5">
        <v>1</v>
      </c>
      <c r="AQ24" s="5">
        <v>0</v>
      </c>
      <c r="AR24" s="2" t="s">
        <v>4070</v>
      </c>
      <c r="AS24" s="2" t="s">
        <v>3904</v>
      </c>
      <c r="AV24" s="2" t="s">
        <v>3962</v>
      </c>
      <c r="AW24" s="2" t="s">
        <v>3906</v>
      </c>
      <c r="AX24" s="6">
        <v>44820</v>
      </c>
      <c r="AY24" s="2" t="s">
        <v>4071</v>
      </c>
      <c r="BA24" s="6"/>
      <c r="BB24" s="6"/>
      <c r="BC24" s="6">
        <v>44790</v>
      </c>
      <c r="BD24" s="6"/>
      <c r="BE24" s="6"/>
      <c r="BF24" s="6"/>
      <c r="BG24" s="6"/>
      <c r="BH24" s="2" t="s">
        <v>3931</v>
      </c>
      <c r="BJ24" s="3">
        <v>69459</v>
      </c>
      <c r="BK24" s="3">
        <v>69459</v>
      </c>
      <c r="BN24" s="2" t="s">
        <v>2705</v>
      </c>
      <c r="BO24" s="2" t="s">
        <v>3908</v>
      </c>
      <c r="BP24" s="2" t="s">
        <v>39</v>
      </c>
      <c r="BR24" s="2" t="s">
        <v>39</v>
      </c>
      <c r="BS24" s="2" t="s">
        <v>39</v>
      </c>
      <c r="BT24" s="2" t="s">
        <v>3965</v>
      </c>
      <c r="BZ24" s="4">
        <v>40</v>
      </c>
      <c r="CA24" s="3">
        <v>1</v>
      </c>
      <c r="CB24" s="3">
        <v>69459</v>
      </c>
      <c r="CD24" s="2" t="s">
        <v>4059</v>
      </c>
      <c r="CH24" s="5">
        <v>0</v>
      </c>
      <c r="CI24" s="2" t="s">
        <v>3979</v>
      </c>
      <c r="CK24" s="2" t="s">
        <v>3936</v>
      </c>
      <c r="CL24" s="4">
        <v>8</v>
      </c>
      <c r="CM24" s="2" t="s">
        <v>3911</v>
      </c>
      <c r="CQ24" s="2" t="s">
        <v>3937</v>
      </c>
      <c r="CR24" s="2" t="s">
        <v>3937</v>
      </c>
      <c r="CS24" s="2" t="s">
        <v>3937</v>
      </c>
      <c r="CT24" s="2" t="s">
        <v>3937</v>
      </c>
      <c r="CU24" s="2" t="s">
        <v>3937</v>
      </c>
      <c r="CV24" s="2" t="s">
        <v>3937</v>
      </c>
      <c r="CW24" s="2" t="s">
        <v>3937</v>
      </c>
      <c r="CX24" s="3">
        <v>0</v>
      </c>
      <c r="CZ24" s="3">
        <v>0</v>
      </c>
      <c r="DA24" s="2" t="s">
        <v>4077</v>
      </c>
      <c r="DB24" s="3">
        <v>69459</v>
      </c>
      <c r="DC24" s="3">
        <v>0</v>
      </c>
      <c r="DD24" s="3">
        <v>69459</v>
      </c>
      <c r="DE24" s="3">
        <v>0</v>
      </c>
      <c r="DF24" s="2" t="s">
        <v>3969</v>
      </c>
      <c r="DG24" s="2" t="s">
        <v>3981</v>
      </c>
    </row>
    <row r="25" spans="1:111" x14ac:dyDescent="0.2">
      <c r="A25" s="8" t="s">
        <v>4078</v>
      </c>
      <c r="B25" s="2" t="s">
        <v>4079</v>
      </c>
      <c r="C25" s="6">
        <v>44750</v>
      </c>
      <c r="D25" s="2" t="s">
        <v>4052</v>
      </c>
      <c r="E25" s="2" t="s">
        <v>3997</v>
      </c>
      <c r="G25" s="2" t="s">
        <v>4053</v>
      </c>
      <c r="H25" s="2" t="s">
        <v>3998</v>
      </c>
      <c r="I25" s="6">
        <v>44755</v>
      </c>
      <c r="J25" s="6">
        <v>44772</v>
      </c>
      <c r="M25" s="2" t="s">
        <v>4054</v>
      </c>
      <c r="N25" s="3">
        <v>1</v>
      </c>
      <c r="O25" s="3">
        <v>1</v>
      </c>
      <c r="P25" s="3">
        <v>0</v>
      </c>
      <c r="Q25" s="3">
        <v>1</v>
      </c>
      <c r="R25" s="5">
        <v>0</v>
      </c>
      <c r="S25" s="3">
        <v>17005</v>
      </c>
      <c r="T25" s="3">
        <v>17005</v>
      </c>
      <c r="U25" s="2" t="s">
        <v>39</v>
      </c>
      <c r="V25" s="2" t="s">
        <v>4080</v>
      </c>
      <c r="W25" s="2" t="s">
        <v>4056</v>
      </c>
      <c r="X25" s="2" t="s">
        <v>3957</v>
      </c>
      <c r="Y25" s="2" t="s">
        <v>3923</v>
      </c>
      <c r="Z25" s="6"/>
      <c r="AA25" s="4">
        <v>1</v>
      </c>
      <c r="AB25" s="4">
        <v>1</v>
      </c>
      <c r="AE25" s="2" t="s">
        <v>3924</v>
      </c>
      <c r="AF25" s="2" t="s">
        <v>3958</v>
      </c>
      <c r="AH25" s="2" t="s">
        <v>3959</v>
      </c>
      <c r="AJ25" s="2" t="s">
        <v>4076</v>
      </c>
      <c r="AK25" s="2" t="s">
        <v>3903</v>
      </c>
      <c r="AL25" s="5">
        <v>0</v>
      </c>
      <c r="AN25" s="3">
        <v>0</v>
      </c>
      <c r="AO25" s="5">
        <v>1</v>
      </c>
      <c r="AQ25" s="5">
        <v>0</v>
      </c>
      <c r="AR25" s="2" t="s">
        <v>4070</v>
      </c>
      <c r="AS25" s="2" t="s">
        <v>3904</v>
      </c>
      <c r="AV25" s="2" t="s">
        <v>3962</v>
      </c>
      <c r="AW25" s="2" t="s">
        <v>3906</v>
      </c>
      <c r="AX25" s="6">
        <v>44820</v>
      </c>
      <c r="AY25" s="2" t="s">
        <v>4071</v>
      </c>
      <c r="BA25" s="6"/>
      <c r="BB25" s="6">
        <v>44753</v>
      </c>
      <c r="BC25" s="6">
        <v>44772</v>
      </c>
      <c r="BD25" s="6"/>
      <c r="BE25" s="6"/>
      <c r="BF25" s="6">
        <v>44753</v>
      </c>
      <c r="BG25" s="6"/>
      <c r="BH25" s="2" t="s">
        <v>3931</v>
      </c>
      <c r="BJ25" s="3">
        <v>17005</v>
      </c>
      <c r="BK25" s="3">
        <v>17005</v>
      </c>
      <c r="BN25" s="2" t="s">
        <v>2705</v>
      </c>
      <c r="BO25" s="2" t="s">
        <v>3908</v>
      </c>
      <c r="BP25" s="2" t="s">
        <v>39</v>
      </c>
      <c r="BR25" s="2" t="s">
        <v>39</v>
      </c>
      <c r="BS25" s="2" t="s">
        <v>39</v>
      </c>
      <c r="BT25" s="2" t="s">
        <v>3965</v>
      </c>
      <c r="BZ25" s="4">
        <v>40</v>
      </c>
      <c r="CA25" s="3">
        <v>1</v>
      </c>
      <c r="CB25" s="3">
        <v>17005</v>
      </c>
      <c r="CD25" s="2" t="s">
        <v>4059</v>
      </c>
      <c r="CH25" s="5">
        <v>0</v>
      </c>
      <c r="CI25" s="2" t="s">
        <v>3979</v>
      </c>
      <c r="CK25" s="2" t="s">
        <v>3936</v>
      </c>
      <c r="CL25" s="4">
        <v>8</v>
      </c>
      <c r="CM25" s="2" t="s">
        <v>3911</v>
      </c>
      <c r="CQ25" s="2" t="s">
        <v>3937</v>
      </c>
      <c r="CR25" s="2" t="s">
        <v>3937</v>
      </c>
      <c r="CS25" s="2" t="s">
        <v>3937</v>
      </c>
      <c r="CT25" s="2" t="s">
        <v>3937</v>
      </c>
      <c r="CU25" s="2" t="s">
        <v>3937</v>
      </c>
      <c r="CV25" s="2" t="s">
        <v>3937</v>
      </c>
      <c r="CW25" s="2" t="s">
        <v>3937</v>
      </c>
      <c r="CX25" s="3">
        <v>0</v>
      </c>
      <c r="CZ25" s="3">
        <v>0</v>
      </c>
      <c r="DA25" s="2" t="s">
        <v>4081</v>
      </c>
      <c r="DB25" s="3">
        <v>17005</v>
      </c>
      <c r="DC25" s="3">
        <v>0</v>
      </c>
      <c r="DD25" s="3">
        <v>17005</v>
      </c>
      <c r="DE25" s="3">
        <v>0</v>
      </c>
      <c r="DF25" s="2" t="s">
        <v>3969</v>
      </c>
      <c r="DG25" s="2" t="s">
        <v>3981</v>
      </c>
    </row>
    <row r="26" spans="1:111" x14ac:dyDescent="0.2">
      <c r="A26" s="8" t="s">
        <v>4082</v>
      </c>
      <c r="B26" s="2" t="s">
        <v>4083</v>
      </c>
      <c r="C26" s="6">
        <v>44750</v>
      </c>
      <c r="D26" s="2" t="s">
        <v>4052</v>
      </c>
      <c r="E26" s="2" t="s">
        <v>4003</v>
      </c>
      <c r="G26" s="2" t="s">
        <v>4053</v>
      </c>
      <c r="H26" s="2" t="s">
        <v>4004</v>
      </c>
      <c r="I26" s="6">
        <v>44755</v>
      </c>
      <c r="J26" s="6">
        <v>44772</v>
      </c>
      <c r="M26" s="2" t="s">
        <v>4054</v>
      </c>
      <c r="N26" s="3">
        <v>1</v>
      </c>
      <c r="O26" s="3">
        <v>1</v>
      </c>
      <c r="P26" s="3">
        <v>0</v>
      </c>
      <c r="Q26" s="3">
        <v>1</v>
      </c>
      <c r="R26" s="5">
        <v>0</v>
      </c>
      <c r="S26" s="3">
        <v>10111</v>
      </c>
      <c r="T26" s="3">
        <v>10111</v>
      </c>
      <c r="U26" s="2" t="s">
        <v>39</v>
      </c>
      <c r="V26" s="2" t="s">
        <v>4084</v>
      </c>
      <c r="W26" s="2" t="s">
        <v>4056</v>
      </c>
      <c r="X26" s="2" t="s">
        <v>3957</v>
      </c>
      <c r="Y26" s="2" t="s">
        <v>3923</v>
      </c>
      <c r="Z26" s="6"/>
      <c r="AA26" s="4">
        <v>1</v>
      </c>
      <c r="AB26" s="4">
        <v>1</v>
      </c>
      <c r="AE26" s="2" t="s">
        <v>3924</v>
      </c>
      <c r="AF26" s="2" t="s">
        <v>3958</v>
      </c>
      <c r="AH26" s="2" t="s">
        <v>3959</v>
      </c>
      <c r="AJ26" s="2" t="s">
        <v>4076</v>
      </c>
      <c r="AK26" s="2" t="s">
        <v>3903</v>
      </c>
      <c r="AL26" s="5">
        <v>0</v>
      </c>
      <c r="AN26" s="3">
        <v>0</v>
      </c>
      <c r="AO26" s="5">
        <v>1</v>
      </c>
      <c r="AQ26" s="5">
        <v>0</v>
      </c>
      <c r="AR26" s="2" t="s">
        <v>4070</v>
      </c>
      <c r="AS26" s="2" t="s">
        <v>3904</v>
      </c>
      <c r="AV26" s="2" t="s">
        <v>3962</v>
      </c>
      <c r="AW26" s="2" t="s">
        <v>3906</v>
      </c>
      <c r="AX26" s="6">
        <v>44820</v>
      </c>
      <c r="AY26" s="2" t="s">
        <v>4071</v>
      </c>
      <c r="BA26" s="6"/>
      <c r="BB26" s="6">
        <v>44753</v>
      </c>
      <c r="BC26" s="6">
        <v>44772</v>
      </c>
      <c r="BD26" s="6"/>
      <c r="BE26" s="6"/>
      <c r="BF26" s="6">
        <v>44753</v>
      </c>
      <c r="BG26" s="6"/>
      <c r="BH26" s="2" t="s">
        <v>3931</v>
      </c>
      <c r="BJ26" s="3">
        <v>10111</v>
      </c>
      <c r="BK26" s="3">
        <v>10111</v>
      </c>
      <c r="BN26" s="2" t="s">
        <v>2705</v>
      </c>
      <c r="BO26" s="2" t="s">
        <v>3908</v>
      </c>
      <c r="BP26" s="2" t="s">
        <v>39</v>
      </c>
      <c r="BR26" s="2" t="s">
        <v>39</v>
      </c>
      <c r="BS26" s="2" t="s">
        <v>39</v>
      </c>
      <c r="BT26" s="2" t="s">
        <v>3965</v>
      </c>
      <c r="BZ26" s="4">
        <v>40</v>
      </c>
      <c r="CA26" s="3">
        <v>1</v>
      </c>
      <c r="CB26" s="3">
        <v>10111</v>
      </c>
      <c r="CD26" s="2" t="s">
        <v>4059</v>
      </c>
      <c r="CH26" s="5">
        <v>0</v>
      </c>
      <c r="CI26" s="2" t="s">
        <v>3979</v>
      </c>
      <c r="CK26" s="2" t="s">
        <v>3936</v>
      </c>
      <c r="CL26" s="4">
        <v>8</v>
      </c>
      <c r="CM26" s="2" t="s">
        <v>3911</v>
      </c>
      <c r="CQ26" s="2" t="s">
        <v>3937</v>
      </c>
      <c r="CR26" s="2" t="s">
        <v>3937</v>
      </c>
      <c r="CS26" s="2" t="s">
        <v>3937</v>
      </c>
      <c r="CT26" s="2" t="s">
        <v>3937</v>
      </c>
      <c r="CU26" s="2" t="s">
        <v>3937</v>
      </c>
      <c r="CV26" s="2" t="s">
        <v>3937</v>
      </c>
      <c r="CW26" s="2" t="s">
        <v>3937</v>
      </c>
      <c r="CX26" s="3">
        <v>0</v>
      </c>
      <c r="CZ26" s="3">
        <v>0</v>
      </c>
      <c r="DA26" s="2" t="s">
        <v>4085</v>
      </c>
      <c r="DB26" s="3">
        <v>10111</v>
      </c>
      <c r="DC26" s="3">
        <v>0</v>
      </c>
      <c r="DD26" s="3">
        <v>10111</v>
      </c>
      <c r="DE26" s="3">
        <v>0</v>
      </c>
      <c r="DF26" s="2" t="s">
        <v>3969</v>
      </c>
      <c r="DG26" s="2" t="s">
        <v>3981</v>
      </c>
    </row>
    <row r="27" spans="1:111" x14ac:dyDescent="0.2">
      <c r="A27" s="8" t="s">
        <v>4086</v>
      </c>
      <c r="B27" s="2" t="s">
        <v>4087</v>
      </c>
      <c r="C27" s="6">
        <v>44750</v>
      </c>
      <c r="D27" s="2" t="s">
        <v>4052</v>
      </c>
      <c r="E27" s="2" t="s">
        <v>4009</v>
      </c>
      <c r="G27" s="2" t="s">
        <v>4053</v>
      </c>
      <c r="H27" s="2" t="s">
        <v>4010</v>
      </c>
      <c r="I27" s="6">
        <v>44755</v>
      </c>
      <c r="J27" s="6">
        <v>44972</v>
      </c>
      <c r="M27" s="2" t="s">
        <v>4054</v>
      </c>
      <c r="N27" s="3">
        <v>1</v>
      </c>
      <c r="O27" s="3">
        <v>1</v>
      </c>
      <c r="P27" s="3">
        <v>0</v>
      </c>
      <c r="Q27" s="3">
        <v>1</v>
      </c>
      <c r="R27" s="5">
        <v>0</v>
      </c>
      <c r="S27" s="3">
        <v>47060</v>
      </c>
      <c r="T27" s="3">
        <v>47060</v>
      </c>
      <c r="U27" s="2" t="s">
        <v>39</v>
      </c>
      <c r="V27" s="2" t="s">
        <v>4088</v>
      </c>
      <c r="W27" s="2" t="s">
        <v>4056</v>
      </c>
      <c r="X27" s="2" t="s">
        <v>3957</v>
      </c>
      <c r="Y27" s="2" t="s">
        <v>3923</v>
      </c>
      <c r="Z27" s="6"/>
      <c r="AA27" s="4">
        <v>1</v>
      </c>
      <c r="AB27" s="4">
        <v>1</v>
      </c>
      <c r="AE27" s="2" t="s">
        <v>3924</v>
      </c>
      <c r="AF27" s="2" t="s">
        <v>3958</v>
      </c>
      <c r="AH27" s="2" t="s">
        <v>3959</v>
      </c>
      <c r="AJ27" s="2" t="s">
        <v>4076</v>
      </c>
      <c r="AK27" s="2" t="s">
        <v>3903</v>
      </c>
      <c r="AL27" s="5">
        <v>0</v>
      </c>
      <c r="AN27" s="3">
        <v>0</v>
      </c>
      <c r="AO27" s="5">
        <v>1</v>
      </c>
      <c r="AQ27" s="5">
        <v>0</v>
      </c>
      <c r="AR27" s="2" t="s">
        <v>4070</v>
      </c>
      <c r="AS27" s="2" t="s">
        <v>3904</v>
      </c>
      <c r="AV27" s="2" t="s">
        <v>3962</v>
      </c>
      <c r="AW27" s="2" t="s">
        <v>3906</v>
      </c>
      <c r="AX27" s="6">
        <v>44820</v>
      </c>
      <c r="AY27" s="2" t="s">
        <v>4071</v>
      </c>
      <c r="BA27" s="6"/>
      <c r="BB27" s="6">
        <v>44753</v>
      </c>
      <c r="BC27" s="6">
        <v>44972</v>
      </c>
      <c r="BD27" s="6"/>
      <c r="BE27" s="6"/>
      <c r="BF27" s="6">
        <v>44753</v>
      </c>
      <c r="BG27" s="6"/>
      <c r="BH27" s="2" t="s">
        <v>3931</v>
      </c>
      <c r="BJ27" s="3">
        <v>47060</v>
      </c>
      <c r="BK27" s="3">
        <v>47060</v>
      </c>
      <c r="BN27" s="2" t="s">
        <v>2705</v>
      </c>
      <c r="BO27" s="2" t="s">
        <v>3908</v>
      </c>
      <c r="BP27" s="2" t="s">
        <v>39</v>
      </c>
      <c r="BR27" s="2" t="s">
        <v>39</v>
      </c>
      <c r="BS27" s="2" t="s">
        <v>39</v>
      </c>
      <c r="BT27" s="2" t="s">
        <v>3965</v>
      </c>
      <c r="BZ27" s="4">
        <v>40</v>
      </c>
      <c r="CA27" s="3">
        <v>1</v>
      </c>
      <c r="CB27" s="3">
        <v>47060</v>
      </c>
      <c r="CD27" s="2" t="s">
        <v>4059</v>
      </c>
      <c r="CH27" s="5">
        <v>0</v>
      </c>
      <c r="CI27" s="2" t="s">
        <v>3979</v>
      </c>
      <c r="CK27" s="2" t="s">
        <v>3936</v>
      </c>
      <c r="CL27" s="4">
        <v>8</v>
      </c>
      <c r="CM27" s="2" t="s">
        <v>3911</v>
      </c>
      <c r="CQ27" s="2" t="s">
        <v>3937</v>
      </c>
      <c r="CR27" s="2" t="s">
        <v>3937</v>
      </c>
      <c r="CS27" s="2" t="s">
        <v>3937</v>
      </c>
      <c r="CT27" s="2" t="s">
        <v>3937</v>
      </c>
      <c r="CU27" s="2" t="s">
        <v>3937</v>
      </c>
      <c r="CV27" s="2" t="s">
        <v>3937</v>
      </c>
      <c r="CW27" s="2" t="s">
        <v>3937</v>
      </c>
      <c r="CX27" s="3">
        <v>0</v>
      </c>
      <c r="CZ27" s="3">
        <v>0</v>
      </c>
      <c r="DA27" s="2" t="s">
        <v>4089</v>
      </c>
      <c r="DB27" s="3">
        <v>47060</v>
      </c>
      <c r="DC27" s="3">
        <v>0</v>
      </c>
      <c r="DD27" s="3">
        <v>47060</v>
      </c>
      <c r="DE27" s="3">
        <v>0</v>
      </c>
      <c r="DF27" s="2" t="s">
        <v>3969</v>
      </c>
      <c r="DG27" s="2" t="s">
        <v>3981</v>
      </c>
    </row>
    <row r="28" spans="1:111" x14ac:dyDescent="0.2">
      <c r="A28" s="8" t="s">
        <v>4090</v>
      </c>
      <c r="B28" s="2" t="s">
        <v>4091</v>
      </c>
      <c r="C28" s="6">
        <v>44750</v>
      </c>
      <c r="D28" s="2" t="s">
        <v>4092</v>
      </c>
      <c r="E28" s="2" t="s">
        <v>283</v>
      </c>
      <c r="G28" s="2" t="s">
        <v>4093</v>
      </c>
      <c r="H28" s="2" t="s">
        <v>3918</v>
      </c>
      <c r="I28" s="6">
        <v>44755</v>
      </c>
      <c r="J28" s="6">
        <v>44827</v>
      </c>
      <c r="M28" s="2" t="s">
        <v>3919</v>
      </c>
      <c r="N28" s="3">
        <v>2</v>
      </c>
      <c r="O28" s="3">
        <v>2</v>
      </c>
      <c r="P28" s="3">
        <v>0</v>
      </c>
      <c r="Q28" s="3">
        <v>2</v>
      </c>
      <c r="R28" s="5">
        <v>0</v>
      </c>
      <c r="S28" s="3">
        <v>3612.12</v>
      </c>
      <c r="T28" s="3">
        <v>7224.24</v>
      </c>
      <c r="U28" s="2" t="s">
        <v>32</v>
      </c>
      <c r="V28" s="2" t="s">
        <v>4094</v>
      </c>
      <c r="W28" s="2" t="s">
        <v>4095</v>
      </c>
      <c r="X28" s="2" t="s">
        <v>3957</v>
      </c>
      <c r="Y28" s="2" t="s">
        <v>3923</v>
      </c>
      <c r="Z28" s="6"/>
      <c r="AA28" s="4">
        <v>1</v>
      </c>
      <c r="AB28" s="4">
        <v>1</v>
      </c>
      <c r="AE28" s="2" t="s">
        <v>3924</v>
      </c>
      <c r="AF28" s="2" t="s">
        <v>3958</v>
      </c>
      <c r="AH28" s="2" t="s">
        <v>3959</v>
      </c>
      <c r="AJ28" s="2" t="s">
        <v>4096</v>
      </c>
      <c r="AK28" s="2" t="s">
        <v>3903</v>
      </c>
      <c r="AL28" s="5">
        <v>0</v>
      </c>
      <c r="AN28" s="3">
        <v>0</v>
      </c>
      <c r="AO28" s="5">
        <v>2</v>
      </c>
      <c r="AQ28" s="5">
        <v>0</v>
      </c>
      <c r="AR28" s="2" t="s">
        <v>4057</v>
      </c>
      <c r="AS28" s="2" t="s">
        <v>3904</v>
      </c>
      <c r="AV28" s="2" t="s">
        <v>3962</v>
      </c>
      <c r="AW28" s="2" t="s">
        <v>3906</v>
      </c>
      <c r="AX28" s="6">
        <v>44820</v>
      </c>
      <c r="AY28" s="2" t="s">
        <v>4058</v>
      </c>
      <c r="BA28" s="6"/>
      <c r="BB28" s="6"/>
      <c r="BC28" s="6">
        <v>44827</v>
      </c>
      <c r="BD28" s="6"/>
      <c r="BE28" s="6"/>
      <c r="BF28" s="6"/>
      <c r="BG28" s="6"/>
      <c r="BH28" s="2" t="s">
        <v>3943</v>
      </c>
      <c r="BJ28" s="3">
        <v>7224.24</v>
      </c>
      <c r="BK28" s="3">
        <v>3612.12</v>
      </c>
      <c r="BN28" s="2" t="s">
        <v>3932</v>
      </c>
      <c r="BO28" s="2" t="s">
        <v>3908</v>
      </c>
      <c r="BP28" s="2" t="s">
        <v>32</v>
      </c>
      <c r="BR28" s="2" t="s">
        <v>32</v>
      </c>
      <c r="BS28" s="2" t="s">
        <v>32</v>
      </c>
      <c r="BT28" s="2" t="s">
        <v>3965</v>
      </c>
      <c r="BZ28" s="4">
        <v>17</v>
      </c>
      <c r="CA28" s="3">
        <v>2</v>
      </c>
      <c r="CB28" s="3">
        <v>7224.24</v>
      </c>
      <c r="CD28" s="2" t="s">
        <v>4097</v>
      </c>
      <c r="CH28" s="5">
        <v>0</v>
      </c>
      <c r="CI28" s="2" t="s">
        <v>3967</v>
      </c>
      <c r="CK28" s="2" t="s">
        <v>3936</v>
      </c>
      <c r="CL28" s="4">
        <v>8</v>
      </c>
      <c r="CM28" s="2" t="s">
        <v>3911</v>
      </c>
      <c r="CQ28" s="2" t="s">
        <v>3937</v>
      </c>
      <c r="CR28" s="2" t="s">
        <v>3937</v>
      </c>
      <c r="CS28" s="2" t="s">
        <v>3937</v>
      </c>
      <c r="CT28" s="2" t="s">
        <v>3937</v>
      </c>
      <c r="CU28" s="2" t="s">
        <v>3937</v>
      </c>
      <c r="CV28" s="2" t="s">
        <v>3937</v>
      </c>
      <c r="CW28" s="2" t="s">
        <v>3937</v>
      </c>
      <c r="CX28" s="3">
        <v>0</v>
      </c>
      <c r="CZ28" s="3">
        <v>0</v>
      </c>
      <c r="DA28" s="2" t="s">
        <v>4098</v>
      </c>
      <c r="DB28" s="3">
        <v>7224.24</v>
      </c>
      <c r="DC28" s="3">
        <v>0</v>
      </c>
      <c r="DD28" s="3">
        <v>7224.24</v>
      </c>
      <c r="DE28" s="3">
        <v>0</v>
      </c>
      <c r="DF28" s="2" t="s">
        <v>3969</v>
      </c>
      <c r="DG28" s="2" t="s">
        <v>4099</v>
      </c>
    </row>
    <row r="29" spans="1:111" x14ac:dyDescent="0.2">
      <c r="B29" s="2" t="s">
        <v>4100</v>
      </c>
      <c r="C29" s="6">
        <v>44749</v>
      </c>
      <c r="D29" s="2" t="s">
        <v>4101</v>
      </c>
      <c r="E29" s="2" t="s">
        <v>283</v>
      </c>
      <c r="G29" s="2" t="s">
        <v>4102</v>
      </c>
      <c r="H29" s="2" t="s">
        <v>3918</v>
      </c>
      <c r="I29" s="6">
        <v>44750</v>
      </c>
      <c r="J29" s="6">
        <v>45026</v>
      </c>
      <c r="M29" s="2" t="s">
        <v>3919</v>
      </c>
      <c r="N29" s="5">
        <v>1</v>
      </c>
      <c r="O29" s="4">
        <v>1</v>
      </c>
      <c r="P29" s="4">
        <v>0</v>
      </c>
      <c r="Q29" s="4">
        <v>0</v>
      </c>
      <c r="R29" s="5">
        <v>0</v>
      </c>
      <c r="S29" s="3">
        <v>5200</v>
      </c>
      <c r="T29" s="3">
        <v>5200</v>
      </c>
      <c r="U29" s="2" t="s">
        <v>32</v>
      </c>
      <c r="W29" s="2" t="s">
        <v>4103</v>
      </c>
      <c r="X29" s="2" t="s">
        <v>4104</v>
      </c>
      <c r="Z29" s="6"/>
      <c r="AA29" s="4">
        <v>1</v>
      </c>
      <c r="AB29" s="4">
        <v>1</v>
      </c>
      <c r="AE29" s="2" t="s">
        <v>3924</v>
      </c>
      <c r="AF29" s="2" t="s">
        <v>4105</v>
      </c>
      <c r="AH29" s="2" t="s">
        <v>4106</v>
      </c>
      <c r="AJ29" s="2" t="s">
        <v>4076</v>
      </c>
      <c r="AK29" s="2" t="s">
        <v>3903</v>
      </c>
      <c r="AL29" s="5">
        <v>0</v>
      </c>
      <c r="AN29" s="4">
        <v>0</v>
      </c>
      <c r="AO29" s="5">
        <v>1</v>
      </c>
      <c r="AQ29" s="5">
        <v>0</v>
      </c>
      <c r="AS29" s="2" t="s">
        <v>3904</v>
      </c>
      <c r="AV29" s="2" t="s">
        <v>3905</v>
      </c>
      <c r="AW29" s="2" t="s">
        <v>3906</v>
      </c>
      <c r="AX29" s="6">
        <v>44834</v>
      </c>
      <c r="BA29" s="6"/>
      <c r="BB29" s="6"/>
      <c r="BC29" s="6">
        <v>45026</v>
      </c>
      <c r="BD29" s="6"/>
      <c r="BE29" s="6"/>
      <c r="BF29" s="6"/>
      <c r="BG29" s="6"/>
      <c r="BH29" s="2" t="s">
        <v>4107</v>
      </c>
      <c r="BJ29" s="3">
        <v>5200</v>
      </c>
      <c r="BK29" s="3">
        <v>5200</v>
      </c>
      <c r="BN29" s="2" t="s">
        <v>3932</v>
      </c>
      <c r="BO29" s="2" t="s">
        <v>3908</v>
      </c>
      <c r="BP29" s="2" t="s">
        <v>32</v>
      </c>
      <c r="BR29" s="2" t="s">
        <v>32</v>
      </c>
      <c r="BS29" s="2" t="s">
        <v>32</v>
      </c>
      <c r="BT29" s="2" t="s">
        <v>3965</v>
      </c>
      <c r="BZ29" s="4">
        <v>0</v>
      </c>
      <c r="CA29" s="4">
        <v>1</v>
      </c>
      <c r="CB29" s="3">
        <v>5200</v>
      </c>
      <c r="CD29" s="2" t="s">
        <v>4108</v>
      </c>
      <c r="CH29" s="5">
        <v>0</v>
      </c>
      <c r="CI29" s="2" t="s">
        <v>3967</v>
      </c>
      <c r="CJ29" s="2" t="s">
        <v>4109</v>
      </c>
      <c r="CK29" s="2" t="s">
        <v>3910</v>
      </c>
      <c r="CL29" s="4">
        <v>0</v>
      </c>
      <c r="CM29" s="2" t="s">
        <v>3911</v>
      </c>
      <c r="CQ29" s="2" t="s">
        <v>4110</v>
      </c>
      <c r="CR29" s="2" t="s">
        <v>4110</v>
      </c>
      <c r="CS29" s="2" t="s">
        <v>55</v>
      </c>
      <c r="CT29" s="2" t="s">
        <v>55</v>
      </c>
      <c r="CV29" s="2" t="s">
        <v>4110</v>
      </c>
      <c r="CW29" s="2" t="s">
        <v>4110</v>
      </c>
      <c r="CX29" s="3">
        <v>0</v>
      </c>
      <c r="CZ29" s="3">
        <v>0</v>
      </c>
      <c r="DA29" s="2" t="s">
        <v>4111</v>
      </c>
      <c r="DB29" s="3">
        <v>5200</v>
      </c>
      <c r="DC29" s="3">
        <v>0</v>
      </c>
      <c r="DD29" s="3">
        <v>5200</v>
      </c>
      <c r="DE29" s="3">
        <v>0</v>
      </c>
      <c r="DF29" s="2" t="s">
        <v>3969</v>
      </c>
      <c r="DG29" s="2" t="s">
        <v>3981</v>
      </c>
    </row>
    <row r="30" spans="1:111" x14ac:dyDescent="0.2">
      <c r="B30" s="2" t="s">
        <v>4112</v>
      </c>
      <c r="C30" s="6">
        <v>44749</v>
      </c>
      <c r="D30" s="2" t="s">
        <v>4101</v>
      </c>
      <c r="E30" s="2" t="s">
        <v>3304</v>
      </c>
      <c r="G30" s="2" t="s">
        <v>4102</v>
      </c>
      <c r="H30" s="2" t="s">
        <v>3908</v>
      </c>
      <c r="I30" s="6">
        <v>44750</v>
      </c>
      <c r="J30" s="6">
        <v>45107</v>
      </c>
      <c r="M30" s="2" t="s">
        <v>3919</v>
      </c>
      <c r="N30" s="5">
        <v>1</v>
      </c>
      <c r="O30" s="4">
        <v>1</v>
      </c>
      <c r="P30" s="4">
        <v>0</v>
      </c>
      <c r="Q30" s="4">
        <v>0</v>
      </c>
      <c r="R30" s="5">
        <v>0</v>
      </c>
      <c r="S30" s="3">
        <v>6560</v>
      </c>
      <c r="T30" s="3">
        <v>6560</v>
      </c>
      <c r="U30" s="2" t="s">
        <v>32</v>
      </c>
      <c r="W30" s="2" t="s">
        <v>4103</v>
      </c>
      <c r="X30" s="2" t="s">
        <v>4104</v>
      </c>
      <c r="Z30" s="6"/>
      <c r="AA30" s="4">
        <v>1</v>
      </c>
      <c r="AB30" s="4">
        <v>1</v>
      </c>
      <c r="AE30" s="2" t="s">
        <v>3924</v>
      </c>
      <c r="AF30" s="2" t="s">
        <v>4105</v>
      </c>
      <c r="AH30" s="2" t="s">
        <v>4106</v>
      </c>
      <c r="AJ30" s="2" t="s">
        <v>3903</v>
      </c>
      <c r="AK30" s="2" t="s">
        <v>3903</v>
      </c>
      <c r="AL30" s="5">
        <v>0</v>
      </c>
      <c r="AN30" s="4">
        <v>0</v>
      </c>
      <c r="AO30" s="5">
        <v>1</v>
      </c>
      <c r="AQ30" s="5">
        <v>0</v>
      </c>
      <c r="AS30" s="2" t="s">
        <v>3904</v>
      </c>
      <c r="AV30" s="2" t="s">
        <v>3905</v>
      </c>
      <c r="AW30" s="2" t="s">
        <v>3906</v>
      </c>
      <c r="AX30" s="6">
        <v>44834</v>
      </c>
      <c r="BA30" s="6"/>
      <c r="BB30" s="6">
        <v>44749</v>
      </c>
      <c r="BC30" s="6">
        <v>45107</v>
      </c>
      <c r="BD30" s="6"/>
      <c r="BE30" s="6"/>
      <c r="BF30" s="6">
        <v>44749</v>
      </c>
      <c r="BG30" s="6"/>
      <c r="BH30" s="2" t="s">
        <v>4107</v>
      </c>
      <c r="BJ30" s="3">
        <v>6560</v>
      </c>
      <c r="BK30" s="3">
        <v>6560</v>
      </c>
      <c r="BN30" s="2" t="s">
        <v>3932</v>
      </c>
      <c r="BO30" s="2" t="s">
        <v>3908</v>
      </c>
      <c r="BP30" s="2" t="s">
        <v>32</v>
      </c>
      <c r="BR30" s="2" t="s">
        <v>32</v>
      </c>
      <c r="BS30" s="2" t="s">
        <v>32</v>
      </c>
      <c r="BT30" s="2" t="s">
        <v>3965</v>
      </c>
      <c r="BZ30" s="4">
        <v>0</v>
      </c>
      <c r="CA30" s="4">
        <v>1</v>
      </c>
      <c r="CB30" s="3">
        <v>6560</v>
      </c>
      <c r="CD30" s="2" t="s">
        <v>4108</v>
      </c>
      <c r="CH30" s="5">
        <v>0</v>
      </c>
      <c r="CI30" s="2" t="s">
        <v>3967</v>
      </c>
      <c r="CJ30" s="2" t="s">
        <v>4109</v>
      </c>
      <c r="CK30" s="2" t="s">
        <v>3910</v>
      </c>
      <c r="CL30" s="4">
        <v>0</v>
      </c>
      <c r="CM30" s="2" t="s">
        <v>3911</v>
      </c>
      <c r="CQ30" s="2" t="s">
        <v>4110</v>
      </c>
      <c r="CR30" s="2" t="s">
        <v>4110</v>
      </c>
      <c r="CS30" s="2" t="s">
        <v>55</v>
      </c>
      <c r="CT30" s="2" t="s">
        <v>55</v>
      </c>
      <c r="CV30" s="2" t="s">
        <v>4110</v>
      </c>
      <c r="CW30" s="2" t="s">
        <v>4110</v>
      </c>
      <c r="CX30" s="3">
        <v>0</v>
      </c>
      <c r="CZ30" s="3">
        <v>0</v>
      </c>
      <c r="DA30" s="2" t="s">
        <v>4113</v>
      </c>
      <c r="DB30" s="3">
        <v>6560</v>
      </c>
      <c r="DC30" s="3">
        <v>0</v>
      </c>
      <c r="DD30" s="3">
        <v>6560</v>
      </c>
      <c r="DE30" s="3">
        <v>0</v>
      </c>
      <c r="DF30" s="2" t="s">
        <v>3969</v>
      </c>
      <c r="DG30" s="2" t="s">
        <v>3981</v>
      </c>
    </row>
    <row r="31" spans="1:111" x14ac:dyDescent="0.2">
      <c r="A31" s="2" t="s">
        <v>4114</v>
      </c>
      <c r="B31" s="2" t="s">
        <v>4115</v>
      </c>
      <c r="C31" s="6">
        <v>44747</v>
      </c>
      <c r="D31" s="2" t="s">
        <v>4116</v>
      </c>
      <c r="E31" s="2" t="s">
        <v>283</v>
      </c>
      <c r="G31" s="2" t="s">
        <v>4117</v>
      </c>
      <c r="H31" s="2" t="s">
        <v>3918</v>
      </c>
      <c r="I31" s="6">
        <v>44748</v>
      </c>
      <c r="J31" s="6">
        <v>44810</v>
      </c>
      <c r="K31" s="2" t="s">
        <v>2705</v>
      </c>
      <c r="M31" s="2" t="s">
        <v>3919</v>
      </c>
      <c r="N31" s="3">
        <v>1</v>
      </c>
      <c r="O31" s="3">
        <v>1</v>
      </c>
      <c r="P31" s="3">
        <v>0</v>
      </c>
      <c r="Q31" s="3">
        <v>1</v>
      </c>
      <c r="R31" s="5">
        <v>0</v>
      </c>
      <c r="S31" s="3">
        <v>663598</v>
      </c>
      <c r="T31" s="3">
        <v>663598</v>
      </c>
      <c r="U31" s="2" t="s">
        <v>2889</v>
      </c>
      <c r="V31" s="2" t="s">
        <v>4118</v>
      </c>
      <c r="W31" s="2" t="s">
        <v>4119</v>
      </c>
      <c r="X31" s="2" t="s">
        <v>4120</v>
      </c>
      <c r="Y31" s="2" t="s">
        <v>3923</v>
      </c>
      <c r="Z31" s="6"/>
      <c r="AA31" s="4">
        <v>1</v>
      </c>
      <c r="AB31" s="4">
        <v>1</v>
      </c>
      <c r="AE31" s="2" t="s">
        <v>3924</v>
      </c>
      <c r="AF31" s="2" t="s">
        <v>3958</v>
      </c>
      <c r="AH31" s="2" t="s">
        <v>3959</v>
      </c>
      <c r="AK31" s="2" t="s">
        <v>3903</v>
      </c>
      <c r="AL31" s="5">
        <v>0</v>
      </c>
      <c r="AN31" s="3">
        <v>0</v>
      </c>
      <c r="AO31" s="5">
        <v>1</v>
      </c>
      <c r="AQ31" s="5">
        <v>0</v>
      </c>
      <c r="AR31" s="2" t="s">
        <v>3961</v>
      </c>
      <c r="AS31" s="2" t="s">
        <v>3904</v>
      </c>
      <c r="AV31" s="2" t="s">
        <v>3962</v>
      </c>
      <c r="AW31" s="2" t="s">
        <v>3906</v>
      </c>
      <c r="AX31" s="6">
        <v>44810</v>
      </c>
      <c r="AY31" s="2" t="s">
        <v>3963</v>
      </c>
      <c r="BA31" s="6"/>
      <c r="BB31" s="6"/>
      <c r="BC31" s="6">
        <v>44810</v>
      </c>
      <c r="BD31" s="6"/>
      <c r="BE31" s="6"/>
      <c r="BF31" s="6"/>
      <c r="BG31" s="6"/>
      <c r="BH31" s="2" t="s">
        <v>3931</v>
      </c>
      <c r="BJ31" s="3">
        <v>663598</v>
      </c>
      <c r="BK31" s="3">
        <v>663598</v>
      </c>
      <c r="BN31" s="2" t="s">
        <v>3932</v>
      </c>
      <c r="BO31" s="2" t="s">
        <v>3908</v>
      </c>
      <c r="BP31" s="2" t="s">
        <v>2889</v>
      </c>
      <c r="BR31" s="2" t="s">
        <v>2889</v>
      </c>
      <c r="BS31" s="2" t="s">
        <v>2889</v>
      </c>
      <c r="BT31" s="2" t="s">
        <v>3965</v>
      </c>
      <c r="BZ31" s="4">
        <v>40</v>
      </c>
      <c r="CA31" s="3">
        <v>1</v>
      </c>
      <c r="CB31" s="3">
        <v>663598</v>
      </c>
      <c r="CD31" s="2" t="s">
        <v>4121</v>
      </c>
      <c r="CH31" s="5">
        <v>0</v>
      </c>
      <c r="CI31" s="2" t="s">
        <v>4122</v>
      </c>
      <c r="CJ31" s="2" t="s">
        <v>4109</v>
      </c>
      <c r="CK31" s="2" t="s">
        <v>3936</v>
      </c>
      <c r="CL31" s="4">
        <v>8</v>
      </c>
      <c r="CM31" s="2" t="s">
        <v>3911</v>
      </c>
      <c r="CQ31" s="2" t="s">
        <v>3937</v>
      </c>
      <c r="CR31" s="2" t="s">
        <v>3937</v>
      </c>
      <c r="CS31" s="2" t="s">
        <v>3937</v>
      </c>
      <c r="CT31" s="2" t="s">
        <v>3937</v>
      </c>
      <c r="CU31" s="2" t="s">
        <v>3937</v>
      </c>
      <c r="CV31" s="2" t="s">
        <v>3937</v>
      </c>
      <c r="CW31" s="2" t="s">
        <v>3937</v>
      </c>
      <c r="CX31" s="3">
        <v>0</v>
      </c>
      <c r="CZ31" s="3">
        <v>0</v>
      </c>
      <c r="DA31" s="2" t="s">
        <v>4123</v>
      </c>
      <c r="DB31" s="3">
        <v>663598</v>
      </c>
      <c r="DC31" s="3">
        <v>0</v>
      </c>
      <c r="DD31" s="3">
        <v>663598</v>
      </c>
      <c r="DE31" s="3">
        <v>0</v>
      </c>
      <c r="DF31" s="2" t="s">
        <v>3969</v>
      </c>
      <c r="DG31" s="2" t="s">
        <v>3981</v>
      </c>
    </row>
    <row r="32" spans="1:111" x14ac:dyDescent="0.2">
      <c r="A32" s="8" t="s">
        <v>4124</v>
      </c>
      <c r="B32" s="2" t="s">
        <v>4125</v>
      </c>
      <c r="C32" s="6">
        <v>44740</v>
      </c>
      <c r="D32" s="2" t="s">
        <v>4126</v>
      </c>
      <c r="E32" s="2" t="s">
        <v>283</v>
      </c>
      <c r="G32" s="2" t="s">
        <v>4127</v>
      </c>
      <c r="H32" s="2" t="s">
        <v>3918</v>
      </c>
      <c r="I32" s="6">
        <v>44748</v>
      </c>
      <c r="J32" s="6">
        <v>45075</v>
      </c>
      <c r="M32" s="2" t="s">
        <v>3919</v>
      </c>
      <c r="N32" s="3">
        <v>1</v>
      </c>
      <c r="O32" s="3">
        <v>1</v>
      </c>
      <c r="P32" s="3">
        <v>0</v>
      </c>
      <c r="Q32" s="3">
        <v>1</v>
      </c>
      <c r="R32" s="5">
        <v>0</v>
      </c>
      <c r="S32" s="3">
        <v>169524</v>
      </c>
      <c r="T32" s="3">
        <v>169524</v>
      </c>
      <c r="U32" s="2" t="s">
        <v>39</v>
      </c>
      <c r="V32" s="2" t="s">
        <v>4128</v>
      </c>
      <c r="W32" s="2" t="s">
        <v>4119</v>
      </c>
      <c r="X32" s="2" t="s">
        <v>3957</v>
      </c>
      <c r="Y32" s="2" t="s">
        <v>4129</v>
      </c>
      <c r="Z32" s="6"/>
      <c r="AA32" s="4">
        <v>1</v>
      </c>
      <c r="AB32" s="4">
        <v>1</v>
      </c>
      <c r="AE32" s="2" t="s">
        <v>3902</v>
      </c>
      <c r="AF32" s="2" t="s">
        <v>3958</v>
      </c>
      <c r="AH32" s="2" t="s">
        <v>3959</v>
      </c>
      <c r="AJ32" s="2" t="s">
        <v>4076</v>
      </c>
      <c r="AK32" s="2" t="s">
        <v>3903</v>
      </c>
      <c r="AL32" s="5">
        <v>0</v>
      </c>
      <c r="AN32" s="3">
        <v>0</v>
      </c>
      <c r="AO32" s="5">
        <v>1</v>
      </c>
      <c r="AQ32" s="5">
        <v>0</v>
      </c>
      <c r="AR32" s="2" t="s">
        <v>3961</v>
      </c>
      <c r="AS32" s="2" t="s">
        <v>3904</v>
      </c>
      <c r="AV32" s="2" t="s">
        <v>3962</v>
      </c>
      <c r="AW32" s="2" t="s">
        <v>3906</v>
      </c>
      <c r="AX32" s="6">
        <v>45075</v>
      </c>
      <c r="AY32" s="2" t="s">
        <v>3963</v>
      </c>
      <c r="BA32" s="6"/>
      <c r="BB32" s="6"/>
      <c r="BC32" s="6">
        <v>45075</v>
      </c>
      <c r="BD32" s="6"/>
      <c r="BE32" s="6"/>
      <c r="BF32" s="6"/>
      <c r="BG32" s="6"/>
      <c r="BH32" s="2" t="s">
        <v>3943</v>
      </c>
      <c r="BJ32" s="3">
        <v>169524</v>
      </c>
      <c r="BK32" s="3">
        <v>169524</v>
      </c>
      <c r="BN32" s="2" t="s">
        <v>3932</v>
      </c>
      <c r="BO32" s="2" t="s">
        <v>3908</v>
      </c>
      <c r="BP32" s="2" t="s">
        <v>39</v>
      </c>
      <c r="BR32" s="2" t="s">
        <v>39</v>
      </c>
      <c r="BS32" s="2" t="s">
        <v>39</v>
      </c>
      <c r="BT32" s="2" t="s">
        <v>3909</v>
      </c>
      <c r="BZ32" s="4">
        <v>40</v>
      </c>
      <c r="CA32" s="3">
        <v>1</v>
      </c>
      <c r="CB32" s="3">
        <v>169524</v>
      </c>
      <c r="CD32" s="2" t="s">
        <v>4121</v>
      </c>
      <c r="CH32" s="5">
        <v>0</v>
      </c>
      <c r="CI32" s="2" t="s">
        <v>3979</v>
      </c>
      <c r="CJ32" s="2" t="s">
        <v>4109</v>
      </c>
      <c r="CK32" s="2" t="s">
        <v>3936</v>
      </c>
      <c r="CL32" s="4">
        <v>8</v>
      </c>
      <c r="CM32" s="2" t="s">
        <v>3911</v>
      </c>
      <c r="CQ32" s="2" t="s">
        <v>3937</v>
      </c>
      <c r="CR32" s="2" t="s">
        <v>3937</v>
      </c>
      <c r="CS32" s="2" t="s">
        <v>3937</v>
      </c>
      <c r="CT32" s="2" t="s">
        <v>3937</v>
      </c>
      <c r="CU32" s="2" t="s">
        <v>3937</v>
      </c>
      <c r="CV32" s="2" t="s">
        <v>3937</v>
      </c>
      <c r="CW32" s="2" t="s">
        <v>3937</v>
      </c>
      <c r="CX32" s="3">
        <v>0</v>
      </c>
      <c r="CZ32" s="3">
        <v>0</v>
      </c>
      <c r="DA32" s="2" t="s">
        <v>4130</v>
      </c>
      <c r="DB32" s="3">
        <v>169524</v>
      </c>
      <c r="DC32" s="3">
        <v>0</v>
      </c>
      <c r="DD32" s="3">
        <v>169524</v>
      </c>
      <c r="DE32" s="3">
        <v>0</v>
      </c>
      <c r="DF32" s="2" t="s">
        <v>3912</v>
      </c>
      <c r="DG32" s="2" t="s">
        <v>3981</v>
      </c>
    </row>
    <row r="33" spans="1:111" x14ac:dyDescent="0.2">
      <c r="A33" s="8" t="s">
        <v>4131</v>
      </c>
      <c r="B33" s="2" t="s">
        <v>4132</v>
      </c>
      <c r="C33" s="6">
        <v>44740</v>
      </c>
      <c r="D33" s="2" t="s">
        <v>4126</v>
      </c>
      <c r="E33" s="2" t="s">
        <v>3304</v>
      </c>
      <c r="G33" s="2" t="s">
        <v>4127</v>
      </c>
      <c r="H33" s="2" t="s">
        <v>3908</v>
      </c>
      <c r="I33" s="6">
        <v>44748</v>
      </c>
      <c r="J33" s="6">
        <v>45075</v>
      </c>
      <c r="M33" s="2" t="s">
        <v>3919</v>
      </c>
      <c r="N33" s="3">
        <v>1</v>
      </c>
      <c r="O33" s="3">
        <v>1</v>
      </c>
      <c r="P33" s="3">
        <v>0</v>
      </c>
      <c r="Q33" s="3">
        <v>1</v>
      </c>
      <c r="R33" s="5">
        <v>0</v>
      </c>
      <c r="S33" s="3">
        <v>296068</v>
      </c>
      <c r="T33" s="3">
        <v>296068</v>
      </c>
      <c r="U33" s="2" t="s">
        <v>39</v>
      </c>
      <c r="V33" s="2" t="s">
        <v>4133</v>
      </c>
      <c r="W33" s="2" t="s">
        <v>4119</v>
      </c>
      <c r="X33" s="2" t="s">
        <v>3957</v>
      </c>
      <c r="Y33" s="2" t="s">
        <v>4129</v>
      </c>
      <c r="Z33" s="6"/>
      <c r="AA33" s="4">
        <v>1</v>
      </c>
      <c r="AB33" s="4">
        <v>1</v>
      </c>
      <c r="AE33" s="2" t="s">
        <v>3902</v>
      </c>
      <c r="AF33" s="2" t="s">
        <v>3958</v>
      </c>
      <c r="AH33" s="2" t="s">
        <v>3959</v>
      </c>
      <c r="AJ33" s="2" t="s">
        <v>4076</v>
      </c>
      <c r="AK33" s="2" t="s">
        <v>3903</v>
      </c>
      <c r="AL33" s="5">
        <v>0</v>
      </c>
      <c r="AN33" s="3">
        <v>0</v>
      </c>
      <c r="AO33" s="5">
        <v>1</v>
      </c>
      <c r="AQ33" s="5">
        <v>0</v>
      </c>
      <c r="AR33" s="2" t="s">
        <v>3961</v>
      </c>
      <c r="AS33" s="2" t="s">
        <v>3904</v>
      </c>
      <c r="AV33" s="2" t="s">
        <v>3962</v>
      </c>
      <c r="AX33" s="6">
        <v>45075</v>
      </c>
      <c r="AY33" s="2" t="s">
        <v>3963</v>
      </c>
      <c r="BA33" s="6"/>
      <c r="BB33" s="6"/>
      <c r="BC33" s="6">
        <v>45075</v>
      </c>
      <c r="BD33" s="6"/>
      <c r="BE33" s="6"/>
      <c r="BF33" s="6"/>
      <c r="BG33" s="6"/>
      <c r="BH33" s="2" t="s">
        <v>3943</v>
      </c>
      <c r="BJ33" s="3">
        <v>296068</v>
      </c>
      <c r="BK33" s="3">
        <v>296068</v>
      </c>
      <c r="BN33" s="2" t="s">
        <v>3932</v>
      </c>
      <c r="BO33" s="2" t="s">
        <v>3908</v>
      </c>
      <c r="BP33" s="2" t="s">
        <v>39</v>
      </c>
      <c r="BR33" s="2" t="s">
        <v>39</v>
      </c>
      <c r="BS33" s="2" t="s">
        <v>39</v>
      </c>
      <c r="BT33" s="2" t="s">
        <v>3909</v>
      </c>
      <c r="BZ33" s="4">
        <v>40</v>
      </c>
      <c r="CA33" s="3">
        <v>1</v>
      </c>
      <c r="CB33" s="3">
        <v>296068</v>
      </c>
      <c r="CD33" s="2" t="s">
        <v>4121</v>
      </c>
      <c r="CH33" s="5">
        <v>0</v>
      </c>
      <c r="CI33" s="2" t="s">
        <v>3979</v>
      </c>
      <c r="CJ33" s="2" t="s">
        <v>4109</v>
      </c>
      <c r="CK33" s="2" t="s">
        <v>3936</v>
      </c>
      <c r="CL33" s="4">
        <v>8</v>
      </c>
      <c r="CM33" s="2" t="s">
        <v>3911</v>
      </c>
      <c r="CQ33" s="2" t="s">
        <v>3937</v>
      </c>
      <c r="CR33" s="2" t="s">
        <v>3937</v>
      </c>
      <c r="CS33" s="2" t="s">
        <v>3937</v>
      </c>
      <c r="CT33" s="2" t="s">
        <v>3937</v>
      </c>
      <c r="CU33" s="2" t="s">
        <v>3937</v>
      </c>
      <c r="CV33" s="2" t="s">
        <v>3937</v>
      </c>
      <c r="CW33" s="2" t="s">
        <v>3937</v>
      </c>
      <c r="CX33" s="3">
        <v>0</v>
      </c>
      <c r="CZ33" s="3">
        <v>0</v>
      </c>
      <c r="DA33" s="2" t="s">
        <v>4134</v>
      </c>
      <c r="DB33" s="3">
        <v>296068</v>
      </c>
      <c r="DC33" s="3">
        <v>0</v>
      </c>
      <c r="DD33" s="3">
        <v>296068</v>
      </c>
      <c r="DE33" s="3">
        <v>0</v>
      </c>
      <c r="DF33" s="2" t="s">
        <v>3912</v>
      </c>
      <c r="DG33" s="2" t="s">
        <v>3981</v>
      </c>
    </row>
    <row r="34" spans="1:111" x14ac:dyDescent="0.2">
      <c r="A34" s="8" t="s">
        <v>4135</v>
      </c>
      <c r="B34" s="2" t="s">
        <v>4136</v>
      </c>
      <c r="C34" s="6">
        <v>44735</v>
      </c>
      <c r="D34" s="2" t="s">
        <v>4137</v>
      </c>
      <c r="E34" s="2" t="s">
        <v>283</v>
      </c>
      <c r="G34" s="2" t="s">
        <v>4138</v>
      </c>
      <c r="H34" s="2" t="s">
        <v>3918</v>
      </c>
      <c r="I34" s="6">
        <v>44749</v>
      </c>
      <c r="J34" s="6">
        <v>44798</v>
      </c>
      <c r="M34" s="2" t="s">
        <v>4054</v>
      </c>
      <c r="N34" s="3">
        <v>2</v>
      </c>
      <c r="O34" s="3">
        <v>2</v>
      </c>
      <c r="P34" s="3">
        <v>0</v>
      </c>
      <c r="Q34" s="3">
        <v>2</v>
      </c>
      <c r="R34" s="5">
        <v>0</v>
      </c>
      <c r="S34" s="3">
        <v>23000</v>
      </c>
      <c r="T34" s="3">
        <v>46000</v>
      </c>
      <c r="U34" s="2" t="s">
        <v>39</v>
      </c>
      <c r="V34" s="2" t="s">
        <v>4139</v>
      </c>
      <c r="W34" s="2" t="s">
        <v>4056</v>
      </c>
      <c r="X34" s="2" t="s">
        <v>3957</v>
      </c>
      <c r="Y34" s="2" t="s">
        <v>4129</v>
      </c>
      <c r="Z34" s="6"/>
      <c r="AA34" s="4">
        <v>1</v>
      </c>
      <c r="AB34" s="4">
        <v>1</v>
      </c>
      <c r="AE34" s="2" t="s">
        <v>3902</v>
      </c>
      <c r="AF34" s="2" t="s">
        <v>3958</v>
      </c>
      <c r="AH34" s="2" t="s">
        <v>3959</v>
      </c>
      <c r="AJ34" s="2" t="s">
        <v>4076</v>
      </c>
      <c r="AK34" s="2" t="s">
        <v>3903</v>
      </c>
      <c r="AL34" s="5">
        <v>0</v>
      </c>
      <c r="AN34" s="3">
        <v>0</v>
      </c>
      <c r="AO34" s="5">
        <v>2</v>
      </c>
      <c r="AQ34" s="5">
        <v>0</v>
      </c>
      <c r="AR34" s="2" t="s">
        <v>4140</v>
      </c>
      <c r="AS34" s="2" t="s">
        <v>3904</v>
      </c>
      <c r="AV34" s="2" t="s">
        <v>3962</v>
      </c>
      <c r="AW34" s="2" t="s">
        <v>3906</v>
      </c>
      <c r="AX34" s="6">
        <v>44798</v>
      </c>
      <c r="AY34" s="2" t="s">
        <v>4141</v>
      </c>
      <c r="BA34" s="6"/>
      <c r="BB34" s="6">
        <v>44739</v>
      </c>
      <c r="BC34" s="6">
        <v>44798</v>
      </c>
      <c r="BD34" s="6"/>
      <c r="BE34" s="6"/>
      <c r="BF34" s="6">
        <v>44739</v>
      </c>
      <c r="BG34" s="6"/>
      <c r="BH34" s="2" t="s">
        <v>3943</v>
      </c>
      <c r="BJ34" s="3">
        <v>31800</v>
      </c>
      <c r="BK34" s="3">
        <v>15900</v>
      </c>
      <c r="BN34" s="2" t="s">
        <v>2705</v>
      </c>
      <c r="BO34" s="2" t="s">
        <v>3908</v>
      </c>
      <c r="BP34" s="2" t="s">
        <v>39</v>
      </c>
      <c r="BR34" s="2" t="s">
        <v>39</v>
      </c>
      <c r="BS34" s="2" t="s">
        <v>39</v>
      </c>
      <c r="BT34" s="2" t="s">
        <v>3909</v>
      </c>
      <c r="BZ34" s="4">
        <v>40</v>
      </c>
      <c r="CA34" s="3">
        <v>2</v>
      </c>
      <c r="CB34" s="3">
        <v>46000</v>
      </c>
      <c r="CD34" s="2" t="s">
        <v>4059</v>
      </c>
      <c r="CH34" s="5">
        <v>0</v>
      </c>
      <c r="CI34" s="2" t="s">
        <v>3979</v>
      </c>
      <c r="CJ34" s="2" t="s">
        <v>4109</v>
      </c>
      <c r="CK34" s="2" t="s">
        <v>3936</v>
      </c>
      <c r="CL34" s="4">
        <v>8</v>
      </c>
      <c r="CM34" s="2" t="s">
        <v>3911</v>
      </c>
      <c r="CQ34" s="2" t="s">
        <v>3937</v>
      </c>
      <c r="CR34" s="2" t="s">
        <v>3937</v>
      </c>
      <c r="CS34" s="2" t="s">
        <v>3937</v>
      </c>
      <c r="CT34" s="2" t="s">
        <v>3937</v>
      </c>
      <c r="CU34" s="2" t="s">
        <v>3937</v>
      </c>
      <c r="CV34" s="2" t="s">
        <v>3937</v>
      </c>
      <c r="CW34" s="2" t="s">
        <v>3937</v>
      </c>
      <c r="CX34" s="3">
        <v>0</v>
      </c>
      <c r="CZ34" s="3">
        <v>0</v>
      </c>
      <c r="DA34" s="2" t="s">
        <v>4142</v>
      </c>
      <c r="DB34" s="3">
        <v>46000</v>
      </c>
      <c r="DC34" s="3">
        <v>0</v>
      </c>
      <c r="DD34" s="3">
        <v>46000</v>
      </c>
      <c r="DE34" s="3">
        <v>0</v>
      </c>
      <c r="DF34" s="2" t="s">
        <v>3912</v>
      </c>
      <c r="DG34" s="2" t="s">
        <v>3981</v>
      </c>
    </row>
    <row r="35" spans="1:111" x14ac:dyDescent="0.2">
      <c r="A35" s="8" t="s">
        <v>4143</v>
      </c>
      <c r="B35" s="2" t="s">
        <v>4144</v>
      </c>
      <c r="C35" s="6">
        <v>44735</v>
      </c>
      <c r="D35" s="2" t="s">
        <v>4137</v>
      </c>
      <c r="E35" s="2" t="s">
        <v>3304</v>
      </c>
      <c r="G35" s="2" t="s">
        <v>4138</v>
      </c>
      <c r="H35" s="2" t="s">
        <v>3908</v>
      </c>
      <c r="I35" s="6">
        <v>44749</v>
      </c>
      <c r="J35" s="6">
        <v>44798</v>
      </c>
      <c r="M35" s="2" t="s">
        <v>4054</v>
      </c>
      <c r="N35" s="3">
        <v>2</v>
      </c>
      <c r="O35" s="3">
        <v>2</v>
      </c>
      <c r="P35" s="3">
        <v>0</v>
      </c>
      <c r="Q35" s="3">
        <v>2</v>
      </c>
      <c r="R35" s="5">
        <v>0</v>
      </c>
      <c r="S35" s="3">
        <v>15600</v>
      </c>
      <c r="T35" s="3">
        <v>31200</v>
      </c>
      <c r="U35" s="2" t="s">
        <v>39</v>
      </c>
      <c r="V35" s="2" t="s">
        <v>4145</v>
      </c>
      <c r="W35" s="2" t="s">
        <v>4056</v>
      </c>
      <c r="X35" s="2" t="s">
        <v>3957</v>
      </c>
      <c r="Y35" s="2" t="s">
        <v>4129</v>
      </c>
      <c r="Z35" s="6"/>
      <c r="AA35" s="4">
        <v>1</v>
      </c>
      <c r="AB35" s="4">
        <v>1</v>
      </c>
      <c r="AE35" s="2" t="s">
        <v>3902</v>
      </c>
      <c r="AF35" s="2" t="s">
        <v>3958</v>
      </c>
      <c r="AH35" s="2" t="s">
        <v>3959</v>
      </c>
      <c r="AJ35" s="2" t="s">
        <v>4076</v>
      </c>
      <c r="AK35" s="2" t="s">
        <v>3903</v>
      </c>
      <c r="AL35" s="5">
        <v>0</v>
      </c>
      <c r="AN35" s="3">
        <v>0</v>
      </c>
      <c r="AO35" s="5">
        <v>2</v>
      </c>
      <c r="AQ35" s="5">
        <v>0</v>
      </c>
      <c r="AR35" s="2" t="s">
        <v>4140</v>
      </c>
      <c r="AS35" s="2" t="s">
        <v>3904</v>
      </c>
      <c r="AV35" s="2" t="s">
        <v>3962</v>
      </c>
      <c r="AW35" s="2" t="s">
        <v>3906</v>
      </c>
      <c r="AX35" s="6">
        <v>44848</v>
      </c>
      <c r="AY35" s="2" t="s">
        <v>4141</v>
      </c>
      <c r="BA35" s="6"/>
      <c r="BB35" s="6">
        <v>44739</v>
      </c>
      <c r="BC35" s="6">
        <v>44798</v>
      </c>
      <c r="BD35" s="6"/>
      <c r="BE35" s="6"/>
      <c r="BF35" s="6">
        <v>44774</v>
      </c>
      <c r="BG35" s="6"/>
      <c r="BH35" s="2" t="s">
        <v>3943</v>
      </c>
      <c r="BJ35" s="3">
        <v>31200</v>
      </c>
      <c r="BK35" s="3">
        <v>15600</v>
      </c>
      <c r="BN35" s="2" t="s">
        <v>2705</v>
      </c>
      <c r="BO35" s="2" t="s">
        <v>3908</v>
      </c>
      <c r="BP35" s="2" t="s">
        <v>39</v>
      </c>
      <c r="BR35" s="2" t="s">
        <v>39</v>
      </c>
      <c r="BS35" s="2" t="s">
        <v>39</v>
      </c>
      <c r="BT35" s="2" t="s">
        <v>3909</v>
      </c>
      <c r="BZ35" s="4">
        <v>40</v>
      </c>
      <c r="CA35" s="3">
        <v>2</v>
      </c>
      <c r="CB35" s="3">
        <v>31200</v>
      </c>
      <c r="CD35" s="2" t="s">
        <v>4059</v>
      </c>
      <c r="CH35" s="5">
        <v>0</v>
      </c>
      <c r="CI35" s="2" t="s">
        <v>3979</v>
      </c>
      <c r="CJ35" s="2" t="s">
        <v>4109</v>
      </c>
      <c r="CK35" s="2" t="s">
        <v>3936</v>
      </c>
      <c r="CL35" s="4">
        <v>8</v>
      </c>
      <c r="CM35" s="2" t="s">
        <v>3911</v>
      </c>
      <c r="CQ35" s="2" t="s">
        <v>3937</v>
      </c>
      <c r="CR35" s="2" t="s">
        <v>3937</v>
      </c>
      <c r="CS35" s="2" t="s">
        <v>3937</v>
      </c>
      <c r="CT35" s="2" t="s">
        <v>3937</v>
      </c>
      <c r="CU35" s="2" t="s">
        <v>3937</v>
      </c>
      <c r="CV35" s="2" t="s">
        <v>3937</v>
      </c>
      <c r="CW35" s="2" t="s">
        <v>3937</v>
      </c>
      <c r="CX35" s="3">
        <v>0</v>
      </c>
      <c r="CZ35" s="3">
        <v>0</v>
      </c>
      <c r="DA35" s="2" t="s">
        <v>4146</v>
      </c>
      <c r="DB35" s="3">
        <v>31200</v>
      </c>
      <c r="DC35" s="3">
        <v>0</v>
      </c>
      <c r="DD35" s="3">
        <v>31200</v>
      </c>
      <c r="DE35" s="3">
        <v>0</v>
      </c>
      <c r="DF35" s="2" t="s">
        <v>3912</v>
      </c>
      <c r="DG35" s="2" t="s">
        <v>3981</v>
      </c>
    </row>
    <row r="36" spans="1:111" x14ac:dyDescent="0.2">
      <c r="A36" s="8" t="s">
        <v>4147</v>
      </c>
      <c r="B36" s="2" t="s">
        <v>4148</v>
      </c>
      <c r="C36" s="6">
        <v>44735</v>
      </c>
      <c r="D36" s="2" t="s">
        <v>4137</v>
      </c>
      <c r="E36" s="2" t="s">
        <v>3932</v>
      </c>
      <c r="G36" s="2" t="s">
        <v>4138</v>
      </c>
      <c r="H36" s="2" t="s">
        <v>3948</v>
      </c>
      <c r="I36" s="6">
        <v>44749</v>
      </c>
      <c r="J36" s="6">
        <v>45152</v>
      </c>
      <c r="M36" s="2" t="s">
        <v>4054</v>
      </c>
      <c r="N36" s="3">
        <v>2</v>
      </c>
      <c r="O36" s="3">
        <v>2</v>
      </c>
      <c r="P36" s="3">
        <v>0</v>
      </c>
      <c r="Q36" s="3">
        <v>2</v>
      </c>
      <c r="R36" s="5">
        <v>0</v>
      </c>
      <c r="S36" s="3">
        <v>23300</v>
      </c>
      <c r="T36" s="3">
        <v>46600</v>
      </c>
      <c r="U36" s="2" t="s">
        <v>39</v>
      </c>
      <c r="V36" s="2" t="s">
        <v>4149</v>
      </c>
      <c r="W36" s="2" t="s">
        <v>4056</v>
      </c>
      <c r="X36" s="2" t="s">
        <v>3957</v>
      </c>
      <c r="Y36" s="2" t="s">
        <v>4129</v>
      </c>
      <c r="Z36" s="6"/>
      <c r="AA36" s="4">
        <v>1</v>
      </c>
      <c r="AB36" s="4">
        <v>1</v>
      </c>
      <c r="AE36" s="2" t="s">
        <v>3902</v>
      </c>
      <c r="AF36" s="2" t="s">
        <v>3958</v>
      </c>
      <c r="AH36" s="2" t="s">
        <v>3959</v>
      </c>
      <c r="AJ36" s="2" t="s">
        <v>4076</v>
      </c>
      <c r="AK36" s="2" t="s">
        <v>3903</v>
      </c>
      <c r="AL36" s="5">
        <v>0</v>
      </c>
      <c r="AN36" s="3">
        <v>0</v>
      </c>
      <c r="AO36" s="5">
        <v>2</v>
      </c>
      <c r="AQ36" s="5">
        <v>0</v>
      </c>
      <c r="AR36" s="2" t="s">
        <v>4140</v>
      </c>
      <c r="AS36" s="2" t="s">
        <v>3904</v>
      </c>
      <c r="AV36" s="2" t="s">
        <v>3962</v>
      </c>
      <c r="AW36" s="2" t="s">
        <v>3906</v>
      </c>
      <c r="AX36" s="6">
        <v>45134</v>
      </c>
      <c r="AY36" s="2" t="s">
        <v>4141</v>
      </c>
      <c r="BA36" s="6"/>
      <c r="BB36" s="6">
        <v>44739</v>
      </c>
      <c r="BC36" s="6">
        <v>45152</v>
      </c>
      <c r="BD36" s="6"/>
      <c r="BE36" s="6"/>
      <c r="BF36" s="6">
        <v>45062</v>
      </c>
      <c r="BG36" s="6"/>
      <c r="BH36" s="2" t="s">
        <v>3943</v>
      </c>
      <c r="BJ36" s="3">
        <v>46600</v>
      </c>
      <c r="BK36" s="3">
        <v>23300</v>
      </c>
      <c r="BN36" s="2" t="s">
        <v>2705</v>
      </c>
      <c r="BO36" s="2" t="s">
        <v>3908</v>
      </c>
      <c r="BP36" s="2" t="s">
        <v>39</v>
      </c>
      <c r="BR36" s="2" t="s">
        <v>39</v>
      </c>
      <c r="BS36" s="2" t="s">
        <v>39</v>
      </c>
      <c r="BT36" s="2" t="s">
        <v>3909</v>
      </c>
      <c r="BZ36" s="4">
        <v>40</v>
      </c>
      <c r="CA36" s="3">
        <v>2</v>
      </c>
      <c r="CB36" s="3">
        <v>46600</v>
      </c>
      <c r="CD36" s="2" t="s">
        <v>4059</v>
      </c>
      <c r="CH36" s="5">
        <v>0</v>
      </c>
      <c r="CI36" s="2" t="s">
        <v>3979</v>
      </c>
      <c r="CJ36" s="2" t="s">
        <v>4109</v>
      </c>
      <c r="CK36" s="2" t="s">
        <v>3936</v>
      </c>
      <c r="CL36" s="4">
        <v>8</v>
      </c>
      <c r="CM36" s="2" t="s">
        <v>3911</v>
      </c>
      <c r="CQ36" s="2" t="s">
        <v>3937</v>
      </c>
      <c r="CR36" s="2" t="s">
        <v>3937</v>
      </c>
      <c r="CS36" s="2" t="s">
        <v>3937</v>
      </c>
      <c r="CT36" s="2" t="s">
        <v>3937</v>
      </c>
      <c r="CU36" s="2" t="s">
        <v>3937</v>
      </c>
      <c r="CV36" s="2" t="s">
        <v>3937</v>
      </c>
      <c r="CW36" s="2" t="s">
        <v>3937</v>
      </c>
      <c r="CX36" s="3">
        <v>0</v>
      </c>
      <c r="CZ36" s="3">
        <v>0</v>
      </c>
      <c r="DA36" s="2" t="s">
        <v>4150</v>
      </c>
      <c r="DB36" s="3">
        <v>46600</v>
      </c>
      <c r="DC36" s="3">
        <v>0</v>
      </c>
      <c r="DD36" s="3">
        <v>46600</v>
      </c>
      <c r="DE36" s="3">
        <v>0</v>
      </c>
      <c r="DF36" s="2" t="s">
        <v>3912</v>
      </c>
      <c r="DG36" s="2" t="s">
        <v>3981</v>
      </c>
    </row>
    <row r="37" spans="1:111" x14ac:dyDescent="0.2">
      <c r="B37" s="2" t="s">
        <v>4151</v>
      </c>
      <c r="C37" s="6">
        <v>44734</v>
      </c>
      <c r="D37" s="2" t="s">
        <v>4152</v>
      </c>
      <c r="E37" s="2" t="s">
        <v>283</v>
      </c>
      <c r="G37" s="2" t="s">
        <v>4153</v>
      </c>
      <c r="H37" s="2" t="s">
        <v>3918</v>
      </c>
      <c r="I37" s="6">
        <v>44740</v>
      </c>
      <c r="J37" s="6">
        <v>44834</v>
      </c>
      <c r="M37" s="2" t="s">
        <v>3919</v>
      </c>
      <c r="N37" s="5">
        <v>1</v>
      </c>
      <c r="O37" s="4">
        <v>1</v>
      </c>
      <c r="P37" s="4">
        <v>0</v>
      </c>
      <c r="Q37" s="4">
        <v>0</v>
      </c>
      <c r="R37" s="5">
        <v>0</v>
      </c>
      <c r="S37" s="3">
        <v>1000</v>
      </c>
      <c r="T37" s="3">
        <v>1000</v>
      </c>
      <c r="U37" s="2" t="s">
        <v>39</v>
      </c>
      <c r="W37" s="2" t="s">
        <v>4154</v>
      </c>
      <c r="X37" s="2" t="s">
        <v>3901</v>
      </c>
      <c r="Z37" s="6"/>
      <c r="AA37" s="4">
        <v>1</v>
      </c>
      <c r="AB37" s="4">
        <v>1</v>
      </c>
      <c r="AE37" s="2" t="s">
        <v>3902</v>
      </c>
      <c r="AF37" s="2" t="s">
        <v>4105</v>
      </c>
      <c r="AH37" s="2" t="s">
        <v>4106</v>
      </c>
      <c r="AJ37" s="2" t="s">
        <v>4155</v>
      </c>
      <c r="AK37" s="2" t="s">
        <v>3903</v>
      </c>
      <c r="AL37" s="5">
        <v>0</v>
      </c>
      <c r="AN37" s="4">
        <v>0</v>
      </c>
      <c r="AO37" s="5">
        <v>1</v>
      </c>
      <c r="AQ37" s="5">
        <v>0</v>
      </c>
      <c r="AS37" s="2" t="s">
        <v>3904</v>
      </c>
      <c r="AV37" s="2" t="s">
        <v>3905</v>
      </c>
      <c r="AW37" s="2" t="s">
        <v>3906</v>
      </c>
      <c r="AX37" s="6">
        <v>44741</v>
      </c>
      <c r="BA37" s="6"/>
      <c r="BB37" s="6">
        <v>44736</v>
      </c>
      <c r="BC37" s="6">
        <v>44834</v>
      </c>
      <c r="BD37" s="6"/>
      <c r="BE37" s="6"/>
      <c r="BF37" s="6">
        <v>44736</v>
      </c>
      <c r="BG37" s="6"/>
      <c r="BH37" s="2" t="s">
        <v>4156</v>
      </c>
      <c r="BJ37" s="3">
        <v>1000</v>
      </c>
      <c r="BK37" s="3">
        <v>1000</v>
      </c>
      <c r="BN37" s="2" t="s">
        <v>3932</v>
      </c>
      <c r="BO37" s="2" t="s">
        <v>3908</v>
      </c>
      <c r="BP37" s="2" t="s">
        <v>39</v>
      </c>
      <c r="BR37" s="2" t="s">
        <v>39</v>
      </c>
      <c r="BS37" s="2" t="s">
        <v>39</v>
      </c>
      <c r="BT37" s="2" t="s">
        <v>3909</v>
      </c>
      <c r="BZ37" s="4">
        <v>0</v>
      </c>
      <c r="CA37" s="4">
        <v>1</v>
      </c>
      <c r="CB37" s="3">
        <v>1000</v>
      </c>
      <c r="CD37" s="2" t="s">
        <v>4157</v>
      </c>
      <c r="CH37" s="5">
        <v>0</v>
      </c>
      <c r="CI37" s="2" t="s">
        <v>4158</v>
      </c>
      <c r="CJ37" s="2" t="s">
        <v>4109</v>
      </c>
      <c r="CK37" s="2" t="s">
        <v>3910</v>
      </c>
      <c r="CL37" s="4">
        <v>0</v>
      </c>
      <c r="CM37" s="2" t="s">
        <v>4159</v>
      </c>
      <c r="CQ37" s="2" t="s">
        <v>4110</v>
      </c>
      <c r="CR37" s="2" t="s">
        <v>4110</v>
      </c>
      <c r="CS37" s="2" t="s">
        <v>55</v>
      </c>
      <c r="CT37" s="2" t="s">
        <v>55</v>
      </c>
      <c r="CV37" s="2" t="s">
        <v>4110</v>
      </c>
      <c r="CW37" s="2" t="s">
        <v>4110</v>
      </c>
      <c r="CX37" s="3">
        <v>0</v>
      </c>
      <c r="CZ37" s="3">
        <v>0</v>
      </c>
      <c r="DA37" s="2" t="s">
        <v>3911</v>
      </c>
      <c r="DB37" s="3">
        <v>1000</v>
      </c>
      <c r="DC37" s="3">
        <v>0</v>
      </c>
      <c r="DD37" s="3">
        <v>0</v>
      </c>
      <c r="DE37" s="3">
        <v>1000</v>
      </c>
      <c r="DF37" s="2" t="s">
        <v>3912</v>
      </c>
      <c r="DG37" s="2" t="s">
        <v>4160</v>
      </c>
    </row>
    <row r="38" spans="1:111" x14ac:dyDescent="0.2">
      <c r="A38" s="2" t="s">
        <v>4161</v>
      </c>
      <c r="B38" s="2" t="s">
        <v>4162</v>
      </c>
      <c r="C38" s="6">
        <v>44728</v>
      </c>
      <c r="D38" s="2" t="s">
        <v>4163</v>
      </c>
      <c r="E38" s="2" t="s">
        <v>283</v>
      </c>
      <c r="G38" s="2" t="s">
        <v>4164</v>
      </c>
      <c r="H38" s="2" t="s">
        <v>3918</v>
      </c>
      <c r="I38" s="6">
        <v>44743</v>
      </c>
      <c r="J38" s="6">
        <v>44748</v>
      </c>
      <c r="M38" s="2" t="s">
        <v>3919</v>
      </c>
      <c r="N38" s="3">
        <v>1</v>
      </c>
      <c r="O38" s="3">
        <v>1</v>
      </c>
      <c r="P38" s="3">
        <v>0</v>
      </c>
      <c r="Q38" s="3">
        <v>1</v>
      </c>
      <c r="R38" s="5">
        <v>0</v>
      </c>
      <c r="S38" s="3">
        <v>5000</v>
      </c>
      <c r="T38" s="3">
        <v>5000</v>
      </c>
      <c r="U38" s="2" t="s">
        <v>39</v>
      </c>
      <c r="V38" s="2" t="s">
        <v>4161</v>
      </c>
      <c r="W38" s="2" t="s">
        <v>4165</v>
      </c>
      <c r="X38" s="2" t="s">
        <v>3922</v>
      </c>
      <c r="Z38" s="6"/>
      <c r="AA38" s="4">
        <v>1</v>
      </c>
      <c r="AB38" s="4">
        <v>1</v>
      </c>
      <c r="AE38" s="2" t="s">
        <v>3902</v>
      </c>
      <c r="AF38" s="2" t="s">
        <v>3958</v>
      </c>
      <c r="AH38" s="2" t="s">
        <v>3959</v>
      </c>
      <c r="AJ38" s="2" t="s">
        <v>4166</v>
      </c>
      <c r="AK38" s="2" t="s">
        <v>3903</v>
      </c>
      <c r="AL38" s="5">
        <v>0</v>
      </c>
      <c r="AN38" s="3">
        <v>0</v>
      </c>
      <c r="AO38" s="5">
        <v>1</v>
      </c>
      <c r="AQ38" s="5">
        <v>0</v>
      </c>
      <c r="AR38" s="2" t="s">
        <v>1688</v>
      </c>
      <c r="AS38" s="2" t="s">
        <v>3904</v>
      </c>
      <c r="AV38" s="2" t="s">
        <v>3905</v>
      </c>
      <c r="AW38" s="2" t="s">
        <v>3906</v>
      </c>
      <c r="AX38" s="6">
        <v>44748</v>
      </c>
      <c r="AY38" s="2" t="s">
        <v>4167</v>
      </c>
      <c r="BA38" s="6"/>
      <c r="BB38" s="6">
        <v>44728</v>
      </c>
      <c r="BC38" s="6">
        <v>44748</v>
      </c>
      <c r="BD38" s="6"/>
      <c r="BE38" s="6"/>
      <c r="BF38" s="6">
        <v>44728</v>
      </c>
      <c r="BG38" s="6"/>
      <c r="BH38" s="2" t="s">
        <v>3907</v>
      </c>
      <c r="BJ38" s="3">
        <v>5000</v>
      </c>
      <c r="BK38" s="3">
        <v>5000</v>
      </c>
      <c r="BN38" s="2" t="s">
        <v>3932</v>
      </c>
      <c r="BO38" s="2" t="s">
        <v>3908</v>
      </c>
      <c r="BP38" s="2" t="s">
        <v>39</v>
      </c>
      <c r="BR38" s="2" t="s">
        <v>39</v>
      </c>
      <c r="BS38" s="2" t="s">
        <v>39</v>
      </c>
      <c r="BT38" s="2" t="s">
        <v>3909</v>
      </c>
      <c r="BZ38" s="4">
        <v>85</v>
      </c>
      <c r="CA38" s="3">
        <v>1</v>
      </c>
      <c r="CB38" s="3">
        <v>5000</v>
      </c>
      <c r="CD38" s="2" t="s">
        <v>4168</v>
      </c>
      <c r="CH38" s="5">
        <v>0</v>
      </c>
      <c r="CI38" s="2" t="s">
        <v>4158</v>
      </c>
      <c r="CJ38" s="2" t="s">
        <v>4109</v>
      </c>
      <c r="CK38" s="2" t="s">
        <v>3910</v>
      </c>
      <c r="CL38" s="4">
        <v>8</v>
      </c>
      <c r="CM38" s="2" t="s">
        <v>3911</v>
      </c>
      <c r="CQ38" s="2" t="s">
        <v>3937</v>
      </c>
      <c r="CR38" s="2" t="s">
        <v>3937</v>
      </c>
      <c r="CS38" s="2" t="s">
        <v>3937</v>
      </c>
      <c r="CT38" s="2" t="s">
        <v>3937</v>
      </c>
      <c r="CU38" s="2" t="s">
        <v>3937</v>
      </c>
      <c r="CV38" s="2" t="s">
        <v>3937</v>
      </c>
      <c r="CW38" s="2" t="s">
        <v>3937</v>
      </c>
      <c r="CX38" s="3">
        <v>0</v>
      </c>
      <c r="CZ38" s="3">
        <v>0</v>
      </c>
      <c r="DA38" s="2" t="s">
        <v>4169</v>
      </c>
      <c r="DB38" s="3">
        <v>5000</v>
      </c>
      <c r="DC38" s="3">
        <v>0</v>
      </c>
      <c r="DD38" s="3">
        <v>5000</v>
      </c>
      <c r="DE38" s="3">
        <v>0</v>
      </c>
      <c r="DF38" s="2" t="s">
        <v>3912</v>
      </c>
      <c r="DG38" s="2" t="s">
        <v>4170</v>
      </c>
    </row>
    <row r="39" spans="1:111" x14ac:dyDescent="0.2">
      <c r="A39" s="2">
        <v>1124510125000</v>
      </c>
      <c r="B39" s="2" t="s">
        <v>1172</v>
      </c>
      <c r="C39" s="6">
        <v>44727</v>
      </c>
      <c r="D39" s="2" t="s">
        <v>4171</v>
      </c>
      <c r="E39" s="2" t="s">
        <v>283</v>
      </c>
      <c r="G39" s="2" t="s">
        <v>4172</v>
      </c>
      <c r="H39" s="2" t="s">
        <v>3918</v>
      </c>
      <c r="I39" s="6">
        <v>44736</v>
      </c>
      <c r="J39" s="6">
        <v>44838</v>
      </c>
      <c r="M39" s="2" t="s">
        <v>3919</v>
      </c>
      <c r="N39" s="3">
        <v>455</v>
      </c>
      <c r="O39" s="3">
        <v>455</v>
      </c>
      <c r="P39" s="3">
        <v>0</v>
      </c>
      <c r="Q39" s="3">
        <v>455</v>
      </c>
      <c r="R39" s="5">
        <v>0</v>
      </c>
      <c r="S39" s="3">
        <v>33.82</v>
      </c>
      <c r="T39" s="3">
        <v>15388.1</v>
      </c>
      <c r="U39" s="2" t="s">
        <v>32</v>
      </c>
      <c r="V39" s="2" t="s">
        <v>1173</v>
      </c>
      <c r="W39" s="2" t="s">
        <v>4173</v>
      </c>
      <c r="X39" s="2" t="s">
        <v>3957</v>
      </c>
      <c r="Y39" s="2" t="s">
        <v>4129</v>
      </c>
      <c r="Z39" s="6"/>
      <c r="AA39" s="4">
        <v>1</v>
      </c>
      <c r="AB39" s="4">
        <v>1</v>
      </c>
      <c r="AE39" s="2" t="s">
        <v>3902</v>
      </c>
      <c r="AF39" s="2" t="s">
        <v>3958</v>
      </c>
      <c r="AH39" s="2" t="s">
        <v>3959</v>
      </c>
      <c r="AJ39" s="2" t="s">
        <v>3903</v>
      </c>
      <c r="AK39" s="2" t="s">
        <v>3903</v>
      </c>
      <c r="AL39" s="5">
        <v>0</v>
      </c>
      <c r="AN39" s="3">
        <v>0</v>
      </c>
      <c r="AO39" s="5">
        <v>455</v>
      </c>
      <c r="AQ39" s="5">
        <v>0</v>
      </c>
      <c r="AR39" s="2" t="s">
        <v>1151</v>
      </c>
      <c r="AS39" s="2" t="s">
        <v>3904</v>
      </c>
      <c r="AV39" s="2" t="s">
        <v>3962</v>
      </c>
      <c r="AX39" s="6">
        <v>44838</v>
      </c>
      <c r="AY39" s="2" t="s">
        <v>4174</v>
      </c>
      <c r="BA39" s="6"/>
      <c r="BB39" s="6">
        <v>44728</v>
      </c>
      <c r="BC39" s="6">
        <v>44838</v>
      </c>
      <c r="BD39" s="6"/>
      <c r="BE39" s="6"/>
      <c r="BF39" s="6">
        <v>44754</v>
      </c>
      <c r="BG39" s="6"/>
      <c r="BH39" s="2" t="s">
        <v>4175</v>
      </c>
      <c r="BJ39" s="3">
        <v>14182.35</v>
      </c>
      <c r="BK39" s="3">
        <v>31.17</v>
      </c>
      <c r="BN39" s="2" t="s">
        <v>3932</v>
      </c>
      <c r="BO39" s="2" t="s">
        <v>3908</v>
      </c>
      <c r="BP39" s="2" t="s">
        <v>32</v>
      </c>
      <c r="BR39" s="2" t="s">
        <v>32</v>
      </c>
      <c r="BS39" s="2" t="s">
        <v>32</v>
      </c>
      <c r="BT39" s="2" t="s">
        <v>3909</v>
      </c>
      <c r="BZ39" s="4">
        <v>50</v>
      </c>
      <c r="CA39" s="3">
        <v>455</v>
      </c>
      <c r="CB39" s="3">
        <v>15388.1</v>
      </c>
      <c r="CD39" s="2" t="s">
        <v>4176</v>
      </c>
      <c r="CH39" s="5">
        <v>0</v>
      </c>
      <c r="CI39" s="2" t="s">
        <v>3967</v>
      </c>
      <c r="CK39" s="2" t="s">
        <v>3936</v>
      </c>
      <c r="CL39" s="4">
        <v>8</v>
      </c>
      <c r="CM39" s="2" t="s">
        <v>3911</v>
      </c>
      <c r="CQ39" s="2" t="s">
        <v>3937</v>
      </c>
      <c r="CR39" s="2" t="s">
        <v>3937</v>
      </c>
      <c r="CS39" s="2" t="s">
        <v>3937</v>
      </c>
      <c r="CT39" s="2" t="s">
        <v>3937</v>
      </c>
      <c r="CU39" s="2" t="s">
        <v>3937</v>
      </c>
      <c r="CV39" s="2" t="s">
        <v>3937</v>
      </c>
      <c r="CW39" s="2" t="s">
        <v>3937</v>
      </c>
      <c r="CX39" s="3">
        <v>0</v>
      </c>
      <c r="CZ39" s="3">
        <v>0</v>
      </c>
      <c r="DA39" s="2" t="s">
        <v>4177</v>
      </c>
      <c r="DB39" s="3">
        <v>15388.1</v>
      </c>
      <c r="DC39" s="3">
        <v>0</v>
      </c>
      <c r="DD39" s="3">
        <v>15388.1</v>
      </c>
      <c r="DE39" s="3">
        <v>0</v>
      </c>
      <c r="DF39" s="2" t="s">
        <v>3912</v>
      </c>
      <c r="DG39" s="2" t="s">
        <v>4178</v>
      </c>
    </row>
    <row r="40" spans="1:111" x14ac:dyDescent="0.2">
      <c r="A40" s="2" t="s">
        <v>4179</v>
      </c>
      <c r="B40" s="2" t="s">
        <v>4180</v>
      </c>
      <c r="C40" s="6">
        <v>44727</v>
      </c>
      <c r="D40" s="2" t="s">
        <v>4171</v>
      </c>
      <c r="E40" s="2" t="s">
        <v>3304</v>
      </c>
      <c r="G40" s="2" t="s">
        <v>4172</v>
      </c>
      <c r="H40" s="2" t="s">
        <v>3908</v>
      </c>
      <c r="I40" s="6">
        <v>44736</v>
      </c>
      <c r="J40" s="6">
        <v>44837</v>
      </c>
      <c r="M40" s="2" t="s">
        <v>3919</v>
      </c>
      <c r="N40" s="3">
        <v>10</v>
      </c>
      <c r="O40" s="3">
        <v>10</v>
      </c>
      <c r="P40" s="3">
        <v>0</v>
      </c>
      <c r="Q40" s="3">
        <v>10</v>
      </c>
      <c r="R40" s="5">
        <v>0</v>
      </c>
      <c r="S40" s="3">
        <v>2.0499999999999998</v>
      </c>
      <c r="T40" s="3">
        <v>20.5</v>
      </c>
      <c r="U40" s="2" t="s">
        <v>32</v>
      </c>
      <c r="V40" s="2" t="s">
        <v>4181</v>
      </c>
      <c r="W40" s="2" t="s">
        <v>4173</v>
      </c>
      <c r="X40" s="2" t="s">
        <v>3957</v>
      </c>
      <c r="Y40" s="2" t="s">
        <v>4129</v>
      </c>
      <c r="Z40" s="6"/>
      <c r="AA40" s="4">
        <v>1</v>
      </c>
      <c r="AB40" s="4">
        <v>1</v>
      </c>
      <c r="AE40" s="2" t="s">
        <v>3902</v>
      </c>
      <c r="AF40" s="2" t="s">
        <v>3958</v>
      </c>
      <c r="AH40" s="2" t="s">
        <v>3959</v>
      </c>
      <c r="AJ40" s="2" t="s">
        <v>3903</v>
      </c>
      <c r="AK40" s="2" t="s">
        <v>3903</v>
      </c>
      <c r="AL40" s="5">
        <v>0</v>
      </c>
      <c r="AN40" s="3">
        <v>0</v>
      </c>
      <c r="AO40" s="5">
        <v>10</v>
      </c>
      <c r="AQ40" s="5">
        <v>0</v>
      </c>
      <c r="AR40" s="2" t="s">
        <v>1151</v>
      </c>
      <c r="AS40" s="2" t="s">
        <v>3904</v>
      </c>
      <c r="AV40" s="2" t="s">
        <v>3962</v>
      </c>
      <c r="AX40" s="6">
        <v>44837</v>
      </c>
      <c r="AY40" s="2" t="s">
        <v>4174</v>
      </c>
      <c r="BA40" s="6"/>
      <c r="BB40" s="6">
        <v>44728</v>
      </c>
      <c r="BC40" s="6">
        <v>44837</v>
      </c>
      <c r="BD40" s="6"/>
      <c r="BE40" s="6"/>
      <c r="BF40" s="6">
        <v>44728</v>
      </c>
      <c r="BG40" s="6"/>
      <c r="BH40" s="2" t="s">
        <v>4182</v>
      </c>
      <c r="BJ40" s="3">
        <v>18</v>
      </c>
      <c r="BK40" s="3">
        <v>1.8</v>
      </c>
      <c r="BN40" s="2" t="s">
        <v>3932</v>
      </c>
      <c r="BO40" s="2" t="s">
        <v>3908</v>
      </c>
      <c r="BP40" s="2" t="s">
        <v>32</v>
      </c>
      <c r="BR40" s="2" t="s">
        <v>32</v>
      </c>
      <c r="BS40" s="2" t="s">
        <v>32</v>
      </c>
      <c r="BT40" s="2" t="s">
        <v>3909</v>
      </c>
      <c r="BZ40" s="4">
        <v>85</v>
      </c>
      <c r="CA40" s="3">
        <v>10</v>
      </c>
      <c r="CB40" s="3">
        <v>20.5</v>
      </c>
      <c r="CD40" s="2" t="s">
        <v>4176</v>
      </c>
      <c r="CH40" s="5">
        <v>0</v>
      </c>
      <c r="CI40" s="2" t="s">
        <v>3967</v>
      </c>
      <c r="CK40" s="2" t="s">
        <v>3936</v>
      </c>
      <c r="CL40" s="4">
        <v>8</v>
      </c>
      <c r="CM40" s="2" t="s">
        <v>3911</v>
      </c>
      <c r="CQ40" s="2" t="s">
        <v>3937</v>
      </c>
      <c r="CR40" s="2" t="s">
        <v>3937</v>
      </c>
      <c r="CS40" s="2" t="s">
        <v>3937</v>
      </c>
      <c r="CT40" s="2" t="s">
        <v>3937</v>
      </c>
      <c r="CU40" s="2" t="s">
        <v>3937</v>
      </c>
      <c r="CV40" s="2" t="s">
        <v>3937</v>
      </c>
      <c r="CW40" s="2" t="s">
        <v>3937</v>
      </c>
      <c r="CX40" s="3">
        <v>0</v>
      </c>
      <c r="CZ40" s="3">
        <v>0</v>
      </c>
      <c r="DA40" s="2" t="s">
        <v>4183</v>
      </c>
      <c r="DB40" s="3">
        <v>20.5</v>
      </c>
      <c r="DC40" s="3">
        <v>0</v>
      </c>
      <c r="DD40" s="3">
        <v>20.5</v>
      </c>
      <c r="DE40" s="3">
        <v>0</v>
      </c>
      <c r="DF40" s="2" t="s">
        <v>3912</v>
      </c>
      <c r="DG40" s="2" t="s">
        <v>4178</v>
      </c>
    </row>
    <row r="41" spans="1:111" x14ac:dyDescent="0.2">
      <c r="A41" s="2" t="s">
        <v>4184</v>
      </c>
      <c r="B41" s="2" t="s">
        <v>4185</v>
      </c>
      <c r="C41" s="6">
        <v>44727</v>
      </c>
      <c r="D41" s="2" t="s">
        <v>4171</v>
      </c>
      <c r="E41" s="2" t="s">
        <v>3932</v>
      </c>
      <c r="G41" s="2" t="s">
        <v>4172</v>
      </c>
      <c r="H41" s="2" t="s">
        <v>3948</v>
      </c>
      <c r="I41" s="6">
        <v>44736</v>
      </c>
      <c r="J41" s="6">
        <v>44837</v>
      </c>
      <c r="M41" s="2" t="s">
        <v>3919</v>
      </c>
      <c r="N41" s="3">
        <v>170</v>
      </c>
      <c r="O41" s="3">
        <v>170</v>
      </c>
      <c r="P41" s="3">
        <v>0</v>
      </c>
      <c r="Q41" s="3">
        <v>170</v>
      </c>
      <c r="R41" s="5">
        <v>0</v>
      </c>
      <c r="S41" s="3">
        <v>2.0499999999999998</v>
      </c>
      <c r="T41" s="3">
        <v>348.5</v>
      </c>
      <c r="U41" s="2" t="s">
        <v>32</v>
      </c>
      <c r="V41" s="2" t="s">
        <v>4186</v>
      </c>
      <c r="W41" s="2" t="s">
        <v>4173</v>
      </c>
      <c r="X41" s="2" t="s">
        <v>3957</v>
      </c>
      <c r="Y41" s="2" t="s">
        <v>4129</v>
      </c>
      <c r="Z41" s="6"/>
      <c r="AA41" s="4">
        <v>1</v>
      </c>
      <c r="AB41" s="4">
        <v>1</v>
      </c>
      <c r="AE41" s="2" t="s">
        <v>3902</v>
      </c>
      <c r="AF41" s="2" t="s">
        <v>3958</v>
      </c>
      <c r="AH41" s="2" t="s">
        <v>3959</v>
      </c>
      <c r="AJ41" s="2" t="s">
        <v>3903</v>
      </c>
      <c r="AK41" s="2" t="s">
        <v>3903</v>
      </c>
      <c r="AL41" s="5">
        <v>0</v>
      </c>
      <c r="AN41" s="3">
        <v>0</v>
      </c>
      <c r="AO41" s="5">
        <v>170</v>
      </c>
      <c r="AQ41" s="5">
        <v>0</v>
      </c>
      <c r="AR41" s="2" t="s">
        <v>1151</v>
      </c>
      <c r="AS41" s="2" t="s">
        <v>3904</v>
      </c>
      <c r="AV41" s="2" t="s">
        <v>3962</v>
      </c>
      <c r="AX41" s="6">
        <v>44837</v>
      </c>
      <c r="AY41" s="2" t="s">
        <v>4174</v>
      </c>
      <c r="BA41" s="6"/>
      <c r="BB41" s="6">
        <v>44728</v>
      </c>
      <c r="BC41" s="6">
        <v>44837</v>
      </c>
      <c r="BD41" s="6"/>
      <c r="BE41" s="6"/>
      <c r="BF41" s="6">
        <v>44728</v>
      </c>
      <c r="BG41" s="6"/>
      <c r="BH41" s="2" t="s">
        <v>4182</v>
      </c>
      <c r="BJ41" s="3">
        <v>272</v>
      </c>
      <c r="BK41" s="3">
        <v>1.6</v>
      </c>
      <c r="BN41" s="2" t="s">
        <v>3932</v>
      </c>
      <c r="BO41" s="2" t="s">
        <v>3908</v>
      </c>
      <c r="BP41" s="2" t="s">
        <v>32</v>
      </c>
      <c r="BR41" s="2" t="s">
        <v>32</v>
      </c>
      <c r="BS41" s="2" t="s">
        <v>32</v>
      </c>
      <c r="BT41" s="2" t="s">
        <v>3909</v>
      </c>
      <c r="BZ41" s="4">
        <v>76</v>
      </c>
      <c r="CA41" s="3">
        <v>170</v>
      </c>
      <c r="CB41" s="3">
        <v>348.5</v>
      </c>
      <c r="CD41" s="2" t="s">
        <v>4176</v>
      </c>
      <c r="CH41" s="5">
        <v>0</v>
      </c>
      <c r="CI41" s="2" t="s">
        <v>3967</v>
      </c>
      <c r="CK41" s="2" t="s">
        <v>3936</v>
      </c>
      <c r="CL41" s="4">
        <v>8</v>
      </c>
      <c r="CM41" s="2" t="s">
        <v>3911</v>
      </c>
      <c r="CQ41" s="2" t="s">
        <v>3937</v>
      </c>
      <c r="CR41" s="2" t="s">
        <v>3937</v>
      </c>
      <c r="CS41" s="2" t="s">
        <v>3937</v>
      </c>
      <c r="CT41" s="2" t="s">
        <v>3937</v>
      </c>
      <c r="CU41" s="2" t="s">
        <v>3937</v>
      </c>
      <c r="CV41" s="2" t="s">
        <v>3937</v>
      </c>
      <c r="CW41" s="2" t="s">
        <v>3937</v>
      </c>
      <c r="CX41" s="3">
        <v>0</v>
      </c>
      <c r="CZ41" s="3">
        <v>0</v>
      </c>
      <c r="DA41" s="2" t="s">
        <v>4187</v>
      </c>
      <c r="DB41" s="3">
        <v>348.5</v>
      </c>
      <c r="DC41" s="3">
        <v>0</v>
      </c>
      <c r="DD41" s="3">
        <v>348.5</v>
      </c>
      <c r="DE41" s="3">
        <v>0</v>
      </c>
      <c r="DF41" s="2" t="s">
        <v>3912</v>
      </c>
      <c r="DG41" s="2" t="s">
        <v>4178</v>
      </c>
    </row>
    <row r="42" spans="1:111" x14ac:dyDescent="0.2">
      <c r="A42" s="2" t="s">
        <v>1698</v>
      </c>
      <c r="B42" s="2" t="s">
        <v>4188</v>
      </c>
      <c r="C42" s="6">
        <v>44727</v>
      </c>
      <c r="D42" s="2" t="s">
        <v>4171</v>
      </c>
      <c r="E42" s="2" t="s">
        <v>3947</v>
      </c>
      <c r="G42" s="2" t="s">
        <v>4172</v>
      </c>
      <c r="H42" s="2" t="s">
        <v>3992</v>
      </c>
      <c r="I42" s="6">
        <v>44736</v>
      </c>
      <c r="J42" s="6">
        <v>44837</v>
      </c>
      <c r="M42" s="2" t="s">
        <v>3919</v>
      </c>
      <c r="N42" s="3">
        <v>75</v>
      </c>
      <c r="O42" s="3">
        <v>75</v>
      </c>
      <c r="P42" s="3">
        <v>0</v>
      </c>
      <c r="Q42" s="3">
        <v>75</v>
      </c>
      <c r="R42" s="5">
        <v>0</v>
      </c>
      <c r="S42" s="3">
        <v>2.0499999999999998</v>
      </c>
      <c r="T42" s="3">
        <v>153.75</v>
      </c>
      <c r="U42" s="2" t="s">
        <v>32</v>
      </c>
      <c r="V42" s="2" t="s">
        <v>1700</v>
      </c>
      <c r="W42" s="2" t="s">
        <v>4173</v>
      </c>
      <c r="X42" s="2" t="s">
        <v>3957</v>
      </c>
      <c r="Y42" s="2" t="s">
        <v>4129</v>
      </c>
      <c r="Z42" s="6"/>
      <c r="AA42" s="4">
        <v>1</v>
      </c>
      <c r="AB42" s="4">
        <v>1</v>
      </c>
      <c r="AE42" s="2" t="s">
        <v>3902</v>
      </c>
      <c r="AF42" s="2" t="s">
        <v>3958</v>
      </c>
      <c r="AH42" s="2" t="s">
        <v>3959</v>
      </c>
      <c r="AJ42" s="2" t="s">
        <v>3903</v>
      </c>
      <c r="AK42" s="2" t="s">
        <v>3903</v>
      </c>
      <c r="AL42" s="5">
        <v>0</v>
      </c>
      <c r="AN42" s="3">
        <v>0</v>
      </c>
      <c r="AO42" s="5">
        <v>75</v>
      </c>
      <c r="AQ42" s="5">
        <v>0</v>
      </c>
      <c r="AR42" s="2" t="s">
        <v>1151</v>
      </c>
      <c r="AS42" s="2" t="s">
        <v>3904</v>
      </c>
      <c r="AV42" s="2" t="s">
        <v>3962</v>
      </c>
      <c r="AX42" s="6">
        <v>44837</v>
      </c>
      <c r="AY42" s="2" t="s">
        <v>4174</v>
      </c>
      <c r="BA42" s="6"/>
      <c r="BB42" s="6">
        <v>44728</v>
      </c>
      <c r="BC42" s="6">
        <v>44837</v>
      </c>
      <c r="BD42" s="6"/>
      <c r="BE42" s="6"/>
      <c r="BF42" s="6">
        <v>44728</v>
      </c>
      <c r="BG42" s="6"/>
      <c r="BH42" s="2" t="s">
        <v>4182</v>
      </c>
      <c r="BJ42" s="3">
        <v>136.5</v>
      </c>
      <c r="BK42" s="3">
        <v>1.82</v>
      </c>
      <c r="BN42" s="2" t="s">
        <v>3932</v>
      </c>
      <c r="BO42" s="2" t="s">
        <v>3908</v>
      </c>
      <c r="BP42" s="2" t="s">
        <v>32</v>
      </c>
      <c r="BR42" s="2" t="s">
        <v>32</v>
      </c>
      <c r="BS42" s="2" t="s">
        <v>32</v>
      </c>
      <c r="BT42" s="2" t="s">
        <v>3909</v>
      </c>
      <c r="BZ42" s="4">
        <v>85</v>
      </c>
      <c r="CA42" s="3">
        <v>75</v>
      </c>
      <c r="CB42" s="3">
        <v>153.75</v>
      </c>
      <c r="CD42" s="2" t="s">
        <v>4176</v>
      </c>
      <c r="CH42" s="5">
        <v>0</v>
      </c>
      <c r="CI42" s="2" t="s">
        <v>3967</v>
      </c>
      <c r="CK42" s="2" t="s">
        <v>3936</v>
      </c>
      <c r="CL42" s="4">
        <v>8</v>
      </c>
      <c r="CM42" s="2" t="s">
        <v>3911</v>
      </c>
      <c r="CQ42" s="2" t="s">
        <v>3937</v>
      </c>
      <c r="CR42" s="2" t="s">
        <v>3937</v>
      </c>
      <c r="CS42" s="2" t="s">
        <v>3937</v>
      </c>
      <c r="CT42" s="2" t="s">
        <v>3937</v>
      </c>
      <c r="CU42" s="2" t="s">
        <v>3937</v>
      </c>
      <c r="CV42" s="2" t="s">
        <v>3937</v>
      </c>
      <c r="CW42" s="2" t="s">
        <v>3937</v>
      </c>
      <c r="CX42" s="3">
        <v>0</v>
      </c>
      <c r="CZ42" s="3">
        <v>0</v>
      </c>
      <c r="DA42" s="2" t="s">
        <v>4189</v>
      </c>
      <c r="DB42" s="3">
        <v>153.75</v>
      </c>
      <c r="DC42" s="3">
        <v>0</v>
      </c>
      <c r="DD42" s="3">
        <v>153.75</v>
      </c>
      <c r="DE42" s="3">
        <v>0</v>
      </c>
      <c r="DF42" s="2" t="s">
        <v>3912</v>
      </c>
      <c r="DG42" s="2" t="s">
        <v>4178</v>
      </c>
    </row>
    <row r="43" spans="1:111" x14ac:dyDescent="0.2">
      <c r="A43" s="2" t="s">
        <v>4190</v>
      </c>
      <c r="B43" s="2" t="s">
        <v>4191</v>
      </c>
      <c r="C43" s="6">
        <v>44727</v>
      </c>
      <c r="D43" s="2" t="s">
        <v>4171</v>
      </c>
      <c r="E43" s="2" t="s">
        <v>3997</v>
      </c>
      <c r="G43" s="2" t="s">
        <v>4172</v>
      </c>
      <c r="H43" s="2" t="s">
        <v>3998</v>
      </c>
      <c r="I43" s="6">
        <v>44736</v>
      </c>
      <c r="J43" s="6">
        <v>44837</v>
      </c>
      <c r="M43" s="2" t="s">
        <v>3919</v>
      </c>
      <c r="N43" s="3">
        <v>60</v>
      </c>
      <c r="O43" s="3">
        <v>60</v>
      </c>
      <c r="P43" s="3">
        <v>0</v>
      </c>
      <c r="Q43" s="3">
        <v>60</v>
      </c>
      <c r="R43" s="5">
        <v>0</v>
      </c>
      <c r="S43" s="3">
        <v>2.0499999999999998</v>
      </c>
      <c r="T43" s="3">
        <v>123</v>
      </c>
      <c r="U43" s="2" t="s">
        <v>32</v>
      </c>
      <c r="V43" s="2" t="s">
        <v>4192</v>
      </c>
      <c r="W43" s="2" t="s">
        <v>4173</v>
      </c>
      <c r="X43" s="2" t="s">
        <v>3957</v>
      </c>
      <c r="Y43" s="2" t="s">
        <v>4129</v>
      </c>
      <c r="Z43" s="6"/>
      <c r="AA43" s="4">
        <v>1</v>
      </c>
      <c r="AB43" s="4">
        <v>1</v>
      </c>
      <c r="AE43" s="2" t="s">
        <v>3902</v>
      </c>
      <c r="AF43" s="2" t="s">
        <v>3958</v>
      </c>
      <c r="AH43" s="2" t="s">
        <v>3959</v>
      </c>
      <c r="AJ43" s="2" t="s">
        <v>4193</v>
      </c>
      <c r="AK43" s="2" t="s">
        <v>3903</v>
      </c>
      <c r="AL43" s="5">
        <v>0</v>
      </c>
      <c r="AN43" s="3">
        <v>0</v>
      </c>
      <c r="AO43" s="5">
        <v>60</v>
      </c>
      <c r="AQ43" s="5">
        <v>0</v>
      </c>
      <c r="AR43" s="2" t="s">
        <v>1151</v>
      </c>
      <c r="AS43" s="2" t="s">
        <v>3904</v>
      </c>
      <c r="AV43" s="2" t="s">
        <v>3962</v>
      </c>
      <c r="AX43" s="6">
        <v>44837</v>
      </c>
      <c r="AY43" s="2" t="s">
        <v>4174</v>
      </c>
      <c r="BA43" s="6"/>
      <c r="BB43" s="6">
        <v>44728</v>
      </c>
      <c r="BC43" s="6">
        <v>44837</v>
      </c>
      <c r="BD43" s="6"/>
      <c r="BE43" s="6"/>
      <c r="BF43" s="6">
        <v>44728</v>
      </c>
      <c r="BG43" s="6"/>
      <c r="BH43" s="2" t="s">
        <v>4182</v>
      </c>
      <c r="BJ43" s="3">
        <v>109.2</v>
      </c>
      <c r="BK43" s="3">
        <v>1.82</v>
      </c>
      <c r="BN43" s="2" t="s">
        <v>3932</v>
      </c>
      <c r="BO43" s="2" t="s">
        <v>3908</v>
      </c>
      <c r="BP43" s="2" t="s">
        <v>32</v>
      </c>
      <c r="BR43" s="2" t="s">
        <v>32</v>
      </c>
      <c r="BS43" s="2" t="s">
        <v>32</v>
      </c>
      <c r="BT43" s="2" t="s">
        <v>3909</v>
      </c>
      <c r="BZ43" s="4">
        <v>85</v>
      </c>
      <c r="CA43" s="3">
        <v>60</v>
      </c>
      <c r="CB43" s="3">
        <v>123</v>
      </c>
      <c r="CD43" s="2" t="s">
        <v>4176</v>
      </c>
      <c r="CH43" s="5">
        <v>0</v>
      </c>
      <c r="CI43" s="2" t="s">
        <v>3967</v>
      </c>
      <c r="CK43" s="2" t="s">
        <v>3936</v>
      </c>
      <c r="CL43" s="4">
        <v>8</v>
      </c>
      <c r="CM43" s="2" t="s">
        <v>3911</v>
      </c>
      <c r="CQ43" s="2" t="s">
        <v>3937</v>
      </c>
      <c r="CR43" s="2" t="s">
        <v>3937</v>
      </c>
      <c r="CS43" s="2" t="s">
        <v>3937</v>
      </c>
      <c r="CT43" s="2" t="s">
        <v>3937</v>
      </c>
      <c r="CU43" s="2" t="s">
        <v>3937</v>
      </c>
      <c r="CV43" s="2" t="s">
        <v>3937</v>
      </c>
      <c r="CW43" s="2" t="s">
        <v>3937</v>
      </c>
      <c r="CX43" s="3">
        <v>0</v>
      </c>
      <c r="CZ43" s="3">
        <v>0</v>
      </c>
      <c r="DA43" s="2" t="s">
        <v>4194</v>
      </c>
      <c r="DB43" s="3">
        <v>123</v>
      </c>
      <c r="DC43" s="3">
        <v>0</v>
      </c>
      <c r="DD43" s="3">
        <v>123</v>
      </c>
      <c r="DE43" s="3">
        <v>0</v>
      </c>
      <c r="DF43" s="2" t="s">
        <v>3912</v>
      </c>
      <c r="DG43" s="2" t="s">
        <v>4178</v>
      </c>
    </row>
    <row r="44" spans="1:111" x14ac:dyDescent="0.2">
      <c r="A44" s="2" t="s">
        <v>1710</v>
      </c>
      <c r="B44" s="2" t="s">
        <v>4195</v>
      </c>
      <c r="C44" s="6">
        <v>44727</v>
      </c>
      <c r="D44" s="2" t="s">
        <v>4171</v>
      </c>
      <c r="E44" s="2" t="s">
        <v>4003</v>
      </c>
      <c r="G44" s="2" t="s">
        <v>4172</v>
      </c>
      <c r="H44" s="2" t="s">
        <v>4004</v>
      </c>
      <c r="I44" s="6">
        <v>44736</v>
      </c>
      <c r="J44" s="6">
        <v>44837</v>
      </c>
      <c r="M44" s="2" t="s">
        <v>3919</v>
      </c>
      <c r="N44" s="3">
        <v>20</v>
      </c>
      <c r="O44" s="3">
        <v>20</v>
      </c>
      <c r="P44" s="3">
        <v>0</v>
      </c>
      <c r="Q44" s="3">
        <v>20</v>
      </c>
      <c r="R44" s="5">
        <v>0</v>
      </c>
      <c r="S44" s="3">
        <v>2.0499999999999998</v>
      </c>
      <c r="T44" s="3">
        <v>41</v>
      </c>
      <c r="U44" s="2" t="s">
        <v>32</v>
      </c>
      <c r="V44" s="2" t="s">
        <v>1712</v>
      </c>
      <c r="W44" s="2" t="s">
        <v>4173</v>
      </c>
      <c r="X44" s="2" t="s">
        <v>3957</v>
      </c>
      <c r="Y44" s="2" t="s">
        <v>4129</v>
      </c>
      <c r="Z44" s="6"/>
      <c r="AA44" s="4">
        <v>1</v>
      </c>
      <c r="AB44" s="4">
        <v>1</v>
      </c>
      <c r="AE44" s="2" t="s">
        <v>3902</v>
      </c>
      <c r="AF44" s="2" t="s">
        <v>3958</v>
      </c>
      <c r="AH44" s="2" t="s">
        <v>3959</v>
      </c>
      <c r="AJ44" s="2" t="s">
        <v>4193</v>
      </c>
      <c r="AK44" s="2" t="s">
        <v>3903</v>
      </c>
      <c r="AL44" s="5">
        <v>0</v>
      </c>
      <c r="AN44" s="3">
        <v>0</v>
      </c>
      <c r="AO44" s="5">
        <v>20</v>
      </c>
      <c r="AQ44" s="5">
        <v>0</v>
      </c>
      <c r="AR44" s="2" t="s">
        <v>1151</v>
      </c>
      <c r="AS44" s="2" t="s">
        <v>3904</v>
      </c>
      <c r="AV44" s="2" t="s">
        <v>3962</v>
      </c>
      <c r="AX44" s="6">
        <v>44837</v>
      </c>
      <c r="AY44" s="2" t="s">
        <v>4174</v>
      </c>
      <c r="BA44" s="6"/>
      <c r="BB44" s="6"/>
      <c r="BC44" s="6">
        <v>44837</v>
      </c>
      <c r="BD44" s="6"/>
      <c r="BE44" s="6"/>
      <c r="BF44" s="6"/>
      <c r="BG44" s="6"/>
      <c r="BH44" s="2" t="s">
        <v>4182</v>
      </c>
      <c r="BJ44" s="3">
        <v>36.4</v>
      </c>
      <c r="BK44" s="3">
        <v>1.82</v>
      </c>
      <c r="BN44" s="2" t="s">
        <v>3932</v>
      </c>
      <c r="BO44" s="2" t="s">
        <v>3908</v>
      </c>
      <c r="BP44" s="2" t="s">
        <v>32</v>
      </c>
      <c r="BR44" s="2" t="s">
        <v>32</v>
      </c>
      <c r="BS44" s="2" t="s">
        <v>32</v>
      </c>
      <c r="BT44" s="2" t="s">
        <v>3909</v>
      </c>
      <c r="BZ44" s="4">
        <v>85</v>
      </c>
      <c r="CA44" s="3">
        <v>20</v>
      </c>
      <c r="CB44" s="3">
        <v>41</v>
      </c>
      <c r="CD44" s="2" t="s">
        <v>4176</v>
      </c>
      <c r="CH44" s="5">
        <v>0</v>
      </c>
      <c r="CI44" s="2" t="s">
        <v>3967</v>
      </c>
      <c r="CK44" s="2" t="s">
        <v>3936</v>
      </c>
      <c r="CL44" s="4">
        <v>8</v>
      </c>
      <c r="CM44" s="2" t="s">
        <v>3911</v>
      </c>
      <c r="CQ44" s="2" t="s">
        <v>3937</v>
      </c>
      <c r="CR44" s="2" t="s">
        <v>3937</v>
      </c>
      <c r="CS44" s="2" t="s">
        <v>3937</v>
      </c>
      <c r="CT44" s="2" t="s">
        <v>3937</v>
      </c>
      <c r="CU44" s="2" t="s">
        <v>3937</v>
      </c>
      <c r="CV44" s="2" t="s">
        <v>3937</v>
      </c>
      <c r="CW44" s="2" t="s">
        <v>3937</v>
      </c>
      <c r="CX44" s="3">
        <v>0</v>
      </c>
      <c r="CZ44" s="3">
        <v>0</v>
      </c>
      <c r="DA44" s="2" t="s">
        <v>4196</v>
      </c>
      <c r="DB44" s="3">
        <v>41</v>
      </c>
      <c r="DC44" s="3">
        <v>0</v>
      </c>
      <c r="DD44" s="3">
        <v>41</v>
      </c>
      <c r="DE44" s="3">
        <v>0</v>
      </c>
      <c r="DF44" s="2" t="s">
        <v>3912</v>
      </c>
      <c r="DG44" s="2" t="s">
        <v>4178</v>
      </c>
    </row>
    <row r="45" spans="1:111" x14ac:dyDescent="0.2">
      <c r="A45" s="2" t="s">
        <v>1701</v>
      </c>
      <c r="B45" s="2" t="s">
        <v>4197</v>
      </c>
      <c r="C45" s="6">
        <v>44727</v>
      </c>
      <c r="D45" s="2" t="s">
        <v>4171</v>
      </c>
      <c r="E45" s="2" t="s">
        <v>4009</v>
      </c>
      <c r="G45" s="2" t="s">
        <v>4172</v>
      </c>
      <c r="H45" s="2" t="s">
        <v>4010</v>
      </c>
      <c r="I45" s="6">
        <v>44736</v>
      </c>
      <c r="J45" s="6">
        <v>44837</v>
      </c>
      <c r="M45" s="2" t="s">
        <v>3919</v>
      </c>
      <c r="N45" s="3">
        <v>10</v>
      </c>
      <c r="O45" s="3">
        <v>10</v>
      </c>
      <c r="P45" s="3">
        <v>0</v>
      </c>
      <c r="Q45" s="3">
        <v>10</v>
      </c>
      <c r="R45" s="5">
        <v>0</v>
      </c>
      <c r="S45" s="3">
        <v>2.0499999999999998</v>
      </c>
      <c r="T45" s="3">
        <v>20.5</v>
      </c>
      <c r="U45" s="2" t="s">
        <v>32</v>
      </c>
      <c r="V45" s="2" t="s">
        <v>1703</v>
      </c>
      <c r="W45" s="2" t="s">
        <v>4173</v>
      </c>
      <c r="X45" s="2" t="s">
        <v>3957</v>
      </c>
      <c r="Y45" s="2" t="s">
        <v>4129</v>
      </c>
      <c r="Z45" s="6"/>
      <c r="AA45" s="4">
        <v>1</v>
      </c>
      <c r="AB45" s="4">
        <v>1</v>
      </c>
      <c r="AE45" s="2" t="s">
        <v>3902</v>
      </c>
      <c r="AF45" s="2" t="s">
        <v>3958</v>
      </c>
      <c r="AH45" s="2" t="s">
        <v>3959</v>
      </c>
      <c r="AJ45" s="2" t="s">
        <v>4193</v>
      </c>
      <c r="AK45" s="2" t="s">
        <v>3903</v>
      </c>
      <c r="AL45" s="5">
        <v>0</v>
      </c>
      <c r="AN45" s="3">
        <v>0</v>
      </c>
      <c r="AO45" s="5">
        <v>10</v>
      </c>
      <c r="AQ45" s="5">
        <v>0</v>
      </c>
      <c r="AR45" s="2" t="s">
        <v>1151</v>
      </c>
      <c r="AS45" s="2" t="s">
        <v>3904</v>
      </c>
      <c r="AV45" s="2" t="s">
        <v>3962</v>
      </c>
      <c r="AX45" s="6">
        <v>44837</v>
      </c>
      <c r="AY45" s="2" t="s">
        <v>4174</v>
      </c>
      <c r="BA45" s="6"/>
      <c r="BB45" s="6"/>
      <c r="BC45" s="6">
        <v>44837</v>
      </c>
      <c r="BD45" s="6"/>
      <c r="BE45" s="6"/>
      <c r="BF45" s="6"/>
      <c r="BG45" s="6"/>
      <c r="BH45" s="2" t="s">
        <v>4182</v>
      </c>
      <c r="BJ45" s="3">
        <v>18.2</v>
      </c>
      <c r="BK45" s="3">
        <v>1.82</v>
      </c>
      <c r="BN45" s="2" t="s">
        <v>3932</v>
      </c>
      <c r="BO45" s="2" t="s">
        <v>3908</v>
      </c>
      <c r="BP45" s="2" t="s">
        <v>32</v>
      </c>
      <c r="BR45" s="2" t="s">
        <v>32</v>
      </c>
      <c r="BS45" s="2" t="s">
        <v>32</v>
      </c>
      <c r="BT45" s="2" t="s">
        <v>3909</v>
      </c>
      <c r="BZ45" s="4">
        <v>85</v>
      </c>
      <c r="CA45" s="3">
        <v>10</v>
      </c>
      <c r="CB45" s="3">
        <v>20.5</v>
      </c>
      <c r="CD45" s="2" t="s">
        <v>4176</v>
      </c>
      <c r="CH45" s="5">
        <v>0</v>
      </c>
      <c r="CI45" s="2" t="s">
        <v>3967</v>
      </c>
      <c r="CK45" s="2" t="s">
        <v>3936</v>
      </c>
      <c r="CL45" s="4">
        <v>8</v>
      </c>
      <c r="CM45" s="2" t="s">
        <v>3911</v>
      </c>
      <c r="CQ45" s="2" t="s">
        <v>3937</v>
      </c>
      <c r="CR45" s="2" t="s">
        <v>3937</v>
      </c>
      <c r="CS45" s="2" t="s">
        <v>3937</v>
      </c>
      <c r="CT45" s="2" t="s">
        <v>3937</v>
      </c>
      <c r="CU45" s="2" t="s">
        <v>3937</v>
      </c>
      <c r="CV45" s="2" t="s">
        <v>3937</v>
      </c>
      <c r="CW45" s="2" t="s">
        <v>3937</v>
      </c>
      <c r="CX45" s="3">
        <v>0</v>
      </c>
      <c r="CZ45" s="3">
        <v>0</v>
      </c>
      <c r="DA45" s="2" t="s">
        <v>4183</v>
      </c>
      <c r="DB45" s="3">
        <v>20.5</v>
      </c>
      <c r="DC45" s="3">
        <v>0</v>
      </c>
      <c r="DD45" s="3">
        <v>20.5</v>
      </c>
      <c r="DE45" s="3">
        <v>0</v>
      </c>
      <c r="DF45" s="2" t="s">
        <v>3912</v>
      </c>
      <c r="DG45" s="2" t="s">
        <v>4178</v>
      </c>
    </row>
    <row r="46" spans="1:111" x14ac:dyDescent="0.2">
      <c r="A46" s="2" t="s">
        <v>1695</v>
      </c>
      <c r="B46" s="2" t="s">
        <v>4198</v>
      </c>
      <c r="C46" s="6">
        <v>44727</v>
      </c>
      <c r="D46" s="2" t="s">
        <v>4171</v>
      </c>
      <c r="E46" s="2" t="s">
        <v>4015</v>
      </c>
      <c r="G46" s="2" t="s">
        <v>4172</v>
      </c>
      <c r="H46" s="2" t="s">
        <v>4016</v>
      </c>
      <c r="I46" s="6">
        <v>44736</v>
      </c>
      <c r="J46" s="6">
        <v>44837</v>
      </c>
      <c r="M46" s="2" t="s">
        <v>3919</v>
      </c>
      <c r="N46" s="3">
        <v>100</v>
      </c>
      <c r="O46" s="3">
        <v>100</v>
      </c>
      <c r="P46" s="3">
        <v>0</v>
      </c>
      <c r="Q46" s="3">
        <v>100</v>
      </c>
      <c r="R46" s="5">
        <v>0</v>
      </c>
      <c r="S46" s="3">
        <v>2.0499999999999998</v>
      </c>
      <c r="T46" s="3">
        <v>205</v>
      </c>
      <c r="U46" s="2" t="s">
        <v>32</v>
      </c>
      <c r="V46" s="2" t="s">
        <v>1697</v>
      </c>
      <c r="W46" s="2" t="s">
        <v>4173</v>
      </c>
      <c r="X46" s="2" t="s">
        <v>3957</v>
      </c>
      <c r="Y46" s="2" t="s">
        <v>4129</v>
      </c>
      <c r="Z46" s="6"/>
      <c r="AA46" s="4">
        <v>1</v>
      </c>
      <c r="AB46" s="4">
        <v>1</v>
      </c>
      <c r="AE46" s="2" t="s">
        <v>3902</v>
      </c>
      <c r="AF46" s="2" t="s">
        <v>3958</v>
      </c>
      <c r="AH46" s="2" t="s">
        <v>3959</v>
      </c>
      <c r="AJ46" s="2" t="s">
        <v>4193</v>
      </c>
      <c r="AK46" s="2" t="s">
        <v>3903</v>
      </c>
      <c r="AL46" s="5">
        <v>0</v>
      </c>
      <c r="AN46" s="3">
        <v>0</v>
      </c>
      <c r="AO46" s="5">
        <v>100</v>
      </c>
      <c r="AQ46" s="5">
        <v>0</v>
      </c>
      <c r="AR46" s="2" t="s">
        <v>1151</v>
      </c>
      <c r="AS46" s="2" t="s">
        <v>3904</v>
      </c>
      <c r="AV46" s="2" t="s">
        <v>3962</v>
      </c>
      <c r="AX46" s="6">
        <v>44837</v>
      </c>
      <c r="AY46" s="2" t="s">
        <v>4174</v>
      </c>
      <c r="BA46" s="6"/>
      <c r="BB46" s="6">
        <v>44728</v>
      </c>
      <c r="BC46" s="6">
        <v>44837</v>
      </c>
      <c r="BD46" s="6"/>
      <c r="BE46" s="6"/>
      <c r="BF46" s="6">
        <v>44728</v>
      </c>
      <c r="BG46" s="6"/>
      <c r="BH46" s="2" t="s">
        <v>4182</v>
      </c>
      <c r="BJ46" s="3">
        <v>182</v>
      </c>
      <c r="BK46" s="3">
        <v>1.82</v>
      </c>
      <c r="BN46" s="2" t="s">
        <v>3932</v>
      </c>
      <c r="BO46" s="2" t="s">
        <v>3908</v>
      </c>
      <c r="BP46" s="2" t="s">
        <v>32</v>
      </c>
      <c r="BR46" s="2" t="s">
        <v>32</v>
      </c>
      <c r="BS46" s="2" t="s">
        <v>32</v>
      </c>
      <c r="BT46" s="2" t="s">
        <v>3909</v>
      </c>
      <c r="BZ46" s="4">
        <v>85</v>
      </c>
      <c r="CA46" s="3">
        <v>100</v>
      </c>
      <c r="CB46" s="3">
        <v>205</v>
      </c>
      <c r="CD46" s="2" t="s">
        <v>4176</v>
      </c>
      <c r="CH46" s="5">
        <v>0</v>
      </c>
      <c r="CI46" s="2" t="s">
        <v>3967</v>
      </c>
      <c r="CK46" s="2" t="s">
        <v>3936</v>
      </c>
      <c r="CL46" s="4">
        <v>8</v>
      </c>
      <c r="CM46" s="2" t="s">
        <v>3911</v>
      </c>
      <c r="CQ46" s="2" t="s">
        <v>3937</v>
      </c>
      <c r="CR46" s="2" t="s">
        <v>3937</v>
      </c>
      <c r="CS46" s="2" t="s">
        <v>3937</v>
      </c>
      <c r="CT46" s="2" t="s">
        <v>3937</v>
      </c>
      <c r="CU46" s="2" t="s">
        <v>3937</v>
      </c>
      <c r="CV46" s="2" t="s">
        <v>3937</v>
      </c>
      <c r="CW46" s="2" t="s">
        <v>3937</v>
      </c>
      <c r="CX46" s="3">
        <v>0</v>
      </c>
      <c r="CZ46" s="3">
        <v>0</v>
      </c>
      <c r="DA46" s="2" t="s">
        <v>4199</v>
      </c>
      <c r="DB46" s="3">
        <v>205</v>
      </c>
      <c r="DC46" s="3">
        <v>0</v>
      </c>
      <c r="DD46" s="3">
        <v>205</v>
      </c>
      <c r="DE46" s="3">
        <v>0</v>
      </c>
      <c r="DF46" s="2" t="s">
        <v>3912</v>
      </c>
      <c r="DG46" s="2" t="s">
        <v>4178</v>
      </c>
    </row>
    <row r="47" spans="1:111" x14ac:dyDescent="0.2">
      <c r="A47" s="2" t="s">
        <v>1707</v>
      </c>
      <c r="B47" s="2" t="s">
        <v>4200</v>
      </c>
      <c r="C47" s="6">
        <v>44727</v>
      </c>
      <c r="D47" s="2" t="s">
        <v>4171</v>
      </c>
      <c r="E47" s="2" t="s">
        <v>4020</v>
      </c>
      <c r="G47" s="2" t="s">
        <v>4172</v>
      </c>
      <c r="H47" s="2" t="s">
        <v>4021</v>
      </c>
      <c r="I47" s="6">
        <v>44736</v>
      </c>
      <c r="J47" s="6">
        <v>44837</v>
      </c>
      <c r="M47" s="2" t="s">
        <v>3919</v>
      </c>
      <c r="N47" s="3">
        <v>20</v>
      </c>
      <c r="O47" s="3">
        <v>20</v>
      </c>
      <c r="P47" s="3">
        <v>0</v>
      </c>
      <c r="Q47" s="3">
        <v>20</v>
      </c>
      <c r="R47" s="5">
        <v>0</v>
      </c>
      <c r="S47" s="3">
        <v>2.0499999999999998</v>
      </c>
      <c r="T47" s="3">
        <v>41</v>
      </c>
      <c r="U47" s="2" t="s">
        <v>32</v>
      </c>
      <c r="V47" s="2" t="s">
        <v>1709</v>
      </c>
      <c r="W47" s="2" t="s">
        <v>4173</v>
      </c>
      <c r="X47" s="2" t="s">
        <v>3957</v>
      </c>
      <c r="Y47" s="2" t="s">
        <v>4129</v>
      </c>
      <c r="Z47" s="6"/>
      <c r="AA47" s="4">
        <v>1</v>
      </c>
      <c r="AB47" s="4">
        <v>1</v>
      </c>
      <c r="AE47" s="2" t="s">
        <v>3902</v>
      </c>
      <c r="AF47" s="2" t="s">
        <v>3958</v>
      </c>
      <c r="AH47" s="2" t="s">
        <v>3959</v>
      </c>
      <c r="AJ47" s="2" t="s">
        <v>4193</v>
      </c>
      <c r="AK47" s="2" t="s">
        <v>3903</v>
      </c>
      <c r="AL47" s="5">
        <v>0</v>
      </c>
      <c r="AN47" s="3">
        <v>0</v>
      </c>
      <c r="AO47" s="5">
        <v>20</v>
      </c>
      <c r="AQ47" s="5">
        <v>0</v>
      </c>
      <c r="AR47" s="2" t="s">
        <v>1151</v>
      </c>
      <c r="AS47" s="2" t="s">
        <v>3904</v>
      </c>
      <c r="AV47" s="2" t="s">
        <v>3962</v>
      </c>
      <c r="AX47" s="6">
        <v>44837</v>
      </c>
      <c r="AY47" s="2" t="s">
        <v>4174</v>
      </c>
      <c r="BA47" s="6"/>
      <c r="BB47" s="6">
        <v>44728</v>
      </c>
      <c r="BC47" s="6">
        <v>44837</v>
      </c>
      <c r="BD47" s="6"/>
      <c r="BE47" s="6"/>
      <c r="BF47" s="6">
        <v>44728</v>
      </c>
      <c r="BG47" s="6"/>
      <c r="BH47" s="2" t="s">
        <v>4182</v>
      </c>
      <c r="BJ47" s="3">
        <v>36.4</v>
      </c>
      <c r="BK47" s="3">
        <v>1.82</v>
      </c>
      <c r="BN47" s="2" t="s">
        <v>3932</v>
      </c>
      <c r="BO47" s="2" t="s">
        <v>3908</v>
      </c>
      <c r="BP47" s="2" t="s">
        <v>32</v>
      </c>
      <c r="BR47" s="2" t="s">
        <v>32</v>
      </c>
      <c r="BS47" s="2" t="s">
        <v>32</v>
      </c>
      <c r="BT47" s="2" t="s">
        <v>3909</v>
      </c>
      <c r="BZ47" s="4">
        <v>85</v>
      </c>
      <c r="CA47" s="3">
        <v>20</v>
      </c>
      <c r="CB47" s="3">
        <v>41</v>
      </c>
      <c r="CD47" s="2" t="s">
        <v>4176</v>
      </c>
      <c r="CH47" s="5">
        <v>0</v>
      </c>
      <c r="CI47" s="2" t="s">
        <v>3967</v>
      </c>
      <c r="CK47" s="2" t="s">
        <v>3936</v>
      </c>
      <c r="CL47" s="4">
        <v>8</v>
      </c>
      <c r="CM47" s="2" t="s">
        <v>3911</v>
      </c>
      <c r="CQ47" s="2" t="s">
        <v>3937</v>
      </c>
      <c r="CR47" s="2" t="s">
        <v>3937</v>
      </c>
      <c r="CS47" s="2" t="s">
        <v>3937</v>
      </c>
      <c r="CT47" s="2" t="s">
        <v>3937</v>
      </c>
      <c r="CU47" s="2" t="s">
        <v>3937</v>
      </c>
      <c r="CV47" s="2" t="s">
        <v>3937</v>
      </c>
      <c r="CW47" s="2" t="s">
        <v>3937</v>
      </c>
      <c r="CX47" s="3">
        <v>0</v>
      </c>
      <c r="CZ47" s="3">
        <v>0</v>
      </c>
      <c r="DA47" s="2" t="s">
        <v>4196</v>
      </c>
      <c r="DB47" s="3">
        <v>41</v>
      </c>
      <c r="DC47" s="3">
        <v>0</v>
      </c>
      <c r="DD47" s="3">
        <v>41</v>
      </c>
      <c r="DE47" s="3">
        <v>0</v>
      </c>
      <c r="DF47" s="2" t="s">
        <v>3912</v>
      </c>
      <c r="DG47" s="2" t="s">
        <v>4178</v>
      </c>
    </row>
    <row r="48" spans="1:111" x14ac:dyDescent="0.2">
      <c r="A48" s="8" t="s">
        <v>4201</v>
      </c>
      <c r="B48" s="2" t="s">
        <v>4202</v>
      </c>
      <c r="C48" s="6">
        <v>44725</v>
      </c>
      <c r="D48" s="2" t="s">
        <v>4203</v>
      </c>
      <c r="E48" s="2" t="s">
        <v>283</v>
      </c>
      <c r="G48" s="2" t="s">
        <v>4204</v>
      </c>
      <c r="H48" s="2" t="s">
        <v>3918</v>
      </c>
      <c r="I48" s="6">
        <v>44739</v>
      </c>
      <c r="J48" s="6">
        <v>45352</v>
      </c>
      <c r="M48" s="2" t="s">
        <v>4205</v>
      </c>
      <c r="N48" s="3">
        <v>2</v>
      </c>
      <c r="O48" s="3">
        <v>2</v>
      </c>
      <c r="P48" s="3">
        <v>0</v>
      </c>
      <c r="Q48" s="3">
        <v>2</v>
      </c>
      <c r="R48" s="5">
        <v>0</v>
      </c>
      <c r="S48" s="3">
        <v>22539</v>
      </c>
      <c r="T48" s="3">
        <v>45078</v>
      </c>
      <c r="U48" s="2" t="s">
        <v>39</v>
      </c>
      <c r="V48" s="2" t="s">
        <v>4206</v>
      </c>
      <c r="W48" s="2" t="s">
        <v>4165</v>
      </c>
      <c r="X48" s="2" t="s">
        <v>3922</v>
      </c>
      <c r="Y48" s="2" t="s">
        <v>4129</v>
      </c>
      <c r="Z48" s="6"/>
      <c r="AA48" s="4">
        <v>1</v>
      </c>
      <c r="AB48" s="4">
        <v>1</v>
      </c>
      <c r="AE48" s="2" t="s">
        <v>3902</v>
      </c>
      <c r="AF48" s="2" t="s">
        <v>3958</v>
      </c>
      <c r="AH48" s="2" t="s">
        <v>3959</v>
      </c>
      <c r="AJ48" s="2" t="s">
        <v>4207</v>
      </c>
      <c r="AK48" s="2" t="s">
        <v>3903</v>
      </c>
      <c r="AL48" s="5">
        <v>0</v>
      </c>
      <c r="AN48" s="3">
        <v>0</v>
      </c>
      <c r="AO48" s="5">
        <v>2</v>
      </c>
      <c r="AQ48" s="5">
        <v>0</v>
      </c>
      <c r="AR48" s="2" t="s">
        <v>4165</v>
      </c>
      <c r="AS48" s="2" t="s">
        <v>3904</v>
      </c>
      <c r="AV48" s="2" t="s">
        <v>3962</v>
      </c>
      <c r="AW48" s="2" t="s">
        <v>3906</v>
      </c>
      <c r="AX48" s="6">
        <v>44834</v>
      </c>
      <c r="AY48" s="2" t="s">
        <v>4208</v>
      </c>
      <c r="BA48" s="6"/>
      <c r="BB48" s="6">
        <v>44729</v>
      </c>
      <c r="BC48" s="6">
        <v>45352</v>
      </c>
      <c r="BD48" s="6"/>
      <c r="BE48" s="6"/>
      <c r="BF48" s="6">
        <v>44729</v>
      </c>
      <c r="BG48" s="6"/>
      <c r="BH48" s="2" t="s">
        <v>4209</v>
      </c>
      <c r="BJ48" s="3">
        <v>45078</v>
      </c>
      <c r="BK48" s="3">
        <v>22539</v>
      </c>
      <c r="BN48" s="2" t="s">
        <v>283</v>
      </c>
      <c r="BO48" s="2" t="s">
        <v>3908</v>
      </c>
      <c r="BP48" s="2" t="s">
        <v>39</v>
      </c>
      <c r="BR48" s="2" t="s">
        <v>39</v>
      </c>
      <c r="BS48" s="2" t="s">
        <v>39</v>
      </c>
      <c r="BT48" s="2" t="s">
        <v>3909</v>
      </c>
      <c r="BZ48" s="4">
        <v>40</v>
      </c>
      <c r="CA48" s="3">
        <v>2</v>
      </c>
      <c r="CB48" s="3">
        <v>45078</v>
      </c>
      <c r="CD48" s="2" t="s">
        <v>4168</v>
      </c>
      <c r="CH48" s="5">
        <v>0</v>
      </c>
      <c r="CI48" s="2" t="s">
        <v>4158</v>
      </c>
      <c r="CJ48" s="2" t="s">
        <v>4109</v>
      </c>
      <c r="CK48" s="2" t="s">
        <v>3936</v>
      </c>
      <c r="CL48" s="4">
        <v>8</v>
      </c>
      <c r="CM48" s="2" t="s">
        <v>3911</v>
      </c>
      <c r="CQ48" s="2" t="s">
        <v>3937</v>
      </c>
      <c r="CR48" s="2" t="s">
        <v>3937</v>
      </c>
      <c r="CS48" s="2" t="s">
        <v>3937</v>
      </c>
      <c r="CT48" s="2" t="s">
        <v>3937</v>
      </c>
      <c r="CU48" s="2" t="s">
        <v>3937</v>
      </c>
      <c r="CV48" s="2" t="s">
        <v>3937</v>
      </c>
      <c r="CW48" s="2" t="s">
        <v>3937</v>
      </c>
      <c r="CX48" s="3">
        <v>0</v>
      </c>
      <c r="CZ48" s="3">
        <v>0</v>
      </c>
      <c r="DA48" s="2" t="s">
        <v>4210</v>
      </c>
      <c r="DB48" s="3">
        <v>45078</v>
      </c>
      <c r="DC48" s="3">
        <v>0</v>
      </c>
      <c r="DD48" s="3">
        <v>45078</v>
      </c>
      <c r="DE48" s="3">
        <v>0</v>
      </c>
      <c r="DF48" s="2" t="s">
        <v>3912</v>
      </c>
      <c r="DG48" s="2" t="s">
        <v>3981</v>
      </c>
    </row>
    <row r="49" spans="1:111" x14ac:dyDescent="0.2">
      <c r="A49" s="2" t="s">
        <v>4211</v>
      </c>
      <c r="B49" s="2" t="s">
        <v>4212</v>
      </c>
      <c r="C49" s="6">
        <v>44722</v>
      </c>
      <c r="D49" s="2" t="s">
        <v>4213</v>
      </c>
      <c r="E49" s="2" t="s">
        <v>3304</v>
      </c>
      <c r="G49" s="2" t="s">
        <v>4214</v>
      </c>
      <c r="H49" s="2" t="s">
        <v>3918</v>
      </c>
      <c r="I49" s="6">
        <v>44756</v>
      </c>
      <c r="J49" s="6">
        <v>44834</v>
      </c>
      <c r="K49" s="2" t="s">
        <v>2705</v>
      </c>
      <c r="M49" s="2" t="s">
        <v>3919</v>
      </c>
      <c r="N49" s="3">
        <v>1</v>
      </c>
      <c r="O49" s="3">
        <v>1</v>
      </c>
      <c r="P49" s="3">
        <v>0</v>
      </c>
      <c r="Q49" s="3">
        <v>1</v>
      </c>
      <c r="R49" s="5">
        <v>0</v>
      </c>
      <c r="S49" s="3">
        <v>433850</v>
      </c>
      <c r="T49" s="3">
        <v>433850</v>
      </c>
      <c r="U49" s="2" t="s">
        <v>32</v>
      </c>
      <c r="V49" s="2" t="s">
        <v>4215</v>
      </c>
      <c r="W49" s="2" t="s">
        <v>4216</v>
      </c>
      <c r="X49" s="2" t="s">
        <v>4104</v>
      </c>
      <c r="Y49" s="2" t="s">
        <v>4129</v>
      </c>
      <c r="Z49" s="6"/>
      <c r="AA49" s="4">
        <v>1</v>
      </c>
      <c r="AB49" s="4">
        <v>1</v>
      </c>
      <c r="AE49" s="2" t="s">
        <v>3902</v>
      </c>
      <c r="AF49" s="2" t="s">
        <v>3958</v>
      </c>
      <c r="AH49" s="2" t="s">
        <v>3959</v>
      </c>
      <c r="AJ49" s="2" t="s">
        <v>4076</v>
      </c>
      <c r="AK49" s="2" t="s">
        <v>3903</v>
      </c>
      <c r="AL49" s="5">
        <v>0</v>
      </c>
      <c r="AN49" s="3">
        <v>0</v>
      </c>
      <c r="AO49" s="5">
        <v>1</v>
      </c>
      <c r="AQ49" s="5">
        <v>0</v>
      </c>
      <c r="AR49" s="2" t="s">
        <v>4217</v>
      </c>
      <c r="AS49" s="2" t="s">
        <v>3904</v>
      </c>
      <c r="AV49" s="2" t="s">
        <v>3962</v>
      </c>
      <c r="AW49" s="2" t="s">
        <v>3906</v>
      </c>
      <c r="AX49" s="6">
        <v>44834</v>
      </c>
      <c r="AY49" s="2" t="s">
        <v>4218</v>
      </c>
      <c r="BA49" s="6"/>
      <c r="BB49" s="6">
        <v>44734</v>
      </c>
      <c r="BC49" s="6">
        <v>44834</v>
      </c>
      <c r="BD49" s="6"/>
      <c r="BE49" s="6"/>
      <c r="BF49" s="6">
        <v>44760</v>
      </c>
      <c r="BG49" s="6"/>
      <c r="BH49" s="2" t="s">
        <v>4219</v>
      </c>
      <c r="BJ49" s="3">
        <v>425000</v>
      </c>
      <c r="BK49" s="3">
        <v>425000</v>
      </c>
      <c r="BM49" s="2" t="s">
        <v>4220</v>
      </c>
      <c r="BN49" s="2" t="s">
        <v>3932</v>
      </c>
      <c r="BO49" s="2" t="s">
        <v>3908</v>
      </c>
      <c r="BP49" s="2" t="s">
        <v>32</v>
      </c>
      <c r="BR49" s="2" t="s">
        <v>32</v>
      </c>
      <c r="BS49" s="2" t="s">
        <v>32</v>
      </c>
      <c r="BT49" s="2" t="s">
        <v>3909</v>
      </c>
      <c r="BZ49" s="4">
        <v>40</v>
      </c>
      <c r="CA49" s="3">
        <v>1</v>
      </c>
      <c r="CB49" s="3">
        <v>433850</v>
      </c>
      <c r="CD49" s="2" t="s">
        <v>4221</v>
      </c>
      <c r="CH49" s="5">
        <v>0</v>
      </c>
      <c r="CI49" s="2" t="s">
        <v>3967</v>
      </c>
      <c r="CJ49" s="2" t="s">
        <v>4109</v>
      </c>
      <c r="CK49" s="2" t="s">
        <v>3936</v>
      </c>
      <c r="CL49" s="4">
        <v>8</v>
      </c>
      <c r="CM49" s="2" t="s">
        <v>3911</v>
      </c>
      <c r="CQ49" s="2" t="s">
        <v>3937</v>
      </c>
      <c r="CR49" s="2" t="s">
        <v>3937</v>
      </c>
      <c r="CS49" s="2" t="s">
        <v>3937</v>
      </c>
      <c r="CT49" s="2" t="s">
        <v>3937</v>
      </c>
      <c r="CU49" s="2" t="s">
        <v>3937</v>
      </c>
      <c r="CV49" s="2" t="s">
        <v>3937</v>
      </c>
      <c r="CW49" s="2" t="s">
        <v>3937</v>
      </c>
      <c r="CX49" s="3">
        <v>0</v>
      </c>
      <c r="CZ49" s="3">
        <v>0</v>
      </c>
      <c r="DA49" s="2" t="s">
        <v>4222</v>
      </c>
      <c r="DB49" s="3">
        <v>433850</v>
      </c>
      <c r="DC49" s="3">
        <v>0</v>
      </c>
      <c r="DD49" s="3">
        <v>433850</v>
      </c>
      <c r="DE49" s="3">
        <v>0</v>
      </c>
      <c r="DF49" s="2" t="s">
        <v>3912</v>
      </c>
      <c r="DG49" s="2" t="s">
        <v>3981</v>
      </c>
    </row>
    <row r="50" spans="1:111" x14ac:dyDescent="0.2">
      <c r="A50" s="2" t="s">
        <v>4211</v>
      </c>
      <c r="B50" s="2" t="s">
        <v>4212</v>
      </c>
      <c r="C50" s="6">
        <v>44722</v>
      </c>
      <c r="D50" s="2" t="s">
        <v>4213</v>
      </c>
      <c r="E50" s="2" t="s">
        <v>3304</v>
      </c>
      <c r="G50" s="2" t="s">
        <v>4223</v>
      </c>
      <c r="H50" s="2" t="s">
        <v>3918</v>
      </c>
      <c r="I50" s="6">
        <v>44739</v>
      </c>
      <c r="J50" s="6">
        <v>44834</v>
      </c>
      <c r="K50" s="2" t="s">
        <v>2705</v>
      </c>
      <c r="L50" s="2" t="s">
        <v>4224</v>
      </c>
      <c r="M50" s="2" t="s">
        <v>4054</v>
      </c>
      <c r="N50" s="3">
        <v>1</v>
      </c>
      <c r="O50" s="3">
        <v>1</v>
      </c>
      <c r="P50" s="3">
        <v>0</v>
      </c>
      <c r="Q50" s="3">
        <v>1</v>
      </c>
      <c r="R50" s="5">
        <v>0</v>
      </c>
      <c r="S50" s="3">
        <v>425000</v>
      </c>
      <c r="T50" s="3">
        <v>425000</v>
      </c>
      <c r="U50" s="2" t="s">
        <v>32</v>
      </c>
      <c r="V50" s="2" t="s">
        <v>4215</v>
      </c>
      <c r="W50" s="2" t="s">
        <v>4225</v>
      </c>
      <c r="X50" s="2" t="s">
        <v>4104</v>
      </c>
      <c r="Y50" s="2" t="s">
        <v>4129</v>
      </c>
      <c r="Z50" s="6"/>
      <c r="AA50" s="4">
        <v>1</v>
      </c>
      <c r="AB50" s="4">
        <v>1</v>
      </c>
      <c r="AE50" s="2" t="s">
        <v>3902</v>
      </c>
      <c r="AF50" s="2" t="s">
        <v>3958</v>
      </c>
      <c r="AH50" s="2" t="s">
        <v>3959</v>
      </c>
      <c r="AJ50" s="2" t="s">
        <v>3903</v>
      </c>
      <c r="AK50" s="2" t="s">
        <v>3903</v>
      </c>
      <c r="AL50" s="5">
        <v>0</v>
      </c>
      <c r="AN50" s="3">
        <v>0</v>
      </c>
      <c r="AO50" s="5">
        <v>1</v>
      </c>
      <c r="AQ50" s="5">
        <v>0</v>
      </c>
      <c r="AR50" s="2" t="s">
        <v>4217</v>
      </c>
      <c r="AS50" s="2" t="s">
        <v>3904</v>
      </c>
      <c r="AV50" s="2" t="s">
        <v>3962</v>
      </c>
      <c r="AW50" s="2" t="s">
        <v>3906</v>
      </c>
      <c r="AX50" s="6">
        <v>44834</v>
      </c>
      <c r="AY50" s="2" t="s">
        <v>4218</v>
      </c>
      <c r="BA50" s="6"/>
      <c r="BB50" s="6">
        <v>44734</v>
      </c>
      <c r="BC50" s="6">
        <v>44834</v>
      </c>
      <c r="BD50" s="6"/>
      <c r="BE50" s="6"/>
      <c r="BF50" s="6">
        <v>44760</v>
      </c>
      <c r="BG50" s="6"/>
      <c r="BH50" s="2" t="s">
        <v>4219</v>
      </c>
      <c r="BJ50" s="3">
        <v>425000</v>
      </c>
      <c r="BK50" s="3">
        <v>425000</v>
      </c>
      <c r="BM50" s="2" t="s">
        <v>4220</v>
      </c>
      <c r="BN50" s="2" t="s">
        <v>2705</v>
      </c>
      <c r="BO50" s="2" t="s">
        <v>3908</v>
      </c>
      <c r="BP50" s="2" t="s">
        <v>32</v>
      </c>
      <c r="BR50" s="2" t="s">
        <v>32</v>
      </c>
      <c r="BS50" s="2" t="s">
        <v>32</v>
      </c>
      <c r="BT50" s="2" t="s">
        <v>3909</v>
      </c>
      <c r="BZ50" s="4">
        <v>40</v>
      </c>
      <c r="CA50" s="3">
        <v>1</v>
      </c>
      <c r="CB50" s="3">
        <v>425000</v>
      </c>
      <c r="CD50" s="2" t="s">
        <v>4226</v>
      </c>
      <c r="CH50" s="5">
        <v>0</v>
      </c>
      <c r="CI50" s="2" t="s">
        <v>3967</v>
      </c>
      <c r="CJ50" s="2" t="s">
        <v>4109</v>
      </c>
      <c r="CK50" s="2" t="s">
        <v>3936</v>
      </c>
      <c r="CL50" s="4">
        <v>8</v>
      </c>
      <c r="CM50" s="2" t="s">
        <v>3911</v>
      </c>
      <c r="CQ50" s="2" t="s">
        <v>3937</v>
      </c>
      <c r="CR50" s="2" t="s">
        <v>3937</v>
      </c>
      <c r="CS50" s="2" t="s">
        <v>3937</v>
      </c>
      <c r="CT50" s="2" t="s">
        <v>3937</v>
      </c>
      <c r="CU50" s="2" t="s">
        <v>3937</v>
      </c>
      <c r="CV50" s="2" t="s">
        <v>3937</v>
      </c>
      <c r="CW50" s="2" t="s">
        <v>3937</v>
      </c>
      <c r="CX50" s="3">
        <v>0</v>
      </c>
      <c r="CZ50" s="3">
        <v>0</v>
      </c>
      <c r="DA50" s="2" t="s">
        <v>4227</v>
      </c>
      <c r="DB50" s="3">
        <v>425000</v>
      </c>
      <c r="DC50" s="3">
        <v>0</v>
      </c>
      <c r="DD50" s="3">
        <v>425000</v>
      </c>
      <c r="DE50" s="3">
        <v>0</v>
      </c>
      <c r="DF50" s="2" t="s">
        <v>3912</v>
      </c>
      <c r="DG50" s="2" t="s">
        <v>3981</v>
      </c>
    </row>
    <row r="51" spans="1:111" x14ac:dyDescent="0.2">
      <c r="B51" s="2" t="s">
        <v>4228</v>
      </c>
      <c r="C51" s="6">
        <v>44722</v>
      </c>
      <c r="D51" s="2" t="s">
        <v>4229</v>
      </c>
      <c r="E51" s="2" t="s">
        <v>283</v>
      </c>
      <c r="G51" s="2" t="s">
        <v>4230</v>
      </c>
      <c r="H51" s="2" t="s">
        <v>3918</v>
      </c>
      <c r="I51" s="6">
        <v>44748</v>
      </c>
      <c r="J51" s="6">
        <v>44834</v>
      </c>
      <c r="K51" s="2" t="s">
        <v>2705</v>
      </c>
      <c r="L51" s="2" t="s">
        <v>4224</v>
      </c>
      <c r="M51" s="2" t="s">
        <v>4054</v>
      </c>
      <c r="N51" s="5">
        <v>1</v>
      </c>
      <c r="O51" s="4">
        <v>1</v>
      </c>
      <c r="P51" s="4">
        <v>0</v>
      </c>
      <c r="Q51" s="4">
        <v>0</v>
      </c>
      <c r="R51" s="5">
        <v>0</v>
      </c>
      <c r="S51" s="3">
        <v>5200</v>
      </c>
      <c r="T51" s="3">
        <v>5200</v>
      </c>
      <c r="U51" s="2" t="s">
        <v>32</v>
      </c>
      <c r="W51" s="2" t="s">
        <v>4103</v>
      </c>
      <c r="X51" s="2" t="s">
        <v>4104</v>
      </c>
      <c r="Z51" s="6"/>
      <c r="AA51" s="4">
        <v>1</v>
      </c>
      <c r="AB51" s="4">
        <v>1</v>
      </c>
      <c r="AE51" s="2" t="s">
        <v>3902</v>
      </c>
      <c r="AF51" s="2" t="s">
        <v>4105</v>
      </c>
      <c r="AH51" s="2" t="s">
        <v>4106</v>
      </c>
      <c r="AJ51" s="2" t="s">
        <v>3903</v>
      </c>
      <c r="AK51" s="2" t="s">
        <v>3903</v>
      </c>
      <c r="AL51" s="5">
        <v>0</v>
      </c>
      <c r="AN51" s="4">
        <v>0</v>
      </c>
      <c r="AO51" s="5">
        <v>1</v>
      </c>
      <c r="AQ51" s="5">
        <v>0</v>
      </c>
      <c r="AS51" s="2" t="s">
        <v>3904</v>
      </c>
      <c r="AV51" s="2" t="s">
        <v>3905</v>
      </c>
      <c r="AW51" s="2" t="s">
        <v>3906</v>
      </c>
      <c r="AX51" s="6">
        <v>44834</v>
      </c>
      <c r="BA51" s="6"/>
      <c r="BB51" s="6">
        <v>44729</v>
      </c>
      <c r="BC51" s="6">
        <v>44834</v>
      </c>
      <c r="BD51" s="6"/>
      <c r="BE51" s="6"/>
      <c r="BF51" s="6">
        <v>44729</v>
      </c>
      <c r="BG51" s="6"/>
      <c r="BH51" s="2" t="s">
        <v>4107</v>
      </c>
      <c r="BJ51" s="3">
        <v>5200</v>
      </c>
      <c r="BK51" s="3">
        <v>5200</v>
      </c>
      <c r="BL51" s="2" t="s">
        <v>4224</v>
      </c>
      <c r="BM51" s="2" t="s">
        <v>4220</v>
      </c>
      <c r="BN51" s="2" t="s">
        <v>2705</v>
      </c>
      <c r="BO51" s="2" t="s">
        <v>3908</v>
      </c>
      <c r="BP51" s="2" t="s">
        <v>32</v>
      </c>
      <c r="BR51" s="2" t="s">
        <v>32</v>
      </c>
      <c r="BS51" s="2" t="s">
        <v>32</v>
      </c>
      <c r="BT51" s="2" t="s">
        <v>3909</v>
      </c>
      <c r="BZ51" s="4">
        <v>0</v>
      </c>
      <c r="CA51" s="4">
        <v>1</v>
      </c>
      <c r="CB51" s="3">
        <v>5200</v>
      </c>
      <c r="CD51" s="2" t="s">
        <v>4108</v>
      </c>
      <c r="CH51" s="5">
        <v>0</v>
      </c>
      <c r="CI51" s="2" t="s">
        <v>3967</v>
      </c>
      <c r="CJ51" s="2" t="s">
        <v>4109</v>
      </c>
      <c r="CK51" s="2" t="s">
        <v>3910</v>
      </c>
      <c r="CL51" s="4">
        <v>0</v>
      </c>
      <c r="CM51" s="2" t="s">
        <v>3911</v>
      </c>
      <c r="CQ51" s="2" t="s">
        <v>4110</v>
      </c>
      <c r="CR51" s="2" t="s">
        <v>4110</v>
      </c>
      <c r="CS51" s="2" t="s">
        <v>55</v>
      </c>
      <c r="CT51" s="2" t="s">
        <v>55</v>
      </c>
      <c r="CV51" s="2" t="s">
        <v>4110</v>
      </c>
      <c r="CW51" s="2" t="s">
        <v>4110</v>
      </c>
      <c r="CX51" s="3">
        <v>0</v>
      </c>
      <c r="CZ51" s="3">
        <v>0</v>
      </c>
      <c r="DA51" s="2" t="s">
        <v>4111</v>
      </c>
      <c r="DB51" s="3">
        <v>5200</v>
      </c>
      <c r="DC51" s="3">
        <v>0</v>
      </c>
      <c r="DD51" s="3">
        <v>5200</v>
      </c>
      <c r="DE51" s="3">
        <v>0</v>
      </c>
      <c r="DF51" s="2" t="s">
        <v>3912</v>
      </c>
      <c r="DG51" s="2" t="s">
        <v>3981</v>
      </c>
    </row>
    <row r="52" spans="1:111" x14ac:dyDescent="0.2">
      <c r="B52" s="2" t="s">
        <v>4228</v>
      </c>
      <c r="C52" s="6">
        <v>44722</v>
      </c>
      <c r="D52" s="2" t="s">
        <v>4229</v>
      </c>
      <c r="E52" s="2" t="s">
        <v>283</v>
      </c>
      <c r="G52" s="2" t="s">
        <v>4231</v>
      </c>
      <c r="H52" s="2" t="s">
        <v>3918</v>
      </c>
      <c r="I52" s="6">
        <v>44739</v>
      </c>
      <c r="J52" s="6">
        <v>44834</v>
      </c>
      <c r="K52" s="2" t="s">
        <v>2705</v>
      </c>
      <c r="L52" s="2" t="s">
        <v>4224</v>
      </c>
      <c r="M52" s="2" t="s">
        <v>4054</v>
      </c>
      <c r="N52" s="5">
        <v>1</v>
      </c>
      <c r="O52" s="4">
        <v>1</v>
      </c>
      <c r="P52" s="4">
        <v>0</v>
      </c>
      <c r="Q52" s="4">
        <v>0</v>
      </c>
      <c r="R52" s="5">
        <v>0</v>
      </c>
      <c r="S52" s="3">
        <v>5200</v>
      </c>
      <c r="T52" s="3">
        <v>5200</v>
      </c>
      <c r="U52" s="2" t="s">
        <v>32</v>
      </c>
      <c r="W52" s="2" t="s">
        <v>4225</v>
      </c>
      <c r="X52" s="2" t="s">
        <v>4104</v>
      </c>
      <c r="Z52" s="6"/>
      <c r="AA52" s="4">
        <v>1</v>
      </c>
      <c r="AB52" s="4">
        <v>1</v>
      </c>
      <c r="AE52" s="2" t="s">
        <v>3902</v>
      </c>
      <c r="AF52" s="2" t="s">
        <v>4105</v>
      </c>
      <c r="AH52" s="2" t="s">
        <v>4106</v>
      </c>
      <c r="AJ52" s="2" t="s">
        <v>3903</v>
      </c>
      <c r="AK52" s="2" t="s">
        <v>3903</v>
      </c>
      <c r="AL52" s="5">
        <v>0</v>
      </c>
      <c r="AN52" s="4">
        <v>0</v>
      </c>
      <c r="AO52" s="5">
        <v>1</v>
      </c>
      <c r="AQ52" s="5">
        <v>0</v>
      </c>
      <c r="AS52" s="2" t="s">
        <v>3904</v>
      </c>
      <c r="AV52" s="2" t="s">
        <v>3905</v>
      </c>
      <c r="AW52" s="2" t="s">
        <v>3906</v>
      </c>
      <c r="AX52" s="6">
        <v>44834</v>
      </c>
      <c r="BA52" s="6"/>
      <c r="BB52" s="6">
        <v>44729</v>
      </c>
      <c r="BC52" s="6">
        <v>44834</v>
      </c>
      <c r="BD52" s="6"/>
      <c r="BE52" s="6"/>
      <c r="BF52" s="6">
        <v>44729</v>
      </c>
      <c r="BG52" s="6"/>
      <c r="BH52" s="2" t="s">
        <v>4107</v>
      </c>
      <c r="BJ52" s="3">
        <v>5200</v>
      </c>
      <c r="BK52" s="3">
        <v>5200</v>
      </c>
      <c r="BL52" s="2" t="s">
        <v>4224</v>
      </c>
      <c r="BM52" s="2" t="s">
        <v>4220</v>
      </c>
      <c r="BN52" s="2" t="s">
        <v>2705</v>
      </c>
      <c r="BO52" s="2" t="s">
        <v>3908</v>
      </c>
      <c r="BP52" s="2" t="s">
        <v>32</v>
      </c>
      <c r="BR52" s="2" t="s">
        <v>32</v>
      </c>
      <c r="BS52" s="2" t="s">
        <v>32</v>
      </c>
      <c r="BT52" s="2" t="s">
        <v>3909</v>
      </c>
      <c r="BZ52" s="4">
        <v>0</v>
      </c>
      <c r="CA52" s="4">
        <v>1</v>
      </c>
      <c r="CB52" s="3">
        <v>5200</v>
      </c>
      <c r="CD52" s="2" t="s">
        <v>4226</v>
      </c>
      <c r="CH52" s="5">
        <v>0</v>
      </c>
      <c r="CI52" s="2" t="s">
        <v>3967</v>
      </c>
      <c r="CJ52" s="2" t="s">
        <v>4109</v>
      </c>
      <c r="CK52" s="2" t="s">
        <v>3910</v>
      </c>
      <c r="CL52" s="4">
        <v>0</v>
      </c>
      <c r="CM52" s="2" t="s">
        <v>3911</v>
      </c>
      <c r="CQ52" s="2" t="s">
        <v>4110</v>
      </c>
      <c r="CR52" s="2" t="s">
        <v>4110</v>
      </c>
      <c r="CS52" s="2" t="s">
        <v>55</v>
      </c>
      <c r="CT52" s="2" t="s">
        <v>55</v>
      </c>
      <c r="CV52" s="2" t="s">
        <v>4110</v>
      </c>
      <c r="CW52" s="2" t="s">
        <v>4110</v>
      </c>
      <c r="CX52" s="3">
        <v>0</v>
      </c>
      <c r="CZ52" s="3">
        <v>0</v>
      </c>
      <c r="DA52" s="2" t="s">
        <v>4111</v>
      </c>
      <c r="DB52" s="3">
        <v>5200</v>
      </c>
      <c r="DC52" s="3">
        <v>0</v>
      </c>
      <c r="DD52" s="3">
        <v>5200</v>
      </c>
      <c r="DE52" s="3">
        <v>0</v>
      </c>
      <c r="DF52" s="2" t="s">
        <v>3912</v>
      </c>
      <c r="DG52" s="2" t="s">
        <v>3981</v>
      </c>
    </row>
    <row r="53" spans="1:111" x14ac:dyDescent="0.2">
      <c r="B53" s="2" t="s">
        <v>4232</v>
      </c>
      <c r="C53" s="6">
        <v>44722</v>
      </c>
      <c r="D53" s="2" t="s">
        <v>4229</v>
      </c>
      <c r="E53" s="2" t="s">
        <v>3304</v>
      </c>
      <c r="G53" s="2" t="s">
        <v>4230</v>
      </c>
      <c r="H53" s="2" t="s">
        <v>3908</v>
      </c>
      <c r="I53" s="6">
        <v>44748</v>
      </c>
      <c r="J53" s="6">
        <v>44834</v>
      </c>
      <c r="K53" s="2" t="s">
        <v>2705</v>
      </c>
      <c r="L53" s="2" t="s">
        <v>4224</v>
      </c>
      <c r="M53" s="2" t="s">
        <v>4054</v>
      </c>
      <c r="N53" s="5">
        <v>1</v>
      </c>
      <c r="O53" s="4">
        <v>1</v>
      </c>
      <c r="P53" s="4">
        <v>0</v>
      </c>
      <c r="Q53" s="4">
        <v>0</v>
      </c>
      <c r="R53" s="5">
        <v>0</v>
      </c>
      <c r="S53" s="3">
        <v>6560</v>
      </c>
      <c r="T53" s="3">
        <v>6560</v>
      </c>
      <c r="U53" s="2" t="s">
        <v>32</v>
      </c>
      <c r="W53" s="2" t="s">
        <v>4103</v>
      </c>
      <c r="X53" s="2" t="s">
        <v>4104</v>
      </c>
      <c r="Z53" s="6"/>
      <c r="AA53" s="4">
        <v>1</v>
      </c>
      <c r="AB53" s="4">
        <v>1</v>
      </c>
      <c r="AE53" s="2" t="s">
        <v>3902</v>
      </c>
      <c r="AF53" s="2" t="s">
        <v>4105</v>
      </c>
      <c r="AH53" s="2" t="s">
        <v>4106</v>
      </c>
      <c r="AJ53" s="2" t="s">
        <v>3903</v>
      </c>
      <c r="AK53" s="2" t="s">
        <v>3903</v>
      </c>
      <c r="AL53" s="5">
        <v>0</v>
      </c>
      <c r="AN53" s="4">
        <v>0</v>
      </c>
      <c r="AO53" s="5">
        <v>1</v>
      </c>
      <c r="AQ53" s="5">
        <v>0</v>
      </c>
      <c r="AS53" s="2" t="s">
        <v>3904</v>
      </c>
      <c r="AV53" s="2" t="s">
        <v>3905</v>
      </c>
      <c r="AW53" s="2" t="s">
        <v>3906</v>
      </c>
      <c r="AX53" s="6">
        <v>44834</v>
      </c>
      <c r="BA53" s="6"/>
      <c r="BB53" s="6">
        <v>44729</v>
      </c>
      <c r="BC53" s="6">
        <v>44834</v>
      </c>
      <c r="BD53" s="6"/>
      <c r="BE53" s="6"/>
      <c r="BF53" s="6">
        <v>44729</v>
      </c>
      <c r="BG53" s="6"/>
      <c r="BH53" s="2" t="s">
        <v>4107</v>
      </c>
      <c r="BJ53" s="3">
        <v>6560</v>
      </c>
      <c r="BK53" s="3">
        <v>6560</v>
      </c>
      <c r="BL53" s="2" t="s">
        <v>4224</v>
      </c>
      <c r="BM53" s="2" t="s">
        <v>4220</v>
      </c>
      <c r="BN53" s="2" t="s">
        <v>2705</v>
      </c>
      <c r="BO53" s="2" t="s">
        <v>3908</v>
      </c>
      <c r="BP53" s="2" t="s">
        <v>32</v>
      </c>
      <c r="BR53" s="2" t="s">
        <v>32</v>
      </c>
      <c r="BS53" s="2" t="s">
        <v>32</v>
      </c>
      <c r="BT53" s="2" t="s">
        <v>3909</v>
      </c>
      <c r="BZ53" s="4">
        <v>0</v>
      </c>
      <c r="CA53" s="4">
        <v>1</v>
      </c>
      <c r="CB53" s="3">
        <v>6560</v>
      </c>
      <c r="CD53" s="2" t="s">
        <v>4108</v>
      </c>
      <c r="CH53" s="5">
        <v>0</v>
      </c>
      <c r="CI53" s="2" t="s">
        <v>3967</v>
      </c>
      <c r="CJ53" s="2" t="s">
        <v>4109</v>
      </c>
      <c r="CK53" s="2" t="s">
        <v>3910</v>
      </c>
      <c r="CL53" s="4">
        <v>0</v>
      </c>
      <c r="CM53" s="2" t="s">
        <v>3911</v>
      </c>
      <c r="CQ53" s="2" t="s">
        <v>4110</v>
      </c>
      <c r="CR53" s="2" t="s">
        <v>4110</v>
      </c>
      <c r="CS53" s="2" t="s">
        <v>55</v>
      </c>
      <c r="CT53" s="2" t="s">
        <v>55</v>
      </c>
      <c r="CV53" s="2" t="s">
        <v>4110</v>
      </c>
      <c r="CW53" s="2" t="s">
        <v>4110</v>
      </c>
      <c r="CX53" s="3">
        <v>0</v>
      </c>
      <c r="CZ53" s="3">
        <v>0</v>
      </c>
      <c r="DA53" s="2" t="s">
        <v>4113</v>
      </c>
      <c r="DB53" s="3">
        <v>6560</v>
      </c>
      <c r="DC53" s="3">
        <v>0</v>
      </c>
      <c r="DD53" s="3">
        <v>6560</v>
      </c>
      <c r="DE53" s="3">
        <v>0</v>
      </c>
      <c r="DF53" s="2" t="s">
        <v>3912</v>
      </c>
      <c r="DG53" s="2" t="s">
        <v>3981</v>
      </c>
    </row>
    <row r="54" spans="1:111" x14ac:dyDescent="0.2">
      <c r="B54" s="2" t="s">
        <v>4232</v>
      </c>
      <c r="C54" s="6">
        <v>44722</v>
      </c>
      <c r="D54" s="2" t="s">
        <v>4229</v>
      </c>
      <c r="E54" s="2" t="s">
        <v>3304</v>
      </c>
      <c r="G54" s="2" t="s">
        <v>4231</v>
      </c>
      <c r="H54" s="2" t="s">
        <v>3908</v>
      </c>
      <c r="I54" s="6">
        <v>44739</v>
      </c>
      <c r="J54" s="6">
        <v>44834</v>
      </c>
      <c r="K54" s="2" t="s">
        <v>2705</v>
      </c>
      <c r="L54" s="2" t="s">
        <v>4224</v>
      </c>
      <c r="M54" s="2" t="s">
        <v>4054</v>
      </c>
      <c r="N54" s="5">
        <v>1</v>
      </c>
      <c r="O54" s="4">
        <v>1</v>
      </c>
      <c r="P54" s="4">
        <v>0</v>
      </c>
      <c r="Q54" s="4">
        <v>0</v>
      </c>
      <c r="R54" s="5">
        <v>0</v>
      </c>
      <c r="S54" s="3">
        <v>6560</v>
      </c>
      <c r="T54" s="3">
        <v>6560</v>
      </c>
      <c r="U54" s="2" t="s">
        <v>32</v>
      </c>
      <c r="W54" s="2" t="s">
        <v>4225</v>
      </c>
      <c r="X54" s="2" t="s">
        <v>4104</v>
      </c>
      <c r="Z54" s="6"/>
      <c r="AA54" s="4">
        <v>1</v>
      </c>
      <c r="AB54" s="4">
        <v>1</v>
      </c>
      <c r="AE54" s="2" t="s">
        <v>3902</v>
      </c>
      <c r="AF54" s="2" t="s">
        <v>4105</v>
      </c>
      <c r="AH54" s="2" t="s">
        <v>4106</v>
      </c>
      <c r="AJ54" s="2" t="s">
        <v>3903</v>
      </c>
      <c r="AK54" s="2" t="s">
        <v>3903</v>
      </c>
      <c r="AL54" s="5">
        <v>0</v>
      </c>
      <c r="AN54" s="4">
        <v>0</v>
      </c>
      <c r="AO54" s="5">
        <v>1</v>
      </c>
      <c r="AQ54" s="5">
        <v>0</v>
      </c>
      <c r="AS54" s="2" t="s">
        <v>3904</v>
      </c>
      <c r="AV54" s="2" t="s">
        <v>3905</v>
      </c>
      <c r="AW54" s="2" t="s">
        <v>3906</v>
      </c>
      <c r="AX54" s="6">
        <v>44834</v>
      </c>
      <c r="BA54" s="6"/>
      <c r="BB54" s="6">
        <v>44729</v>
      </c>
      <c r="BC54" s="6">
        <v>44834</v>
      </c>
      <c r="BD54" s="6"/>
      <c r="BE54" s="6"/>
      <c r="BF54" s="6">
        <v>44729</v>
      </c>
      <c r="BG54" s="6"/>
      <c r="BH54" s="2" t="s">
        <v>4107</v>
      </c>
      <c r="BJ54" s="3">
        <v>6560</v>
      </c>
      <c r="BK54" s="3">
        <v>6560</v>
      </c>
      <c r="BL54" s="2" t="s">
        <v>4224</v>
      </c>
      <c r="BM54" s="2" t="s">
        <v>4220</v>
      </c>
      <c r="BN54" s="2" t="s">
        <v>2705</v>
      </c>
      <c r="BO54" s="2" t="s">
        <v>3908</v>
      </c>
      <c r="BP54" s="2" t="s">
        <v>32</v>
      </c>
      <c r="BR54" s="2" t="s">
        <v>32</v>
      </c>
      <c r="BS54" s="2" t="s">
        <v>32</v>
      </c>
      <c r="BT54" s="2" t="s">
        <v>3909</v>
      </c>
      <c r="BZ54" s="4">
        <v>0</v>
      </c>
      <c r="CA54" s="4">
        <v>1</v>
      </c>
      <c r="CB54" s="3">
        <v>6560</v>
      </c>
      <c r="CD54" s="2" t="s">
        <v>4226</v>
      </c>
      <c r="CH54" s="5">
        <v>0</v>
      </c>
      <c r="CI54" s="2" t="s">
        <v>3967</v>
      </c>
      <c r="CJ54" s="2" t="s">
        <v>4109</v>
      </c>
      <c r="CK54" s="2" t="s">
        <v>3910</v>
      </c>
      <c r="CL54" s="4">
        <v>0</v>
      </c>
      <c r="CM54" s="2" t="s">
        <v>3911</v>
      </c>
      <c r="CQ54" s="2" t="s">
        <v>4110</v>
      </c>
      <c r="CR54" s="2" t="s">
        <v>4110</v>
      </c>
      <c r="CS54" s="2" t="s">
        <v>55</v>
      </c>
      <c r="CT54" s="2" t="s">
        <v>55</v>
      </c>
      <c r="CV54" s="2" t="s">
        <v>4110</v>
      </c>
      <c r="CW54" s="2" t="s">
        <v>4110</v>
      </c>
      <c r="CX54" s="3">
        <v>0</v>
      </c>
      <c r="CZ54" s="3">
        <v>0</v>
      </c>
      <c r="DA54" s="2" t="s">
        <v>4113</v>
      </c>
      <c r="DB54" s="3">
        <v>6560</v>
      </c>
      <c r="DC54" s="3">
        <v>0</v>
      </c>
      <c r="DD54" s="3">
        <v>6560</v>
      </c>
      <c r="DE54" s="3">
        <v>0</v>
      </c>
      <c r="DF54" s="2" t="s">
        <v>3912</v>
      </c>
      <c r="DG54" s="2" t="s">
        <v>3981</v>
      </c>
    </row>
    <row r="55" spans="1:111" x14ac:dyDescent="0.2">
      <c r="A55" s="2" t="s">
        <v>4233</v>
      </c>
      <c r="B55" s="2" t="s">
        <v>4234</v>
      </c>
      <c r="C55" s="6">
        <v>44721</v>
      </c>
      <c r="D55" s="2" t="s">
        <v>4235</v>
      </c>
      <c r="E55" s="2" t="s">
        <v>283</v>
      </c>
      <c r="G55" s="2" t="s">
        <v>4236</v>
      </c>
      <c r="H55" s="2" t="s">
        <v>3918</v>
      </c>
      <c r="I55" s="6">
        <v>44736</v>
      </c>
      <c r="J55" s="6">
        <v>44791</v>
      </c>
      <c r="M55" s="2" t="s">
        <v>3919</v>
      </c>
      <c r="N55" s="3">
        <v>2</v>
      </c>
      <c r="O55" s="3">
        <v>2</v>
      </c>
      <c r="P55" s="3">
        <v>2</v>
      </c>
      <c r="Q55" s="3">
        <v>0</v>
      </c>
      <c r="R55" s="5">
        <v>2</v>
      </c>
      <c r="S55" s="3">
        <v>38.130000000000003</v>
      </c>
      <c r="T55" s="3">
        <v>76.260000000000005</v>
      </c>
      <c r="U55" s="2" t="s">
        <v>32</v>
      </c>
      <c r="V55" s="2" t="s">
        <v>4237</v>
      </c>
      <c r="W55" s="2" t="s">
        <v>4238</v>
      </c>
      <c r="X55" s="2" t="s">
        <v>4239</v>
      </c>
      <c r="Y55" s="2" t="s">
        <v>4129</v>
      </c>
      <c r="Z55" s="6"/>
      <c r="AA55" s="4">
        <v>1</v>
      </c>
      <c r="AB55" s="4">
        <v>1</v>
      </c>
      <c r="AE55" s="2" t="s">
        <v>3902</v>
      </c>
      <c r="AF55" s="2" t="s">
        <v>3958</v>
      </c>
      <c r="AH55" s="2" t="s">
        <v>3959</v>
      </c>
      <c r="AJ55" s="2" t="s">
        <v>4240</v>
      </c>
      <c r="AK55" s="2" t="s">
        <v>3903</v>
      </c>
      <c r="AL55" s="5">
        <v>0</v>
      </c>
      <c r="AN55" s="3">
        <v>0</v>
      </c>
      <c r="AO55" s="5">
        <v>2</v>
      </c>
      <c r="AQ55" s="5">
        <v>0</v>
      </c>
      <c r="AR55" s="2" t="s">
        <v>560</v>
      </c>
      <c r="AS55" s="2" t="s">
        <v>3904</v>
      </c>
      <c r="AV55" s="2" t="s">
        <v>3962</v>
      </c>
      <c r="AW55" s="2" t="s">
        <v>3906</v>
      </c>
      <c r="AX55" s="6">
        <v>44749</v>
      </c>
      <c r="AY55" s="2" t="s">
        <v>4241</v>
      </c>
      <c r="BA55" s="6"/>
      <c r="BB55" s="6">
        <v>44722</v>
      </c>
      <c r="BC55" s="6">
        <v>44791</v>
      </c>
      <c r="BD55" s="6"/>
      <c r="BE55" s="6"/>
      <c r="BF55" s="6">
        <v>44722</v>
      </c>
      <c r="BG55" s="6"/>
      <c r="BH55" s="2" t="s">
        <v>4242</v>
      </c>
      <c r="BJ55" s="3">
        <v>76.260000000000005</v>
      </c>
      <c r="BK55" s="3">
        <v>38.130000000000003</v>
      </c>
      <c r="BN55" s="2" t="s">
        <v>3932</v>
      </c>
      <c r="BO55" s="2" t="s">
        <v>3908</v>
      </c>
      <c r="BP55" s="2" t="s">
        <v>32</v>
      </c>
      <c r="BR55" s="2" t="s">
        <v>32</v>
      </c>
      <c r="BS55" s="2" t="s">
        <v>32</v>
      </c>
      <c r="BT55" s="2" t="s">
        <v>3909</v>
      </c>
      <c r="BZ55" s="4">
        <v>4</v>
      </c>
      <c r="CA55" s="3">
        <v>2</v>
      </c>
      <c r="CB55" s="3">
        <v>76.260000000000005</v>
      </c>
      <c r="CD55" s="2" t="s">
        <v>4243</v>
      </c>
      <c r="CH55" s="5">
        <v>0</v>
      </c>
      <c r="CI55" s="2" t="s">
        <v>3967</v>
      </c>
      <c r="CK55" s="2" t="s">
        <v>3936</v>
      </c>
      <c r="CL55" s="4">
        <v>8</v>
      </c>
      <c r="CM55" s="2" t="s">
        <v>4244</v>
      </c>
      <c r="CQ55" s="2" t="s">
        <v>3937</v>
      </c>
      <c r="CR55" s="2" t="s">
        <v>3937</v>
      </c>
      <c r="CS55" s="2" t="s">
        <v>3937</v>
      </c>
      <c r="CT55" s="2" t="s">
        <v>3937</v>
      </c>
      <c r="CU55" s="2" t="s">
        <v>3937</v>
      </c>
      <c r="CV55" s="2" t="s">
        <v>3937</v>
      </c>
      <c r="CW55" s="2" t="s">
        <v>3937</v>
      </c>
      <c r="CX55" s="3">
        <v>0</v>
      </c>
      <c r="CZ55" s="3">
        <v>0</v>
      </c>
      <c r="DA55" s="2" t="s">
        <v>3911</v>
      </c>
      <c r="DB55" s="3">
        <v>76.260000000000005</v>
      </c>
      <c r="DC55" s="3">
        <v>76.260000000000005</v>
      </c>
      <c r="DD55" s="3">
        <v>0</v>
      </c>
      <c r="DE55" s="3">
        <v>76.260000000000005</v>
      </c>
      <c r="DF55" s="2" t="s">
        <v>3912</v>
      </c>
      <c r="DG55" s="2" t="s">
        <v>4245</v>
      </c>
    </row>
    <row r="56" spans="1:111" x14ac:dyDescent="0.2">
      <c r="A56" s="2" t="s">
        <v>4246</v>
      </c>
      <c r="B56" s="2" t="s">
        <v>4247</v>
      </c>
      <c r="C56" s="6">
        <v>44711</v>
      </c>
      <c r="D56" s="2" t="s">
        <v>4248</v>
      </c>
      <c r="E56" s="2" t="s">
        <v>283</v>
      </c>
      <c r="G56" s="2" t="s">
        <v>4249</v>
      </c>
      <c r="H56" s="2" t="s">
        <v>3918</v>
      </c>
      <c r="I56" s="6">
        <v>44714</v>
      </c>
      <c r="J56" s="6">
        <v>44999</v>
      </c>
      <c r="M56" s="2" t="s">
        <v>3919</v>
      </c>
      <c r="N56" s="3">
        <v>1</v>
      </c>
      <c r="O56" s="3">
        <v>1</v>
      </c>
      <c r="P56" s="3">
        <v>0</v>
      </c>
      <c r="Q56" s="3">
        <v>1</v>
      </c>
      <c r="R56" s="5">
        <v>0</v>
      </c>
      <c r="S56" s="3">
        <v>209313</v>
      </c>
      <c r="T56" s="3">
        <v>209313</v>
      </c>
      <c r="U56" s="2" t="s">
        <v>32</v>
      </c>
      <c r="V56" s="2" t="s">
        <v>4250</v>
      </c>
      <c r="W56" s="2" t="s">
        <v>4251</v>
      </c>
      <c r="X56" s="2" t="s">
        <v>4252</v>
      </c>
      <c r="Y56" s="2" t="s">
        <v>4129</v>
      </c>
      <c r="Z56" s="6"/>
      <c r="AA56" s="4">
        <v>1</v>
      </c>
      <c r="AB56" s="4">
        <v>1</v>
      </c>
      <c r="AE56" s="2" t="s">
        <v>3902</v>
      </c>
      <c r="AF56" s="2" t="s">
        <v>3925</v>
      </c>
      <c r="AH56" s="2" t="s">
        <v>3926</v>
      </c>
      <c r="AJ56" s="2" t="s">
        <v>3903</v>
      </c>
      <c r="AK56" s="2" t="s">
        <v>3903</v>
      </c>
      <c r="AL56" s="5">
        <v>0</v>
      </c>
      <c r="AN56" s="3">
        <v>0</v>
      </c>
      <c r="AO56" s="5">
        <v>1</v>
      </c>
      <c r="AQ56" s="5">
        <v>0</v>
      </c>
      <c r="AR56" s="2" t="s">
        <v>4253</v>
      </c>
      <c r="AS56" s="2" t="s">
        <v>3904</v>
      </c>
      <c r="AV56" s="2" t="s">
        <v>3962</v>
      </c>
      <c r="AW56" s="2" t="s">
        <v>3906</v>
      </c>
      <c r="AX56" s="6">
        <v>44803</v>
      </c>
      <c r="AY56" s="2" t="s">
        <v>4254</v>
      </c>
      <c r="BA56" s="6"/>
      <c r="BB56" s="6">
        <v>44713</v>
      </c>
      <c r="BC56" s="6">
        <v>44999</v>
      </c>
      <c r="BD56" s="6"/>
      <c r="BE56" s="6"/>
      <c r="BF56" s="6">
        <v>44732</v>
      </c>
      <c r="BG56" s="6"/>
      <c r="BH56" s="2" t="s">
        <v>4255</v>
      </c>
      <c r="BJ56" s="3">
        <v>209313</v>
      </c>
      <c r="BK56" s="3">
        <v>209313</v>
      </c>
      <c r="BN56" s="2" t="s">
        <v>3932</v>
      </c>
      <c r="BO56" s="2" t="s">
        <v>3908</v>
      </c>
      <c r="BP56" s="2" t="s">
        <v>32</v>
      </c>
      <c r="BR56" s="2" t="s">
        <v>32</v>
      </c>
      <c r="BS56" s="2" t="s">
        <v>32</v>
      </c>
      <c r="BT56" s="2" t="s">
        <v>3909</v>
      </c>
      <c r="BZ56" s="4">
        <v>40</v>
      </c>
      <c r="CA56" s="3">
        <v>1</v>
      </c>
      <c r="CB56" s="3">
        <v>209313</v>
      </c>
      <c r="CD56" s="2" t="s">
        <v>4256</v>
      </c>
      <c r="CH56" s="5">
        <v>0</v>
      </c>
      <c r="CI56" s="2" t="s">
        <v>3967</v>
      </c>
      <c r="CJ56" s="2" t="s">
        <v>4109</v>
      </c>
      <c r="CK56" s="2" t="s">
        <v>3936</v>
      </c>
      <c r="CL56" s="4">
        <v>8</v>
      </c>
      <c r="CM56" s="2" t="s">
        <v>3911</v>
      </c>
      <c r="CQ56" s="2" t="s">
        <v>3937</v>
      </c>
      <c r="CR56" s="2" t="s">
        <v>3937</v>
      </c>
      <c r="CS56" s="2" t="s">
        <v>3937</v>
      </c>
      <c r="CT56" s="2" t="s">
        <v>3937</v>
      </c>
      <c r="CU56" s="2" t="s">
        <v>3937</v>
      </c>
      <c r="CV56" s="2" t="s">
        <v>3937</v>
      </c>
      <c r="CW56" s="2" t="s">
        <v>3937</v>
      </c>
      <c r="CX56" s="3">
        <v>0</v>
      </c>
      <c r="CZ56" s="3">
        <v>0</v>
      </c>
      <c r="DA56" s="2" t="s">
        <v>4257</v>
      </c>
      <c r="DB56" s="3">
        <v>209313</v>
      </c>
      <c r="DC56" s="3">
        <v>0</v>
      </c>
      <c r="DD56" s="3">
        <v>209313</v>
      </c>
      <c r="DE56" s="3">
        <v>0</v>
      </c>
      <c r="DF56" s="2" t="s">
        <v>3912</v>
      </c>
      <c r="DG56" s="2" t="s">
        <v>3940</v>
      </c>
    </row>
    <row r="57" spans="1:111" x14ac:dyDescent="0.2">
      <c r="A57" s="2" t="s">
        <v>4258</v>
      </c>
      <c r="B57" s="2" t="s">
        <v>4259</v>
      </c>
      <c r="C57" s="6">
        <v>44708</v>
      </c>
      <c r="D57" s="2" t="s">
        <v>4260</v>
      </c>
      <c r="E57" s="2" t="s">
        <v>283</v>
      </c>
      <c r="G57" s="2" t="s">
        <v>4261</v>
      </c>
      <c r="H57" s="2" t="s">
        <v>3918</v>
      </c>
      <c r="I57" s="6">
        <v>44715</v>
      </c>
      <c r="J57" s="6">
        <v>44735</v>
      </c>
      <c r="K57" s="2" t="s">
        <v>2705</v>
      </c>
      <c r="M57" s="2" t="s">
        <v>3919</v>
      </c>
      <c r="N57" s="3">
        <v>2</v>
      </c>
      <c r="O57" s="3">
        <v>2</v>
      </c>
      <c r="P57" s="3">
        <v>2</v>
      </c>
      <c r="Q57" s="3">
        <v>0</v>
      </c>
      <c r="R57" s="5">
        <v>0</v>
      </c>
      <c r="S57" s="3">
        <v>113.64</v>
      </c>
      <c r="T57" s="3">
        <v>227.28</v>
      </c>
      <c r="U57" s="2" t="s">
        <v>32</v>
      </c>
      <c r="V57" s="2" t="s">
        <v>4258</v>
      </c>
      <c r="W57" s="2" t="s">
        <v>4262</v>
      </c>
      <c r="X57" s="2" t="s">
        <v>3901</v>
      </c>
      <c r="Z57" s="6"/>
      <c r="AA57" s="4">
        <v>1</v>
      </c>
      <c r="AB57" s="4">
        <v>1</v>
      </c>
      <c r="AE57" s="2" t="s">
        <v>3902</v>
      </c>
      <c r="AF57" s="2" t="s">
        <v>3958</v>
      </c>
      <c r="AH57" s="2" t="s">
        <v>3959</v>
      </c>
      <c r="AJ57" s="2" t="s">
        <v>3903</v>
      </c>
      <c r="AK57" s="2" t="s">
        <v>3903</v>
      </c>
      <c r="AL57" s="5">
        <v>0</v>
      </c>
      <c r="AN57" s="3">
        <v>2</v>
      </c>
      <c r="AO57" s="5">
        <v>0</v>
      </c>
      <c r="AQ57" s="5">
        <v>0</v>
      </c>
      <c r="AR57" s="2" t="s">
        <v>1688</v>
      </c>
      <c r="AS57" s="2" t="s">
        <v>3904</v>
      </c>
      <c r="AV57" s="2" t="s">
        <v>3905</v>
      </c>
      <c r="AW57" s="2" t="s">
        <v>3906</v>
      </c>
      <c r="AX57" s="6">
        <v>44726</v>
      </c>
      <c r="AY57" s="2" t="s">
        <v>4167</v>
      </c>
      <c r="BA57" s="6"/>
      <c r="BB57" s="6">
        <v>44711</v>
      </c>
      <c r="BC57" s="6">
        <v>44735</v>
      </c>
      <c r="BD57" s="6"/>
      <c r="BE57" s="6"/>
      <c r="BF57" s="6">
        <v>44711</v>
      </c>
      <c r="BG57" s="6"/>
      <c r="BH57" s="2" t="s">
        <v>4242</v>
      </c>
      <c r="BJ57" s="3">
        <v>241.68</v>
      </c>
      <c r="BK57" s="3">
        <v>120.84</v>
      </c>
      <c r="BN57" s="2" t="s">
        <v>3932</v>
      </c>
      <c r="BO57" s="2" t="s">
        <v>3908</v>
      </c>
      <c r="BP57" s="2" t="s">
        <v>32</v>
      </c>
      <c r="BR57" s="2" t="s">
        <v>32</v>
      </c>
      <c r="BS57" s="2" t="s">
        <v>32</v>
      </c>
      <c r="BT57" s="2" t="s">
        <v>3909</v>
      </c>
      <c r="BZ57" s="4">
        <v>30</v>
      </c>
      <c r="CA57" s="3">
        <v>0</v>
      </c>
      <c r="CB57" s="3">
        <v>0</v>
      </c>
      <c r="CD57" s="2" t="s">
        <v>4263</v>
      </c>
      <c r="CH57" s="5">
        <v>0</v>
      </c>
      <c r="CI57" s="2" t="s">
        <v>3967</v>
      </c>
      <c r="CK57" s="2" t="s">
        <v>3910</v>
      </c>
      <c r="CL57" s="4">
        <v>8</v>
      </c>
      <c r="CM57" s="2" t="s">
        <v>4264</v>
      </c>
      <c r="CQ57" s="2" t="s">
        <v>3937</v>
      </c>
      <c r="CR57" s="2" t="s">
        <v>3937</v>
      </c>
      <c r="CS57" s="2" t="s">
        <v>3937</v>
      </c>
      <c r="CT57" s="2" t="s">
        <v>3937</v>
      </c>
      <c r="CU57" s="2" t="s">
        <v>3937</v>
      </c>
      <c r="CV57" s="2" t="s">
        <v>3937</v>
      </c>
      <c r="CW57" s="2" t="s">
        <v>3937</v>
      </c>
      <c r="CX57" s="3">
        <v>0</v>
      </c>
      <c r="CZ57" s="3">
        <v>227.28</v>
      </c>
      <c r="DA57" s="2" t="s">
        <v>3911</v>
      </c>
      <c r="DB57" s="3">
        <v>0</v>
      </c>
      <c r="DC57" s="3">
        <v>0</v>
      </c>
      <c r="DD57" s="3">
        <v>0</v>
      </c>
      <c r="DE57" s="3">
        <v>227.28</v>
      </c>
      <c r="DF57" s="2" t="s">
        <v>3912</v>
      </c>
      <c r="DG57" s="2" t="s">
        <v>4245</v>
      </c>
    </row>
    <row r="58" spans="1:111" x14ac:dyDescent="0.2">
      <c r="A58" s="2" t="s">
        <v>4265</v>
      </c>
      <c r="B58" s="2" t="s">
        <v>4266</v>
      </c>
      <c r="C58" s="6">
        <v>44707</v>
      </c>
      <c r="D58" s="2" t="s">
        <v>4267</v>
      </c>
      <c r="E58" s="2" t="s">
        <v>283</v>
      </c>
      <c r="G58" s="2" t="s">
        <v>4268</v>
      </c>
      <c r="H58" s="2" t="s">
        <v>3918</v>
      </c>
      <c r="I58" s="6">
        <v>44714</v>
      </c>
      <c r="J58" s="6">
        <v>44843</v>
      </c>
      <c r="M58" s="2" t="s">
        <v>3919</v>
      </c>
      <c r="N58" s="3">
        <v>1</v>
      </c>
      <c r="O58" s="3">
        <v>1</v>
      </c>
      <c r="P58" s="3">
        <v>0</v>
      </c>
      <c r="Q58" s="3">
        <v>1</v>
      </c>
      <c r="R58" s="5">
        <v>0</v>
      </c>
      <c r="S58" s="3">
        <v>54000</v>
      </c>
      <c r="T58" s="3">
        <v>54000</v>
      </c>
      <c r="U58" s="2" t="s">
        <v>32</v>
      </c>
      <c r="V58" s="2" t="s">
        <v>4265</v>
      </c>
      <c r="W58" s="2" t="s">
        <v>4269</v>
      </c>
      <c r="X58" s="2" t="s">
        <v>4270</v>
      </c>
      <c r="Y58" s="2" t="s">
        <v>4129</v>
      </c>
      <c r="Z58" s="6"/>
      <c r="AA58" s="4">
        <v>1</v>
      </c>
      <c r="AB58" s="4">
        <v>1</v>
      </c>
      <c r="AE58" s="2" t="s">
        <v>3902</v>
      </c>
      <c r="AF58" s="2" t="s">
        <v>3958</v>
      </c>
      <c r="AH58" s="2" t="s">
        <v>3959</v>
      </c>
      <c r="AJ58" s="2" t="s">
        <v>3927</v>
      </c>
      <c r="AK58" s="2" t="s">
        <v>3903</v>
      </c>
      <c r="AL58" s="5">
        <v>0</v>
      </c>
      <c r="AN58" s="3">
        <v>0</v>
      </c>
      <c r="AO58" s="5">
        <v>1</v>
      </c>
      <c r="AQ58" s="5">
        <v>0</v>
      </c>
      <c r="AR58" s="2" t="s">
        <v>519</v>
      </c>
      <c r="AS58" s="2" t="s">
        <v>3904</v>
      </c>
      <c r="AV58" s="2" t="s">
        <v>3962</v>
      </c>
      <c r="AW58" s="2" t="s">
        <v>3906</v>
      </c>
      <c r="AX58" s="6">
        <v>44793</v>
      </c>
      <c r="AY58" s="2" t="s">
        <v>4271</v>
      </c>
      <c r="BA58" s="6"/>
      <c r="BB58" s="6">
        <v>44707</v>
      </c>
      <c r="BC58" s="6">
        <v>44843</v>
      </c>
      <c r="BD58" s="6"/>
      <c r="BE58" s="6"/>
      <c r="BF58" s="6">
        <v>44722</v>
      </c>
      <c r="BG58" s="6"/>
      <c r="BH58" s="2" t="s">
        <v>4272</v>
      </c>
      <c r="BJ58" s="3">
        <v>55500</v>
      </c>
      <c r="BK58" s="3">
        <v>55500</v>
      </c>
      <c r="BN58" s="2" t="s">
        <v>3932</v>
      </c>
      <c r="BO58" s="2" t="s">
        <v>3908</v>
      </c>
      <c r="BP58" s="2" t="s">
        <v>32</v>
      </c>
      <c r="BR58" s="2" t="s">
        <v>32</v>
      </c>
      <c r="BS58" s="2" t="s">
        <v>32</v>
      </c>
      <c r="BT58" s="2" t="s">
        <v>3909</v>
      </c>
      <c r="BZ58" s="4">
        <v>40</v>
      </c>
      <c r="CA58" s="3">
        <v>1</v>
      </c>
      <c r="CB58" s="3">
        <v>54000</v>
      </c>
      <c r="CD58" s="2" t="s">
        <v>4273</v>
      </c>
      <c r="CH58" s="5">
        <v>0</v>
      </c>
      <c r="CI58" s="2" t="s">
        <v>3967</v>
      </c>
      <c r="CK58" s="2" t="s">
        <v>3936</v>
      </c>
      <c r="CL58" s="4">
        <v>15</v>
      </c>
      <c r="CM58" s="2" t="s">
        <v>3911</v>
      </c>
      <c r="CQ58" s="2" t="s">
        <v>3937</v>
      </c>
      <c r="CR58" s="2" t="s">
        <v>3937</v>
      </c>
      <c r="CS58" s="2" t="s">
        <v>3937</v>
      </c>
      <c r="CT58" s="2" t="s">
        <v>3937</v>
      </c>
      <c r="CU58" s="2" t="s">
        <v>3937</v>
      </c>
      <c r="CV58" s="2" t="s">
        <v>3937</v>
      </c>
      <c r="CW58" s="2" t="s">
        <v>3937</v>
      </c>
      <c r="CX58" s="3">
        <v>0</v>
      </c>
      <c r="CZ58" s="3">
        <v>0</v>
      </c>
      <c r="DA58" s="2" t="s">
        <v>4274</v>
      </c>
      <c r="DB58" s="3">
        <v>54000</v>
      </c>
      <c r="DC58" s="3">
        <v>0</v>
      </c>
      <c r="DD58" s="3">
        <v>54000</v>
      </c>
      <c r="DE58" s="3">
        <v>0</v>
      </c>
      <c r="DF58" s="2" t="s">
        <v>3912</v>
      </c>
      <c r="DG58" s="2" t="s">
        <v>3940</v>
      </c>
    </row>
    <row r="59" spans="1:111" x14ac:dyDescent="0.2">
      <c r="A59" s="2" t="s">
        <v>4275</v>
      </c>
      <c r="B59" s="2" t="s">
        <v>4276</v>
      </c>
      <c r="C59" s="6">
        <v>44707</v>
      </c>
      <c r="D59" s="2" t="s">
        <v>4277</v>
      </c>
      <c r="E59" s="2" t="s">
        <v>283</v>
      </c>
      <c r="G59" s="2" t="s">
        <v>4278</v>
      </c>
      <c r="H59" s="2" t="s">
        <v>3918</v>
      </c>
      <c r="I59" s="6">
        <v>44803</v>
      </c>
      <c r="J59" s="6">
        <v>45534</v>
      </c>
      <c r="M59" s="2" t="s">
        <v>3919</v>
      </c>
      <c r="N59" s="3">
        <v>1</v>
      </c>
      <c r="O59" s="3">
        <v>1</v>
      </c>
      <c r="P59" s="3">
        <v>0</v>
      </c>
      <c r="Q59" s="3">
        <v>1</v>
      </c>
      <c r="R59" s="5">
        <v>0</v>
      </c>
      <c r="S59" s="3">
        <v>6000000</v>
      </c>
      <c r="T59" s="3">
        <v>6000000</v>
      </c>
      <c r="U59" s="2" t="s">
        <v>39</v>
      </c>
      <c r="V59" s="2" t="s">
        <v>4279</v>
      </c>
      <c r="W59" s="2" t="s">
        <v>4056</v>
      </c>
      <c r="X59" s="2" t="s">
        <v>4280</v>
      </c>
      <c r="Y59" s="2" t="s">
        <v>4129</v>
      </c>
      <c r="Z59" s="6"/>
      <c r="AA59" s="4">
        <v>1</v>
      </c>
      <c r="AB59" s="4">
        <v>1</v>
      </c>
      <c r="AE59" s="2" t="s">
        <v>3902</v>
      </c>
      <c r="AF59" s="2" t="s">
        <v>3925</v>
      </c>
      <c r="AH59" s="2" t="s">
        <v>3926</v>
      </c>
      <c r="AJ59" s="2" t="s">
        <v>4076</v>
      </c>
      <c r="AK59" s="2" t="s">
        <v>3903</v>
      </c>
      <c r="AL59" s="5">
        <v>0</v>
      </c>
      <c r="AN59" s="3">
        <v>0</v>
      </c>
      <c r="AO59" s="5">
        <v>1</v>
      </c>
      <c r="AQ59" s="5">
        <v>0</v>
      </c>
      <c r="AR59" s="2" t="s">
        <v>4140</v>
      </c>
      <c r="AS59" s="2" t="s">
        <v>3904</v>
      </c>
      <c r="AV59" s="2" t="s">
        <v>3962</v>
      </c>
      <c r="AW59" s="2" t="s">
        <v>3906</v>
      </c>
      <c r="AX59" s="6">
        <v>44771</v>
      </c>
      <c r="AY59" s="2" t="s">
        <v>4141</v>
      </c>
      <c r="BA59" s="6"/>
      <c r="BB59" s="6">
        <v>44711</v>
      </c>
      <c r="BC59" s="6">
        <v>45534</v>
      </c>
      <c r="BD59" s="6"/>
      <c r="BE59" s="6"/>
      <c r="BF59" s="6">
        <v>44711</v>
      </c>
      <c r="BG59" s="6"/>
      <c r="BH59" s="2" t="s">
        <v>4281</v>
      </c>
      <c r="BJ59" s="3">
        <v>6000000</v>
      </c>
      <c r="BK59" s="3">
        <v>6000000</v>
      </c>
      <c r="BM59" s="2" t="s">
        <v>4220</v>
      </c>
      <c r="BN59" s="2" t="s">
        <v>3932</v>
      </c>
      <c r="BO59" s="2" t="s">
        <v>3908</v>
      </c>
      <c r="BP59" s="2" t="s">
        <v>39</v>
      </c>
      <c r="BR59" s="2" t="s">
        <v>39</v>
      </c>
      <c r="BS59" s="2" t="s">
        <v>39</v>
      </c>
      <c r="BT59" s="2" t="s">
        <v>3909</v>
      </c>
      <c r="BZ59" s="4">
        <v>40</v>
      </c>
      <c r="CA59" s="3">
        <v>1</v>
      </c>
      <c r="CB59" s="3">
        <v>6000000</v>
      </c>
      <c r="CD59" s="2" t="s">
        <v>4059</v>
      </c>
      <c r="CH59" s="5">
        <v>0</v>
      </c>
      <c r="CI59" s="2" t="s">
        <v>3935</v>
      </c>
      <c r="CJ59" s="2" t="s">
        <v>4109</v>
      </c>
      <c r="CK59" s="2" t="s">
        <v>3936</v>
      </c>
      <c r="CL59" s="4">
        <v>8</v>
      </c>
      <c r="CM59" s="2" t="s">
        <v>3911</v>
      </c>
      <c r="CQ59" s="2" t="s">
        <v>3937</v>
      </c>
      <c r="CR59" s="2" t="s">
        <v>3937</v>
      </c>
      <c r="CS59" s="2" t="s">
        <v>3937</v>
      </c>
      <c r="CT59" s="2" t="s">
        <v>3937</v>
      </c>
      <c r="CU59" s="2" t="s">
        <v>3937</v>
      </c>
      <c r="CV59" s="2" t="s">
        <v>3937</v>
      </c>
      <c r="CW59" s="2" t="s">
        <v>3937</v>
      </c>
      <c r="CX59" s="3">
        <v>0</v>
      </c>
      <c r="CZ59" s="3">
        <v>0</v>
      </c>
      <c r="DA59" s="2" t="s">
        <v>4282</v>
      </c>
      <c r="DB59" s="3">
        <v>6000000</v>
      </c>
      <c r="DC59" s="3">
        <v>0</v>
      </c>
      <c r="DD59" s="3">
        <v>6000000</v>
      </c>
      <c r="DE59" s="3">
        <v>0</v>
      </c>
      <c r="DF59" s="2" t="s">
        <v>3912</v>
      </c>
      <c r="DG59" s="2" t="s">
        <v>3981</v>
      </c>
    </row>
    <row r="60" spans="1:111" x14ac:dyDescent="0.2">
      <c r="A60" s="2" t="s">
        <v>4275</v>
      </c>
      <c r="B60" s="2" t="s">
        <v>4276</v>
      </c>
      <c r="C60" s="6">
        <v>44707</v>
      </c>
      <c r="D60" s="2" t="s">
        <v>4277</v>
      </c>
      <c r="E60" s="2" t="s">
        <v>283</v>
      </c>
      <c r="G60" s="2" t="s">
        <v>4283</v>
      </c>
      <c r="H60" s="2" t="s">
        <v>3918</v>
      </c>
      <c r="I60" s="6">
        <v>44749</v>
      </c>
      <c r="J60" s="6">
        <v>45136</v>
      </c>
      <c r="L60" s="2" t="s">
        <v>4224</v>
      </c>
      <c r="N60" s="3">
        <v>1</v>
      </c>
      <c r="O60" s="3">
        <v>1</v>
      </c>
      <c r="P60" s="3">
        <v>0</v>
      </c>
      <c r="Q60" s="3">
        <v>1</v>
      </c>
      <c r="R60" s="5">
        <v>0</v>
      </c>
      <c r="S60" s="3">
        <v>6000000</v>
      </c>
      <c r="T60" s="3">
        <v>6000000</v>
      </c>
      <c r="U60" s="2" t="s">
        <v>39</v>
      </c>
      <c r="V60" s="2" t="s">
        <v>4279</v>
      </c>
      <c r="W60" s="2" t="s">
        <v>4056</v>
      </c>
      <c r="X60" s="2" t="s">
        <v>4280</v>
      </c>
      <c r="Y60" s="2" t="s">
        <v>4129</v>
      </c>
      <c r="Z60" s="6"/>
      <c r="AA60" s="4">
        <v>1</v>
      </c>
      <c r="AB60" s="4">
        <v>1</v>
      </c>
      <c r="AE60" s="2" t="s">
        <v>3902</v>
      </c>
      <c r="AF60" s="2" t="s">
        <v>3958</v>
      </c>
      <c r="AH60" s="2" t="s">
        <v>3959</v>
      </c>
      <c r="AJ60" s="2" t="s">
        <v>3903</v>
      </c>
      <c r="AK60" s="2" t="s">
        <v>3903</v>
      </c>
      <c r="AL60" s="5">
        <v>0</v>
      </c>
      <c r="AN60" s="3">
        <v>0</v>
      </c>
      <c r="AO60" s="5">
        <v>1</v>
      </c>
      <c r="AQ60" s="5">
        <v>0</v>
      </c>
      <c r="AR60" s="2" t="s">
        <v>4140</v>
      </c>
      <c r="AS60" s="2" t="s">
        <v>3904</v>
      </c>
      <c r="AV60" s="2" t="s">
        <v>3962</v>
      </c>
      <c r="AW60" s="2" t="s">
        <v>3906</v>
      </c>
      <c r="AX60" s="6">
        <v>44771</v>
      </c>
      <c r="AY60" s="2" t="s">
        <v>4141</v>
      </c>
      <c r="BA60" s="6"/>
      <c r="BB60" s="6">
        <v>44711</v>
      </c>
      <c r="BC60" s="6">
        <v>45136</v>
      </c>
      <c r="BD60" s="6"/>
      <c r="BE60" s="6"/>
      <c r="BF60" s="6">
        <v>44711</v>
      </c>
      <c r="BG60" s="6"/>
      <c r="BH60" s="2" t="s">
        <v>4281</v>
      </c>
      <c r="BJ60" s="3">
        <v>6000000</v>
      </c>
      <c r="BK60" s="3">
        <v>6000000</v>
      </c>
      <c r="BM60" s="2" t="s">
        <v>4220</v>
      </c>
      <c r="BO60" s="2" t="s">
        <v>3908</v>
      </c>
      <c r="BP60" s="2" t="s">
        <v>39</v>
      </c>
      <c r="BR60" s="2" t="s">
        <v>39</v>
      </c>
      <c r="BS60" s="2" t="s">
        <v>39</v>
      </c>
      <c r="BT60" s="2" t="s">
        <v>3909</v>
      </c>
      <c r="BZ60" s="4">
        <v>40</v>
      </c>
      <c r="CA60" s="3">
        <v>1</v>
      </c>
      <c r="CB60" s="3">
        <v>6000000</v>
      </c>
      <c r="CD60" s="2" t="s">
        <v>4059</v>
      </c>
      <c r="CH60" s="5">
        <v>0</v>
      </c>
      <c r="CI60" s="2" t="s">
        <v>3979</v>
      </c>
      <c r="CJ60" s="2" t="s">
        <v>4109</v>
      </c>
      <c r="CK60" s="2" t="s">
        <v>3936</v>
      </c>
      <c r="CL60" s="4">
        <v>8</v>
      </c>
      <c r="CM60" s="2" t="s">
        <v>3911</v>
      </c>
      <c r="CQ60" s="2" t="s">
        <v>3937</v>
      </c>
      <c r="CR60" s="2" t="s">
        <v>3937</v>
      </c>
      <c r="CS60" s="2" t="s">
        <v>3937</v>
      </c>
      <c r="CT60" s="2" t="s">
        <v>3937</v>
      </c>
      <c r="CU60" s="2" t="s">
        <v>3937</v>
      </c>
      <c r="CV60" s="2" t="s">
        <v>3937</v>
      </c>
      <c r="CW60" s="2" t="s">
        <v>3937</v>
      </c>
      <c r="CX60" s="3">
        <v>0</v>
      </c>
      <c r="CZ60" s="3">
        <v>0</v>
      </c>
      <c r="DA60" s="2" t="s">
        <v>4282</v>
      </c>
      <c r="DB60" s="3">
        <v>6000000</v>
      </c>
      <c r="DC60" s="3">
        <v>0</v>
      </c>
      <c r="DD60" s="3">
        <v>6000000</v>
      </c>
      <c r="DE60" s="3">
        <v>0</v>
      </c>
      <c r="DF60" s="2" t="s">
        <v>3912</v>
      </c>
      <c r="DG60" s="2" t="s">
        <v>3981</v>
      </c>
    </row>
  </sheetData>
  <autoFilter ref="A1:DG60" xr:uid="{00000000-0009-0000-0000-000003000000}"/>
  <pageMargins left="0.75" right="0.75" top="1" bottom="1" header="0.5" footer="0.5"/>
  <pageSetup paperSize="9" orientation="portrait" verticalDpi="0"/>
  <headerFooter>
    <oddFooter>&amp;L_x000D_&amp;1#&amp;"Calibri"&amp;10&amp;K000000 Indra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selection activeCell="A13" sqref="A13:XFD13"/>
    </sheetView>
  </sheetViews>
  <sheetFormatPr baseColWidth="10" defaultColWidth="9.140625" defaultRowHeight="15" x14ac:dyDescent="0.25"/>
  <cols>
    <col min="1" max="1" width="58.140625" bestFit="1" customWidth="1"/>
    <col min="2" max="2" width="22" customWidth="1"/>
    <col min="3" max="3" width="19.28515625" customWidth="1"/>
    <col min="4" max="4" width="21.7109375" customWidth="1"/>
    <col min="5" max="5" width="22.5703125" customWidth="1"/>
    <col min="6" max="6" width="9.140625" customWidth="1"/>
    <col min="7" max="7" width="46" customWidth="1"/>
    <col min="8" max="8" width="23.7109375" customWidth="1"/>
    <col min="10" max="10" width="15" bestFit="1" customWidth="1"/>
    <col min="11" max="11" width="21.5703125" bestFit="1" customWidth="1"/>
    <col min="12" max="12" width="23.28515625" bestFit="1" customWidth="1"/>
  </cols>
  <sheetData>
    <row r="1" spans="1:12" x14ac:dyDescent="0.25">
      <c r="A1" s="184" t="s">
        <v>4284</v>
      </c>
      <c r="B1" s="184" t="s">
        <v>4285</v>
      </c>
      <c r="C1" s="184" t="s">
        <v>4286</v>
      </c>
      <c r="D1" s="184" t="s">
        <v>4287</v>
      </c>
      <c r="E1" s="184" t="s">
        <v>4288</v>
      </c>
      <c r="F1" s="184" t="s">
        <v>4289</v>
      </c>
      <c r="G1" s="184" t="s">
        <v>4290</v>
      </c>
      <c r="H1" s="184" t="s">
        <v>4291</v>
      </c>
      <c r="I1" s="184" t="s">
        <v>4292</v>
      </c>
      <c r="J1" s="184" t="s">
        <v>4293</v>
      </c>
      <c r="K1" s="184" t="s">
        <v>4294</v>
      </c>
      <c r="L1" s="184" t="s">
        <v>4295</v>
      </c>
    </row>
    <row r="2" spans="1:12" x14ac:dyDescent="0.25">
      <c r="A2" s="184" t="s">
        <v>4296</v>
      </c>
      <c r="B2" s="184" t="s">
        <v>4297</v>
      </c>
      <c r="C2" s="185">
        <v>45566</v>
      </c>
      <c r="D2" s="185">
        <v>45413</v>
      </c>
      <c r="E2" s="186">
        <v>4409383.5</v>
      </c>
      <c r="F2" s="184" t="s">
        <v>4298</v>
      </c>
      <c r="G2" s="184" t="s">
        <v>4299</v>
      </c>
      <c r="H2" s="184" t="s">
        <v>4300</v>
      </c>
      <c r="I2" s="184">
        <v>6000</v>
      </c>
      <c r="J2" s="184" t="s">
        <v>59</v>
      </c>
      <c r="K2" s="184" t="s">
        <v>4301</v>
      </c>
      <c r="L2" s="184" t="s">
        <v>4302</v>
      </c>
    </row>
    <row r="3" spans="1:12" x14ac:dyDescent="0.25">
      <c r="A3" s="184" t="s">
        <v>4303</v>
      </c>
      <c r="B3" s="184" t="s">
        <v>4304</v>
      </c>
      <c r="C3" s="185">
        <v>45566</v>
      </c>
      <c r="D3" s="185">
        <v>45413</v>
      </c>
      <c r="E3" s="186">
        <v>185630</v>
      </c>
      <c r="F3" s="184" t="s">
        <v>4298</v>
      </c>
      <c r="G3" s="184" t="s">
        <v>4299</v>
      </c>
      <c r="H3" s="184" t="s">
        <v>4300</v>
      </c>
      <c r="I3" s="184">
        <v>6000</v>
      </c>
      <c r="J3" s="184" t="s">
        <v>64</v>
      </c>
      <c r="K3" s="184" t="s">
        <v>4305</v>
      </c>
      <c r="L3" s="184" t="s">
        <v>4306</v>
      </c>
    </row>
    <row r="4" spans="1:12" x14ac:dyDescent="0.25">
      <c r="A4" s="184" t="s">
        <v>4307</v>
      </c>
      <c r="B4" s="184" t="s">
        <v>4308</v>
      </c>
      <c r="C4" s="185">
        <v>45566</v>
      </c>
      <c r="D4" s="185">
        <v>45413</v>
      </c>
      <c r="E4" s="186">
        <v>225352.25</v>
      </c>
      <c r="F4" s="184" t="s">
        <v>4298</v>
      </c>
      <c r="G4" s="184" t="s">
        <v>4299</v>
      </c>
      <c r="H4" s="184" t="s">
        <v>4300</v>
      </c>
      <c r="I4" s="184">
        <v>6000</v>
      </c>
      <c r="J4" s="184" t="s">
        <v>82</v>
      </c>
      <c r="K4" s="184" t="s">
        <v>4309</v>
      </c>
      <c r="L4" s="184" t="s">
        <v>4310</v>
      </c>
    </row>
    <row r="5" spans="1:12" x14ac:dyDescent="0.25">
      <c r="A5" s="184" t="s">
        <v>4311</v>
      </c>
      <c r="B5" s="184" t="s">
        <v>4312</v>
      </c>
      <c r="C5" s="185">
        <v>45566</v>
      </c>
      <c r="D5" s="185">
        <v>45413</v>
      </c>
      <c r="E5" s="186">
        <v>61923</v>
      </c>
      <c r="F5" s="184" t="s">
        <v>4298</v>
      </c>
      <c r="G5" s="184" t="s">
        <v>4299</v>
      </c>
      <c r="H5" s="184" t="s">
        <v>4300</v>
      </c>
      <c r="I5" s="184">
        <v>6000</v>
      </c>
      <c r="J5" s="184" t="s">
        <v>4313</v>
      </c>
      <c r="K5" s="184" t="s">
        <v>4314</v>
      </c>
      <c r="L5" s="184" t="s">
        <v>4315</v>
      </c>
    </row>
    <row r="6" spans="1:12" x14ac:dyDescent="0.25">
      <c r="A6" s="184" t="s">
        <v>4316</v>
      </c>
      <c r="B6" s="184" t="s">
        <v>4317</v>
      </c>
      <c r="C6" s="185">
        <v>45566</v>
      </c>
      <c r="D6" s="185">
        <v>45413</v>
      </c>
      <c r="E6" s="186">
        <v>187403.76</v>
      </c>
      <c r="F6" s="184" t="s">
        <v>4298</v>
      </c>
      <c r="G6" s="184" t="s">
        <v>4299</v>
      </c>
      <c r="H6" s="184" t="s">
        <v>4300</v>
      </c>
      <c r="I6" s="184">
        <v>6000</v>
      </c>
      <c r="J6" s="184" t="s">
        <v>75</v>
      </c>
      <c r="K6" s="184" t="s">
        <v>4318</v>
      </c>
      <c r="L6" s="184" t="s">
        <v>4319</v>
      </c>
    </row>
    <row r="7" spans="1:12" s="228" customFormat="1" x14ac:dyDescent="0.25">
      <c r="A7" s="225" t="s">
        <v>4320</v>
      </c>
      <c r="B7" s="225" t="s">
        <v>4321</v>
      </c>
      <c r="C7" s="226">
        <v>45566</v>
      </c>
      <c r="D7" s="226">
        <v>45413</v>
      </c>
      <c r="E7" s="227">
        <v>83327.460000000006</v>
      </c>
      <c r="F7" s="225" t="s">
        <v>4298</v>
      </c>
      <c r="G7" s="225" t="s">
        <v>4299</v>
      </c>
      <c r="H7" s="225" t="s">
        <v>4300</v>
      </c>
      <c r="I7" s="225">
        <v>6000</v>
      </c>
      <c r="J7" s="225" t="s">
        <v>4322</v>
      </c>
      <c r="K7" s="225" t="s">
        <v>4323</v>
      </c>
      <c r="L7" s="225" t="s">
        <v>4324</v>
      </c>
    </row>
    <row r="8" spans="1:12" x14ac:dyDescent="0.25">
      <c r="A8" s="184" t="s">
        <v>4325</v>
      </c>
      <c r="B8" s="184" t="s">
        <v>4326</v>
      </c>
      <c r="C8" s="185">
        <v>45566</v>
      </c>
      <c r="D8" s="185">
        <v>45413</v>
      </c>
      <c r="E8" s="186">
        <v>80794.97</v>
      </c>
      <c r="F8" s="184" t="s">
        <v>4298</v>
      </c>
      <c r="G8" s="184" t="s">
        <v>4299</v>
      </c>
      <c r="H8" s="184" t="s">
        <v>4300</v>
      </c>
      <c r="I8" s="184">
        <v>6000</v>
      </c>
      <c r="J8" s="184" t="s">
        <v>115</v>
      </c>
      <c r="K8" s="184" t="s">
        <v>4327</v>
      </c>
      <c r="L8" s="184" t="s">
        <v>4328</v>
      </c>
    </row>
    <row r="9" spans="1:12" x14ac:dyDescent="0.25">
      <c r="A9" s="184" t="s">
        <v>4329</v>
      </c>
      <c r="B9" s="184" t="s">
        <v>4330</v>
      </c>
      <c r="C9" s="185">
        <v>45566</v>
      </c>
      <c r="D9" s="185">
        <v>45413</v>
      </c>
      <c r="E9" s="186">
        <v>442933.2</v>
      </c>
      <c r="F9" s="184" t="s">
        <v>4298</v>
      </c>
      <c r="G9" s="184" t="s">
        <v>4299</v>
      </c>
      <c r="H9" s="184" t="s">
        <v>4300</v>
      </c>
      <c r="I9" s="184">
        <v>6000</v>
      </c>
      <c r="J9" s="184" t="s">
        <v>191</v>
      </c>
      <c r="K9" s="184" t="s">
        <v>4331</v>
      </c>
      <c r="L9" s="184" t="s">
        <v>4332</v>
      </c>
    </row>
    <row r="10" spans="1:12" x14ac:dyDescent="0.25">
      <c r="A10" s="184" t="s">
        <v>4333</v>
      </c>
      <c r="B10" s="184" t="s">
        <v>4334</v>
      </c>
      <c r="C10" s="185">
        <v>45566</v>
      </c>
      <c r="D10" s="185">
        <v>45413</v>
      </c>
      <c r="E10" s="186">
        <v>24043.599999999999</v>
      </c>
      <c r="F10" s="184" t="s">
        <v>4298</v>
      </c>
      <c r="G10" s="184" t="s">
        <v>4299</v>
      </c>
      <c r="H10" s="184" t="s">
        <v>4300</v>
      </c>
      <c r="I10" s="184">
        <v>6000</v>
      </c>
      <c r="J10" s="184" t="s">
        <v>1864</v>
      </c>
      <c r="K10" s="184" t="s">
        <v>4335</v>
      </c>
      <c r="L10" s="184" t="s">
        <v>4336</v>
      </c>
    </row>
    <row r="11" spans="1:12" x14ac:dyDescent="0.25">
      <c r="A11" s="184" t="s">
        <v>4337</v>
      </c>
      <c r="B11" s="184" t="s">
        <v>4338</v>
      </c>
      <c r="C11" s="185">
        <v>45566</v>
      </c>
      <c r="D11" s="185">
        <v>45413</v>
      </c>
      <c r="E11" s="186">
        <v>145118.72</v>
      </c>
      <c r="F11" s="184" t="s">
        <v>4298</v>
      </c>
      <c r="G11" s="184" t="s">
        <v>4299</v>
      </c>
      <c r="H11" s="184" t="s">
        <v>4300</v>
      </c>
      <c r="I11" s="184">
        <v>6000</v>
      </c>
      <c r="J11" s="184" t="s">
        <v>428</v>
      </c>
      <c r="K11" s="184" t="s">
        <v>4339</v>
      </c>
      <c r="L11" s="184" t="s">
        <v>4340</v>
      </c>
    </row>
    <row r="12" spans="1:12" x14ac:dyDescent="0.25">
      <c r="A12" s="184" t="s">
        <v>4341</v>
      </c>
      <c r="B12" s="184" t="s">
        <v>4342</v>
      </c>
      <c r="C12" s="185">
        <v>45566</v>
      </c>
      <c r="D12" s="185">
        <v>45413</v>
      </c>
      <c r="E12" s="186">
        <v>65590.31</v>
      </c>
      <c r="F12" s="184" t="s">
        <v>4298</v>
      </c>
      <c r="G12" s="184" t="s">
        <v>4299</v>
      </c>
      <c r="H12" s="184" t="s">
        <v>4300</v>
      </c>
      <c r="I12" s="184">
        <v>6000</v>
      </c>
      <c r="J12" s="184" t="s">
        <v>1387</v>
      </c>
      <c r="K12" s="184" t="s">
        <v>4343</v>
      </c>
      <c r="L12" s="184" t="s">
        <v>4344</v>
      </c>
    </row>
    <row r="13" spans="1:12" x14ac:dyDescent="0.25">
      <c r="A13" s="184" t="s">
        <v>4345</v>
      </c>
      <c r="B13" s="184" t="s">
        <v>4346</v>
      </c>
      <c r="C13" s="185">
        <v>45566</v>
      </c>
      <c r="D13" s="185">
        <v>45413</v>
      </c>
      <c r="E13" s="186">
        <v>35000</v>
      </c>
      <c r="F13" s="184" t="s">
        <v>4298</v>
      </c>
      <c r="G13" s="184" t="s">
        <v>4299</v>
      </c>
      <c r="H13" s="184" t="s">
        <v>4300</v>
      </c>
      <c r="I13" s="184">
        <v>6000</v>
      </c>
      <c r="J13" s="184" t="s">
        <v>1050</v>
      </c>
      <c r="K13" s="184" t="s">
        <v>4347</v>
      </c>
      <c r="L13" s="184" t="s">
        <v>4348</v>
      </c>
    </row>
    <row r="14" spans="1:12" x14ac:dyDescent="0.25">
      <c r="A14" s="184" t="s">
        <v>4349</v>
      </c>
      <c r="B14" s="184" t="s">
        <v>4350</v>
      </c>
      <c r="C14" s="185">
        <v>45566</v>
      </c>
      <c r="D14" s="185">
        <v>45413</v>
      </c>
      <c r="E14" s="186">
        <v>12817.63</v>
      </c>
      <c r="F14" s="184" t="s">
        <v>4298</v>
      </c>
      <c r="G14" s="184" t="s">
        <v>4299</v>
      </c>
      <c r="H14" s="184" t="s">
        <v>4300</v>
      </c>
      <c r="I14" s="184">
        <v>6000</v>
      </c>
      <c r="J14" s="184" t="s">
        <v>162</v>
      </c>
      <c r="K14" s="184" t="s">
        <v>4351</v>
      </c>
      <c r="L14" s="184" t="s">
        <v>4352</v>
      </c>
    </row>
    <row r="15" spans="1:12" s="228" customFormat="1" x14ac:dyDescent="0.25">
      <c r="A15" s="225" t="s">
        <v>4353</v>
      </c>
      <c r="B15" s="225" t="s">
        <v>4354</v>
      </c>
      <c r="C15" s="225"/>
      <c r="D15" s="225"/>
      <c r="E15" s="225">
        <v>0</v>
      </c>
      <c r="F15" s="225" t="s">
        <v>4298</v>
      </c>
      <c r="G15" s="225" t="s">
        <v>4299</v>
      </c>
      <c r="H15" s="225" t="s">
        <v>4300</v>
      </c>
      <c r="I15" s="225">
        <v>6000</v>
      </c>
      <c r="J15" s="225" t="s">
        <v>2637</v>
      </c>
      <c r="K15" s="225" t="s">
        <v>4355</v>
      </c>
      <c r="L15" s="225" t="s">
        <v>4356</v>
      </c>
    </row>
    <row r="16" spans="1:12" x14ac:dyDescent="0.25">
      <c r="A16" s="184" t="s">
        <v>4357</v>
      </c>
      <c r="B16" s="184" t="s">
        <v>4358</v>
      </c>
      <c r="C16" s="185">
        <v>45566</v>
      </c>
      <c r="D16" s="185">
        <v>45413</v>
      </c>
      <c r="E16" s="186">
        <v>90407.13</v>
      </c>
      <c r="F16" s="184" t="s">
        <v>4298</v>
      </c>
      <c r="G16" s="184" t="s">
        <v>4299</v>
      </c>
      <c r="H16" s="184" t="s">
        <v>4300</v>
      </c>
      <c r="I16" s="184">
        <v>6000</v>
      </c>
      <c r="J16" s="184" t="s">
        <v>2688</v>
      </c>
      <c r="K16" s="184" t="s">
        <v>4359</v>
      </c>
      <c r="L16" s="184" t="s">
        <v>4360</v>
      </c>
    </row>
    <row r="17" spans="1:12" x14ac:dyDescent="0.25">
      <c r="A17" s="184" t="s">
        <v>4361</v>
      </c>
      <c r="B17" s="184" t="s">
        <v>4362</v>
      </c>
      <c r="C17" s="185">
        <v>45566</v>
      </c>
      <c r="D17" s="185">
        <v>45413</v>
      </c>
      <c r="E17" s="186">
        <v>25000</v>
      </c>
      <c r="F17" s="184" t="s">
        <v>4298</v>
      </c>
      <c r="G17" s="184" t="s">
        <v>4299</v>
      </c>
      <c r="H17" s="184" t="s">
        <v>4300</v>
      </c>
      <c r="I17" s="184">
        <v>6000</v>
      </c>
      <c r="J17" s="184" t="s">
        <v>143</v>
      </c>
      <c r="K17" s="184" t="s">
        <v>4363</v>
      </c>
      <c r="L17" s="184" t="s">
        <v>4364</v>
      </c>
    </row>
    <row r="18" spans="1:12" x14ac:dyDescent="0.25">
      <c r="A18" s="184" t="s">
        <v>4365</v>
      </c>
      <c r="B18" s="184" t="s">
        <v>4366</v>
      </c>
      <c r="C18" s="185">
        <v>45566</v>
      </c>
      <c r="D18" s="185">
        <v>45413</v>
      </c>
      <c r="E18" s="186">
        <v>200000</v>
      </c>
      <c r="F18" s="184" t="s">
        <v>4298</v>
      </c>
      <c r="G18" s="184" t="s">
        <v>4299</v>
      </c>
      <c r="H18" s="184" t="s">
        <v>4300</v>
      </c>
      <c r="I18" s="184">
        <v>6000</v>
      </c>
      <c r="J18" s="184" t="s">
        <v>4367</v>
      </c>
      <c r="K18" s="184" t="s">
        <v>4368</v>
      </c>
      <c r="L18" s="184" t="s">
        <v>4369</v>
      </c>
    </row>
    <row r="19" spans="1:12" x14ac:dyDescent="0.25">
      <c r="A19" s="184" t="s">
        <v>4370</v>
      </c>
      <c r="B19" s="184" t="s">
        <v>4371</v>
      </c>
      <c r="C19" s="185">
        <v>45566</v>
      </c>
      <c r="D19" s="185">
        <v>45413</v>
      </c>
      <c r="E19" s="186">
        <v>20000</v>
      </c>
      <c r="F19" s="184" t="s">
        <v>4298</v>
      </c>
      <c r="G19" s="184" t="s">
        <v>4299</v>
      </c>
      <c r="H19" s="184" t="s">
        <v>4300</v>
      </c>
      <c r="I19" s="184">
        <v>6000</v>
      </c>
      <c r="J19" s="184" t="s">
        <v>4372</v>
      </c>
      <c r="K19" s="184" t="s">
        <v>4373</v>
      </c>
      <c r="L19" s="184" t="s">
        <v>4374</v>
      </c>
    </row>
    <row r="20" spans="1:12" x14ac:dyDescent="0.25">
      <c r="A20" s="184" t="s">
        <v>4375</v>
      </c>
      <c r="B20" s="184" t="s">
        <v>4376</v>
      </c>
      <c r="C20" s="185">
        <v>45566</v>
      </c>
      <c r="D20" s="185">
        <v>45413</v>
      </c>
      <c r="E20" s="186">
        <v>132000</v>
      </c>
      <c r="F20" s="184" t="s">
        <v>4298</v>
      </c>
      <c r="G20" s="184" t="s">
        <v>4299</v>
      </c>
      <c r="H20" s="184" t="s">
        <v>4300</v>
      </c>
      <c r="I20" s="184">
        <v>6000</v>
      </c>
      <c r="J20" s="184" t="s">
        <v>4377</v>
      </c>
      <c r="K20" s="184" t="s">
        <v>4378</v>
      </c>
      <c r="L20" s="184" t="s">
        <v>4379</v>
      </c>
    </row>
    <row r="21" spans="1:12" x14ac:dyDescent="0.25">
      <c r="A21" s="184" t="s">
        <v>4380</v>
      </c>
      <c r="B21" s="184" t="s">
        <v>4381</v>
      </c>
      <c r="C21" s="185">
        <v>45566</v>
      </c>
      <c r="D21" s="185">
        <v>45413</v>
      </c>
      <c r="E21" s="186">
        <v>165000</v>
      </c>
      <c r="F21" s="184" t="s">
        <v>4298</v>
      </c>
      <c r="G21" s="184" t="s">
        <v>4299</v>
      </c>
      <c r="H21" s="184" t="s">
        <v>4300</v>
      </c>
      <c r="I21" s="184">
        <v>6000</v>
      </c>
      <c r="J21" s="184" t="s">
        <v>4382</v>
      </c>
      <c r="K21" s="184" t="s">
        <v>4383</v>
      </c>
      <c r="L21" s="184" t="s">
        <v>4384</v>
      </c>
    </row>
    <row r="23" spans="1:12" x14ac:dyDescent="0.25">
      <c r="A23" t="s">
        <v>4385</v>
      </c>
    </row>
  </sheetData>
  <autoFilter ref="A1:L21" xr:uid="{00000000-0001-0000-01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BB37-CD85-454F-BB70-739591116667}">
  <dimension ref="A1:AB62"/>
  <sheetViews>
    <sheetView workbookViewId="0">
      <pane ySplit="1" topLeftCell="A2" activePane="bottomLeft" state="frozen"/>
      <selection pane="bottomLeft" activeCell="E21" sqref="E21"/>
    </sheetView>
  </sheetViews>
  <sheetFormatPr baseColWidth="10" defaultColWidth="8.85546875" defaultRowHeight="15" x14ac:dyDescent="0.25"/>
  <cols>
    <col min="1" max="1" width="14.5703125" bestFit="1" customWidth="1"/>
    <col min="2" max="2" width="10.28515625" customWidth="1"/>
    <col min="3" max="3" width="55.5703125" bestFit="1" customWidth="1"/>
    <col min="4" max="4" width="21.7109375" customWidth="1"/>
    <col min="5" max="5" width="25.140625" customWidth="1"/>
    <col min="6" max="6" width="18.28515625" customWidth="1"/>
    <col min="7" max="7" width="12.85546875" bestFit="1" customWidth="1"/>
    <col min="9" max="9" width="8.7109375" bestFit="1" customWidth="1"/>
    <col min="10" max="10" width="11.28515625" bestFit="1" customWidth="1"/>
    <col min="12" max="12" width="36.85546875" bestFit="1" customWidth="1"/>
    <col min="13" max="13" width="18.85546875" customWidth="1"/>
    <col min="14" max="14" width="14.42578125" customWidth="1"/>
    <col min="17" max="17" width="14.7109375" bestFit="1" customWidth="1"/>
    <col min="22" max="22" width="10.5703125" bestFit="1" customWidth="1"/>
    <col min="23" max="23" width="11.140625" bestFit="1" customWidth="1"/>
    <col min="24" max="24" width="13.5703125" bestFit="1" customWidth="1"/>
    <col min="25" max="25" width="13.42578125" bestFit="1" customWidth="1"/>
  </cols>
  <sheetData>
    <row r="1" spans="1:28" ht="24.75" x14ac:dyDescent="0.25">
      <c r="A1" s="235" t="s">
        <v>4386</v>
      </c>
      <c r="B1" s="235" t="s">
        <v>4387</v>
      </c>
      <c r="C1" s="235" t="s">
        <v>4388</v>
      </c>
      <c r="D1" s="235" t="s">
        <v>4389</v>
      </c>
      <c r="E1" s="235" t="s">
        <v>4390</v>
      </c>
      <c r="F1" s="235" t="s">
        <v>4391</v>
      </c>
      <c r="G1" s="236" t="s">
        <v>10</v>
      </c>
      <c r="H1" s="235" t="s">
        <v>9</v>
      </c>
      <c r="I1" s="235" t="s">
        <v>4392</v>
      </c>
      <c r="J1" s="235" t="s">
        <v>4393</v>
      </c>
      <c r="K1" s="237" t="s">
        <v>17</v>
      </c>
      <c r="L1" s="235" t="s">
        <v>4394</v>
      </c>
      <c r="M1" s="235" t="s">
        <v>4395</v>
      </c>
      <c r="N1" s="238" t="s">
        <v>4396</v>
      </c>
      <c r="O1" s="239" t="s">
        <v>4397</v>
      </c>
      <c r="P1" s="239" t="s">
        <v>4398</v>
      </c>
      <c r="Q1" s="239" t="s">
        <v>4399</v>
      </c>
      <c r="R1" s="239" t="s">
        <v>4400</v>
      </c>
      <c r="S1" s="239" t="s">
        <v>4400</v>
      </c>
      <c r="T1" s="239" t="s">
        <v>4401</v>
      </c>
      <c r="U1" s="239" t="s">
        <v>4402</v>
      </c>
      <c r="V1" s="239" t="s">
        <v>4403</v>
      </c>
      <c r="W1" s="239" t="s">
        <v>4404</v>
      </c>
      <c r="X1" s="239" t="s">
        <v>4405</v>
      </c>
      <c r="Y1" s="239" t="s">
        <v>4406</v>
      </c>
      <c r="Z1" s="240"/>
      <c r="AA1" s="235" t="s">
        <v>4407</v>
      </c>
      <c r="AB1" s="106" t="s">
        <v>20</v>
      </c>
    </row>
    <row r="2" spans="1:28" x14ac:dyDescent="0.25">
      <c r="A2" s="241"/>
      <c r="B2" s="241"/>
      <c r="C2" s="241"/>
      <c r="D2" s="241"/>
      <c r="E2" s="241"/>
      <c r="F2" s="241"/>
      <c r="G2" s="242"/>
      <c r="H2" s="241"/>
      <c r="I2" s="241"/>
      <c r="J2" s="241" t="s">
        <v>4408</v>
      </c>
      <c r="K2" s="243" t="s">
        <v>4109</v>
      </c>
      <c r="L2" s="241" t="s">
        <v>4408</v>
      </c>
      <c r="M2" s="241"/>
      <c r="N2" s="244"/>
      <c r="O2" s="245"/>
      <c r="P2" s="245"/>
      <c r="Q2" s="245"/>
      <c r="R2" s="245"/>
      <c r="S2" s="245"/>
      <c r="T2" s="245"/>
      <c r="U2" s="245"/>
      <c r="V2" s="245" t="s">
        <v>4409</v>
      </c>
      <c r="W2" s="245" t="s">
        <v>4402</v>
      </c>
      <c r="X2" s="245" t="s">
        <v>4410</v>
      </c>
      <c r="Y2" s="245"/>
      <c r="Z2" s="240"/>
      <c r="AA2" s="241"/>
      <c r="AB2" s="106"/>
    </row>
    <row r="3" spans="1:28" x14ac:dyDescent="0.25">
      <c r="A3" s="247" t="s">
        <v>198</v>
      </c>
      <c r="B3" s="246"/>
      <c r="C3" s="248" t="s">
        <v>4411</v>
      </c>
      <c r="D3" s="246" t="s">
        <v>4411</v>
      </c>
      <c r="E3" s="249"/>
      <c r="F3" s="233" t="s">
        <v>200</v>
      </c>
      <c r="G3" s="256"/>
      <c r="H3" s="234">
        <v>1</v>
      </c>
      <c r="I3" s="256">
        <f t="shared" ref="I3:I10" si="0">H3*G3</f>
        <v>0</v>
      </c>
      <c r="J3" s="234" t="s">
        <v>4412</v>
      </c>
      <c r="K3" s="234">
        <v>1</v>
      </c>
      <c r="L3" s="267" t="s">
        <v>4413</v>
      </c>
      <c r="M3" s="255">
        <v>45561</v>
      </c>
      <c r="N3" s="234" t="s">
        <v>4414</v>
      </c>
      <c r="O3" s="234"/>
      <c r="P3" s="234"/>
      <c r="Q3" s="455">
        <v>1101894009</v>
      </c>
      <c r="R3" s="234"/>
      <c r="S3" s="234"/>
      <c r="T3" s="234"/>
      <c r="U3" s="234"/>
      <c r="V3" s="234"/>
      <c r="W3" s="234"/>
      <c r="X3" s="234"/>
      <c r="Y3" s="234"/>
      <c r="Z3" s="240"/>
      <c r="AA3" s="234"/>
      <c r="AB3" s="234"/>
    </row>
    <row r="4" spans="1:28" x14ac:dyDescent="0.25">
      <c r="A4" s="247" t="s">
        <v>2618</v>
      </c>
      <c r="B4" s="246"/>
      <c r="C4" s="248" t="s">
        <v>2619</v>
      </c>
      <c r="D4" s="246" t="s">
        <v>4415</v>
      </c>
      <c r="E4" s="249" t="s">
        <v>2620</v>
      </c>
      <c r="F4" s="233" t="s">
        <v>2621</v>
      </c>
      <c r="G4" s="256"/>
      <c r="H4" s="234">
        <v>1</v>
      </c>
      <c r="I4" s="256">
        <f t="shared" si="0"/>
        <v>0</v>
      </c>
      <c r="J4" s="234" t="s">
        <v>4412</v>
      </c>
      <c r="K4" s="234">
        <v>1</v>
      </c>
      <c r="L4" s="261" t="s">
        <v>4416</v>
      </c>
      <c r="M4" s="255">
        <v>45561</v>
      </c>
      <c r="N4" s="234" t="s">
        <v>4417</v>
      </c>
      <c r="O4" s="234"/>
      <c r="P4" s="234"/>
      <c r="Q4" s="234" t="s">
        <v>55</v>
      </c>
      <c r="R4" s="234"/>
      <c r="S4" s="234"/>
      <c r="T4" s="234"/>
      <c r="U4" s="234"/>
      <c r="V4" s="234"/>
      <c r="W4" s="234"/>
      <c r="X4" s="234"/>
      <c r="Y4" s="234"/>
      <c r="Z4" s="240"/>
      <c r="AA4" s="234"/>
      <c r="AB4" s="234" t="s">
        <v>4414</v>
      </c>
    </row>
    <row r="5" spans="1:28" x14ac:dyDescent="0.25">
      <c r="A5" s="231" t="s">
        <v>2803</v>
      </c>
      <c r="B5" s="246"/>
      <c r="C5" s="232" t="s">
        <v>2804</v>
      </c>
      <c r="D5" s="246" t="s">
        <v>4418</v>
      </c>
      <c r="E5" s="230" t="s">
        <v>2805</v>
      </c>
      <c r="F5" s="230" t="s">
        <v>4419</v>
      </c>
      <c r="G5" s="256"/>
      <c r="H5" s="234">
        <v>12</v>
      </c>
      <c r="I5" s="256">
        <f t="shared" si="0"/>
        <v>0</v>
      </c>
      <c r="J5" s="234" t="s">
        <v>4412</v>
      </c>
      <c r="K5" s="234">
        <v>1</v>
      </c>
      <c r="L5" s="261" t="s">
        <v>4416</v>
      </c>
      <c r="M5" s="255">
        <v>45561</v>
      </c>
      <c r="N5" s="234" t="s">
        <v>4417</v>
      </c>
      <c r="O5" s="234"/>
      <c r="P5" s="234"/>
      <c r="Q5" s="234" t="s">
        <v>55</v>
      </c>
      <c r="R5" s="234"/>
      <c r="S5" s="234"/>
      <c r="T5" s="234"/>
      <c r="U5" s="234"/>
      <c r="V5" s="234"/>
      <c r="W5" s="234"/>
      <c r="X5" s="234"/>
      <c r="Y5" s="234"/>
      <c r="Z5" s="240"/>
      <c r="AA5" s="234"/>
      <c r="AB5" s="234" t="s">
        <v>4414</v>
      </c>
    </row>
    <row r="6" spans="1:28" x14ac:dyDescent="0.25">
      <c r="A6" s="229" t="s">
        <v>2723</v>
      </c>
      <c r="B6" s="246"/>
      <c r="C6" s="179" t="s">
        <v>2724</v>
      </c>
      <c r="D6" s="246" t="s">
        <v>4420</v>
      </c>
      <c r="E6" s="181" t="s">
        <v>2725</v>
      </c>
      <c r="F6" s="181" t="s">
        <v>2621</v>
      </c>
      <c r="G6" s="256"/>
      <c r="H6" s="234">
        <v>1</v>
      </c>
      <c r="I6" s="256">
        <f t="shared" si="0"/>
        <v>0</v>
      </c>
      <c r="J6" s="234" t="s">
        <v>4412</v>
      </c>
      <c r="K6" s="234">
        <v>1</v>
      </c>
      <c r="L6" s="261" t="s">
        <v>4416</v>
      </c>
      <c r="M6" s="255">
        <v>45561</v>
      </c>
      <c r="N6" s="234" t="s">
        <v>4417</v>
      </c>
      <c r="O6" s="234"/>
      <c r="P6" s="234"/>
      <c r="Q6" s="234" t="s">
        <v>55</v>
      </c>
      <c r="R6" s="234"/>
      <c r="S6" s="234"/>
      <c r="T6" s="234"/>
      <c r="U6" s="234"/>
      <c r="V6" s="234"/>
      <c r="W6" s="234"/>
      <c r="X6" s="234"/>
      <c r="Y6" s="234"/>
      <c r="Z6" s="240"/>
      <c r="AA6" s="234"/>
      <c r="AB6" s="234" t="s">
        <v>4414</v>
      </c>
    </row>
    <row r="7" spans="1:28" x14ac:dyDescent="0.25">
      <c r="A7" s="229" t="s">
        <v>170</v>
      </c>
      <c r="B7" s="246"/>
      <c r="C7" s="179" t="s">
        <v>171</v>
      </c>
      <c r="D7" s="246" t="s">
        <v>4421</v>
      </c>
      <c r="E7" s="181">
        <v>52258736</v>
      </c>
      <c r="F7" s="181" t="s">
        <v>173</v>
      </c>
      <c r="G7" s="256"/>
      <c r="H7" s="234">
        <v>1</v>
      </c>
      <c r="I7" s="256">
        <f t="shared" si="0"/>
        <v>0</v>
      </c>
      <c r="J7" s="234" t="s">
        <v>4412</v>
      </c>
      <c r="K7" s="234">
        <v>1</v>
      </c>
      <c r="L7" s="261" t="s">
        <v>4416</v>
      </c>
      <c r="M7" s="255">
        <v>45561</v>
      </c>
      <c r="N7" s="234" t="s">
        <v>4417</v>
      </c>
      <c r="O7" s="234"/>
      <c r="P7" s="234"/>
      <c r="Q7" s="234" t="s">
        <v>55</v>
      </c>
      <c r="R7" s="234"/>
      <c r="S7" s="234"/>
      <c r="T7" s="234"/>
      <c r="U7" s="234"/>
      <c r="V7" s="234"/>
      <c r="W7" s="234"/>
      <c r="X7" s="234"/>
      <c r="Y7" s="234"/>
      <c r="Z7" s="240"/>
      <c r="AA7" s="234"/>
      <c r="AB7" s="234" t="s">
        <v>4414</v>
      </c>
    </row>
    <row r="8" spans="1:28" x14ac:dyDescent="0.25">
      <c r="A8" s="229" t="s">
        <v>193</v>
      </c>
      <c r="B8" s="246"/>
      <c r="C8" s="179" t="s">
        <v>194</v>
      </c>
      <c r="D8" s="246" t="s">
        <v>4421</v>
      </c>
      <c r="E8" s="181">
        <v>52258775</v>
      </c>
      <c r="F8" s="181" t="s">
        <v>173</v>
      </c>
      <c r="G8" s="256"/>
      <c r="H8" s="234">
        <v>7</v>
      </c>
      <c r="I8" s="256">
        <f t="shared" si="0"/>
        <v>0</v>
      </c>
      <c r="J8" s="234" t="s">
        <v>4412</v>
      </c>
      <c r="K8" s="234">
        <v>1</v>
      </c>
      <c r="L8" s="261" t="s">
        <v>4416</v>
      </c>
      <c r="M8" s="255">
        <v>45561</v>
      </c>
      <c r="N8" s="234" t="s">
        <v>4417</v>
      </c>
      <c r="O8" s="234"/>
      <c r="P8" s="234"/>
      <c r="Q8" s="234" t="s">
        <v>55</v>
      </c>
      <c r="R8" s="234"/>
      <c r="S8" s="234"/>
      <c r="T8" s="234"/>
      <c r="U8" s="234"/>
      <c r="V8" s="234"/>
      <c r="W8" s="234"/>
      <c r="X8" s="234"/>
      <c r="Y8" s="234"/>
      <c r="Z8" s="240"/>
      <c r="AA8" s="234"/>
      <c r="AB8" s="234" t="s">
        <v>4414</v>
      </c>
    </row>
    <row r="9" spans="1:28" x14ac:dyDescent="0.25">
      <c r="A9" s="229" t="s">
        <v>535</v>
      </c>
      <c r="B9" s="246"/>
      <c r="C9" s="179" t="s">
        <v>536</v>
      </c>
      <c r="D9" s="246" t="s">
        <v>4421</v>
      </c>
      <c r="E9" s="181">
        <v>395112</v>
      </c>
      <c r="F9" s="181" t="s">
        <v>538</v>
      </c>
      <c r="G9" s="256"/>
      <c r="H9" s="234">
        <v>8</v>
      </c>
      <c r="I9" s="256">
        <f t="shared" si="0"/>
        <v>0</v>
      </c>
      <c r="J9" s="234" t="s">
        <v>4412</v>
      </c>
      <c r="K9" s="234">
        <v>1</v>
      </c>
      <c r="L9" s="261" t="s">
        <v>4416</v>
      </c>
      <c r="M9" s="255">
        <v>45561</v>
      </c>
      <c r="N9" s="234" t="s">
        <v>4417</v>
      </c>
      <c r="O9" s="234"/>
      <c r="P9" s="234"/>
      <c r="Q9" s="234" t="s">
        <v>55</v>
      </c>
      <c r="R9" s="234"/>
      <c r="S9" s="234"/>
      <c r="T9" s="234"/>
      <c r="U9" s="234"/>
      <c r="V9" s="234"/>
      <c r="W9" s="234"/>
      <c r="X9" s="234"/>
      <c r="Y9" s="234"/>
      <c r="Z9" s="240"/>
      <c r="AA9" s="234"/>
      <c r="AB9" s="234" t="s">
        <v>4414</v>
      </c>
    </row>
    <row r="10" spans="1:28" x14ac:dyDescent="0.25">
      <c r="A10" s="229" t="s">
        <v>747</v>
      </c>
      <c r="B10" s="246"/>
      <c r="C10" s="179" t="s">
        <v>4422</v>
      </c>
      <c r="D10" s="252" t="s">
        <v>4420</v>
      </c>
      <c r="E10" s="181">
        <v>7113000</v>
      </c>
      <c r="F10" s="181" t="s">
        <v>200</v>
      </c>
      <c r="G10" s="256"/>
      <c r="H10" s="234">
        <v>1</v>
      </c>
      <c r="I10" s="256">
        <f t="shared" si="0"/>
        <v>0</v>
      </c>
      <c r="J10" s="234" t="s">
        <v>4412</v>
      </c>
      <c r="K10" s="234">
        <v>1</v>
      </c>
      <c r="L10" s="267" t="s">
        <v>4423</v>
      </c>
      <c r="M10" s="255">
        <v>45561</v>
      </c>
      <c r="N10" s="234" t="s">
        <v>224</v>
      </c>
      <c r="O10" s="234"/>
      <c r="P10" s="234"/>
      <c r="Q10" s="455">
        <v>1101894009</v>
      </c>
      <c r="R10" s="234"/>
      <c r="S10" s="234"/>
      <c r="T10" s="234"/>
      <c r="U10" s="234"/>
      <c r="V10" s="234"/>
      <c r="W10" s="234"/>
      <c r="X10" s="234"/>
      <c r="Y10" s="234"/>
      <c r="Z10" s="240"/>
      <c r="AA10" s="234"/>
      <c r="AB10" s="234" t="s">
        <v>4414</v>
      </c>
    </row>
    <row r="11" spans="1:28" x14ac:dyDescent="0.25">
      <c r="A11" s="229" t="s">
        <v>4424</v>
      </c>
      <c r="B11" s="246"/>
      <c r="C11" s="250" t="s">
        <v>3224</v>
      </c>
      <c r="D11" s="252" t="s">
        <v>4420</v>
      </c>
      <c r="E11" s="251" t="s">
        <v>3225</v>
      </c>
      <c r="F11" s="181" t="s">
        <v>3226</v>
      </c>
      <c r="G11" s="256"/>
      <c r="H11" s="234">
        <v>2</v>
      </c>
      <c r="I11" s="256">
        <f>H11*G11</f>
        <v>0</v>
      </c>
      <c r="J11" s="234" t="s">
        <v>4412</v>
      </c>
      <c r="K11" s="234">
        <v>1</v>
      </c>
      <c r="L11" s="261" t="s">
        <v>4416</v>
      </c>
      <c r="M11" s="255">
        <v>45561</v>
      </c>
      <c r="N11" s="234" t="s">
        <v>224</v>
      </c>
      <c r="O11" s="234"/>
      <c r="P11" s="234"/>
      <c r="Q11" s="234">
        <v>4200583638</v>
      </c>
      <c r="R11" s="234"/>
      <c r="S11" s="234"/>
      <c r="T11" s="234"/>
      <c r="U11" s="234"/>
      <c r="V11" s="234"/>
      <c r="W11" s="234"/>
      <c r="X11" s="234"/>
      <c r="Y11" s="234"/>
      <c r="Z11" s="240"/>
      <c r="AA11" s="234"/>
      <c r="AB11" s="234">
        <v>1</v>
      </c>
    </row>
    <row r="12" spans="1:28" x14ac:dyDescent="0.25">
      <c r="A12" s="229" t="s">
        <v>4425</v>
      </c>
      <c r="B12" s="246"/>
      <c r="C12" s="250" t="s">
        <v>4426</v>
      </c>
      <c r="D12" s="246" t="s">
        <v>4427</v>
      </c>
      <c r="E12" s="251" t="s">
        <v>4428</v>
      </c>
      <c r="F12" s="181" t="s">
        <v>173</v>
      </c>
      <c r="G12" s="256">
        <v>120</v>
      </c>
      <c r="H12" s="234">
        <v>8</v>
      </c>
      <c r="I12" s="256">
        <f t="shared" ref="I12:I18" si="1">H12*G12</f>
        <v>960</v>
      </c>
      <c r="J12" s="234" t="s">
        <v>4412</v>
      </c>
      <c r="K12" s="234">
        <v>1</v>
      </c>
      <c r="L12" s="261" t="s">
        <v>4416</v>
      </c>
      <c r="M12" s="255">
        <v>45561</v>
      </c>
      <c r="N12" s="234" t="s">
        <v>224</v>
      </c>
      <c r="O12" s="234"/>
      <c r="P12" s="234"/>
      <c r="Q12" s="234">
        <v>1101786777</v>
      </c>
      <c r="R12" s="234"/>
      <c r="S12" s="234"/>
      <c r="T12" s="234"/>
      <c r="U12" s="234"/>
      <c r="V12" s="234"/>
      <c r="W12" s="234"/>
      <c r="X12" s="234"/>
      <c r="Y12" s="234"/>
      <c r="Z12" s="240"/>
      <c r="AA12" s="234"/>
      <c r="AB12" s="234">
        <v>1</v>
      </c>
    </row>
    <row r="13" spans="1:28" x14ac:dyDescent="0.25">
      <c r="A13" s="229" t="s">
        <v>618</v>
      </c>
      <c r="B13" s="246"/>
      <c r="C13" s="250" t="s">
        <v>4429</v>
      </c>
      <c r="D13" s="246" t="s">
        <v>4430</v>
      </c>
      <c r="E13" s="251" t="s">
        <v>620</v>
      </c>
      <c r="F13" s="181" t="s">
        <v>621</v>
      </c>
      <c r="G13" s="256"/>
      <c r="H13" s="234">
        <v>3</v>
      </c>
      <c r="I13" s="256">
        <f t="shared" si="1"/>
        <v>0</v>
      </c>
      <c r="J13" s="234" t="s">
        <v>4412</v>
      </c>
      <c r="K13" s="234">
        <v>1</v>
      </c>
      <c r="L13" s="261" t="s">
        <v>4416</v>
      </c>
      <c r="M13" s="255">
        <v>45561</v>
      </c>
      <c r="N13" s="234" t="s">
        <v>224</v>
      </c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40"/>
      <c r="AA13" s="234"/>
      <c r="AB13" s="234">
        <v>3</v>
      </c>
    </row>
    <row r="14" spans="1:28" x14ac:dyDescent="0.25">
      <c r="A14" s="229"/>
      <c r="B14" s="246"/>
      <c r="C14" s="250" t="s">
        <v>4429</v>
      </c>
      <c r="D14" s="246" t="s">
        <v>4430</v>
      </c>
      <c r="E14" s="251" t="s">
        <v>620</v>
      </c>
      <c r="F14" s="181" t="s">
        <v>621</v>
      </c>
      <c r="G14" s="256"/>
      <c r="H14" s="259">
        <v>1</v>
      </c>
      <c r="I14" s="256"/>
      <c r="J14" s="234"/>
      <c r="K14" s="234"/>
      <c r="L14" s="261" t="s">
        <v>4416</v>
      </c>
      <c r="M14" s="255">
        <v>45572</v>
      </c>
      <c r="N14" s="234" t="s">
        <v>224</v>
      </c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40"/>
      <c r="AA14" s="234"/>
      <c r="AB14" s="234"/>
    </row>
    <row r="15" spans="1:28" x14ac:dyDescent="0.25">
      <c r="A15" s="71" t="s">
        <v>327</v>
      </c>
      <c r="B15" s="246"/>
      <c r="C15" s="32" t="s">
        <v>328</v>
      </c>
      <c r="D15" s="246" t="s">
        <v>4431</v>
      </c>
      <c r="E15" s="32" t="s">
        <v>329</v>
      </c>
      <c r="F15" s="257" t="s">
        <v>297</v>
      </c>
      <c r="G15" s="256">
        <v>1272</v>
      </c>
      <c r="H15" s="259">
        <v>1</v>
      </c>
      <c r="I15" s="256">
        <f t="shared" si="1"/>
        <v>1272</v>
      </c>
      <c r="J15" s="234" t="s">
        <v>4412</v>
      </c>
      <c r="K15" s="234">
        <v>1</v>
      </c>
      <c r="L15" s="267" t="s">
        <v>4432</v>
      </c>
      <c r="M15" s="255">
        <v>45562</v>
      </c>
      <c r="N15" s="234" t="s">
        <v>4417</v>
      </c>
      <c r="O15" s="234"/>
      <c r="P15" s="234"/>
      <c r="Q15" s="455">
        <v>1101894009</v>
      </c>
      <c r="R15" s="234"/>
      <c r="S15" s="234"/>
      <c r="T15" s="234"/>
      <c r="U15" s="234"/>
      <c r="V15" s="234"/>
      <c r="W15" s="234"/>
      <c r="X15" s="234"/>
      <c r="Y15" s="234"/>
      <c r="Z15" s="240"/>
      <c r="AA15" s="234"/>
      <c r="AB15" s="234" t="s">
        <v>4414</v>
      </c>
    </row>
    <row r="16" spans="1:28" x14ac:dyDescent="0.25">
      <c r="A16" s="212" t="s">
        <v>294</v>
      </c>
      <c r="B16" s="246"/>
      <c r="C16" s="199" t="s">
        <v>295</v>
      </c>
      <c r="D16" s="246" t="s">
        <v>4431</v>
      </c>
      <c r="E16" s="199" t="s">
        <v>296</v>
      </c>
      <c r="F16" s="258" t="s">
        <v>297</v>
      </c>
      <c r="G16" s="256">
        <v>1871.67</v>
      </c>
      <c r="H16" s="259">
        <v>1</v>
      </c>
      <c r="I16" s="256">
        <f t="shared" si="1"/>
        <v>1871.67</v>
      </c>
      <c r="J16" s="234" t="s">
        <v>4412</v>
      </c>
      <c r="K16" s="234">
        <v>1</v>
      </c>
      <c r="L16" s="267" t="s">
        <v>4432</v>
      </c>
      <c r="M16" s="255">
        <v>45562</v>
      </c>
      <c r="N16" s="234" t="s">
        <v>224</v>
      </c>
      <c r="O16" s="234"/>
      <c r="P16" s="234"/>
      <c r="Q16" s="455">
        <v>1101894009</v>
      </c>
      <c r="R16" s="234"/>
      <c r="S16" s="234"/>
      <c r="T16" s="234"/>
      <c r="U16" s="234"/>
      <c r="V16" s="234"/>
      <c r="W16" s="234"/>
      <c r="X16" s="234"/>
      <c r="Y16" s="234"/>
      <c r="Z16" s="240"/>
      <c r="AA16" s="234"/>
      <c r="AB16" s="234">
        <v>4</v>
      </c>
    </row>
    <row r="17" spans="1:28" x14ac:dyDescent="0.25">
      <c r="A17" s="229" t="s">
        <v>3051</v>
      </c>
      <c r="B17" s="246"/>
      <c r="C17" s="251" t="s">
        <v>4433</v>
      </c>
      <c r="D17" s="246" t="s">
        <v>4434</v>
      </c>
      <c r="E17" s="251" t="s">
        <v>3053</v>
      </c>
      <c r="F17" s="181" t="s">
        <v>1054</v>
      </c>
      <c r="G17" s="256">
        <v>5.4</v>
      </c>
      <c r="H17" s="234">
        <v>9</v>
      </c>
      <c r="I17" s="256">
        <f t="shared" si="1"/>
        <v>48.6</v>
      </c>
      <c r="J17" s="234" t="s">
        <v>4412</v>
      </c>
      <c r="K17" s="234">
        <v>1</v>
      </c>
      <c r="L17" s="261" t="s">
        <v>4416</v>
      </c>
      <c r="M17" s="255">
        <v>45565</v>
      </c>
      <c r="N17" s="234" t="s">
        <v>224</v>
      </c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40"/>
      <c r="AA17" s="234"/>
      <c r="AB17" s="234">
        <v>2</v>
      </c>
    </row>
    <row r="18" spans="1:28" x14ac:dyDescent="0.25">
      <c r="A18" s="229"/>
      <c r="B18" s="246"/>
      <c r="C18" s="251" t="s">
        <v>4433</v>
      </c>
      <c r="D18" s="246" t="s">
        <v>4434</v>
      </c>
      <c r="E18" s="251" t="s">
        <v>3053</v>
      </c>
      <c r="F18" s="181" t="s">
        <v>1054</v>
      </c>
      <c r="G18" s="256">
        <v>5.4</v>
      </c>
      <c r="H18" s="234">
        <v>1</v>
      </c>
      <c r="I18" s="256">
        <f t="shared" si="1"/>
        <v>5.4</v>
      </c>
      <c r="J18" s="234" t="s">
        <v>4412</v>
      </c>
      <c r="K18" s="234">
        <v>1</v>
      </c>
      <c r="L18" s="261" t="s">
        <v>4416</v>
      </c>
      <c r="M18" s="255">
        <v>45567</v>
      </c>
      <c r="N18" s="234" t="s">
        <v>224</v>
      </c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40"/>
      <c r="AA18" s="234"/>
      <c r="AB18" s="234">
        <v>3</v>
      </c>
    </row>
    <row r="19" spans="1:28" x14ac:dyDescent="0.25">
      <c r="A19" s="229" t="s">
        <v>4435</v>
      </c>
      <c r="B19" s="246"/>
      <c r="C19" s="251" t="s">
        <v>4436</v>
      </c>
      <c r="D19" s="246" t="s">
        <v>4434</v>
      </c>
      <c r="E19" s="251" t="s">
        <v>4437</v>
      </c>
      <c r="F19" s="181" t="s">
        <v>1054</v>
      </c>
      <c r="G19" s="256">
        <v>5.4</v>
      </c>
      <c r="H19" s="234">
        <v>8</v>
      </c>
      <c r="I19" s="256">
        <f t="shared" ref="I19:I23" si="2">H19*G19</f>
        <v>43.2</v>
      </c>
      <c r="J19" s="234" t="s">
        <v>4412</v>
      </c>
      <c r="K19" s="234">
        <v>1</v>
      </c>
      <c r="L19" s="261" t="s">
        <v>4416</v>
      </c>
      <c r="M19" s="255">
        <v>45565</v>
      </c>
      <c r="N19" s="234" t="s">
        <v>224</v>
      </c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40"/>
      <c r="AA19" s="234"/>
      <c r="AB19" s="234">
        <v>2</v>
      </c>
    </row>
    <row r="20" spans="1:28" x14ac:dyDescent="0.25">
      <c r="A20" s="229" t="s">
        <v>2549</v>
      </c>
      <c r="B20" s="246"/>
      <c r="C20" s="251" t="s">
        <v>4438</v>
      </c>
      <c r="D20" s="246" t="s">
        <v>4434</v>
      </c>
      <c r="E20" s="251" t="s">
        <v>2551</v>
      </c>
      <c r="F20" s="181" t="s">
        <v>1054</v>
      </c>
      <c r="G20" s="256">
        <v>5.4</v>
      </c>
      <c r="H20" s="234">
        <v>1</v>
      </c>
      <c r="I20" s="256">
        <f t="shared" si="2"/>
        <v>5.4</v>
      </c>
      <c r="J20" s="234" t="s">
        <v>4412</v>
      </c>
      <c r="K20" s="234">
        <v>1</v>
      </c>
      <c r="L20" s="261" t="s">
        <v>4416</v>
      </c>
      <c r="M20" s="255">
        <v>45565</v>
      </c>
      <c r="N20" s="234" t="s">
        <v>224</v>
      </c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40"/>
      <c r="AA20" s="234"/>
      <c r="AB20" s="234">
        <v>2</v>
      </c>
    </row>
    <row r="21" spans="1:28" x14ac:dyDescent="0.25">
      <c r="A21" s="229" t="s">
        <v>3093</v>
      </c>
      <c r="B21" s="246"/>
      <c r="C21" s="251" t="s">
        <v>4439</v>
      </c>
      <c r="D21" s="246" t="s">
        <v>4434</v>
      </c>
      <c r="E21" s="251" t="s">
        <v>3095</v>
      </c>
      <c r="F21" s="181" t="s">
        <v>1054</v>
      </c>
      <c r="G21" s="256">
        <v>5.4</v>
      </c>
      <c r="H21" s="234">
        <v>3</v>
      </c>
      <c r="I21" s="256">
        <f t="shared" si="2"/>
        <v>16.200000000000003</v>
      </c>
      <c r="J21" s="234" t="s">
        <v>4412</v>
      </c>
      <c r="K21" s="234">
        <v>1</v>
      </c>
      <c r="L21" s="261" t="s">
        <v>4416</v>
      </c>
      <c r="M21" s="255">
        <v>45565</v>
      </c>
      <c r="N21" s="234" t="s">
        <v>224</v>
      </c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40"/>
      <c r="AA21" s="234"/>
      <c r="AB21" s="234">
        <v>2</v>
      </c>
    </row>
    <row r="22" spans="1:28" x14ac:dyDescent="0.25">
      <c r="A22" s="229" t="s">
        <v>4440</v>
      </c>
      <c r="B22" s="246"/>
      <c r="C22" s="251" t="s">
        <v>4441</v>
      </c>
      <c r="D22" s="246" t="s">
        <v>4442</v>
      </c>
      <c r="E22" s="251" t="s">
        <v>4443</v>
      </c>
      <c r="F22" s="181" t="s">
        <v>1122</v>
      </c>
      <c r="G22" s="256"/>
      <c r="H22" s="234">
        <v>2</v>
      </c>
      <c r="I22" s="256">
        <f t="shared" si="2"/>
        <v>0</v>
      </c>
      <c r="J22" s="234" t="s">
        <v>4412</v>
      </c>
      <c r="K22" s="234">
        <v>1</v>
      </c>
      <c r="L22" s="261" t="s">
        <v>4416</v>
      </c>
      <c r="M22" s="255">
        <v>45565</v>
      </c>
      <c r="N22" s="234" t="s">
        <v>224</v>
      </c>
      <c r="O22" s="234"/>
      <c r="P22" s="234"/>
      <c r="Q22" s="234">
        <v>1101789741</v>
      </c>
      <c r="R22" s="234"/>
      <c r="S22" s="234"/>
      <c r="T22" s="234"/>
      <c r="U22" s="234"/>
      <c r="V22" s="234"/>
      <c r="W22" s="234"/>
      <c r="X22" s="234"/>
      <c r="Y22" s="234"/>
      <c r="Z22" s="240"/>
      <c r="AA22" s="234"/>
      <c r="AB22" s="234">
        <v>2</v>
      </c>
    </row>
    <row r="23" spans="1:28" x14ac:dyDescent="0.25">
      <c r="A23" s="229" t="s">
        <v>4444</v>
      </c>
      <c r="B23" s="246"/>
      <c r="C23" s="251" t="s">
        <v>4445</v>
      </c>
      <c r="D23" s="246" t="s">
        <v>4446</v>
      </c>
      <c r="E23" s="251" t="s">
        <v>4447</v>
      </c>
      <c r="F23" s="181" t="s">
        <v>1448</v>
      </c>
      <c r="G23" s="256"/>
      <c r="H23" s="234">
        <v>2</v>
      </c>
      <c r="I23" s="256">
        <f t="shared" si="2"/>
        <v>0</v>
      </c>
      <c r="J23" s="234" t="s">
        <v>4412</v>
      </c>
      <c r="K23" s="234">
        <v>1</v>
      </c>
      <c r="L23" s="261" t="s">
        <v>4416</v>
      </c>
      <c r="M23" s="255">
        <v>45565</v>
      </c>
      <c r="N23" s="234" t="s">
        <v>224</v>
      </c>
      <c r="O23" s="234"/>
      <c r="P23" s="234"/>
      <c r="Q23" s="234">
        <v>1101789741</v>
      </c>
      <c r="R23" s="234"/>
      <c r="S23" s="234"/>
      <c r="T23" s="234"/>
      <c r="U23" s="234"/>
      <c r="V23" s="234"/>
      <c r="W23" s="234"/>
      <c r="X23" s="234"/>
      <c r="Y23" s="234"/>
      <c r="Z23" s="240"/>
      <c r="AA23" s="234"/>
      <c r="AB23" s="234">
        <v>2</v>
      </c>
    </row>
    <row r="24" spans="1:28" x14ac:dyDescent="0.25">
      <c r="A24" s="229" t="s">
        <v>3262</v>
      </c>
      <c r="B24" s="246"/>
      <c r="C24" s="251" t="s">
        <v>3263</v>
      </c>
      <c r="D24" s="246" t="s">
        <v>4448</v>
      </c>
      <c r="E24" s="251" t="s">
        <v>3264</v>
      </c>
      <c r="F24" s="181" t="s">
        <v>1448</v>
      </c>
      <c r="G24" s="256"/>
      <c r="H24" s="234">
        <v>8</v>
      </c>
      <c r="I24" s="256">
        <f t="shared" ref="I24:I54" si="3">H24*G24</f>
        <v>0</v>
      </c>
      <c r="J24" s="234" t="s">
        <v>4412</v>
      </c>
      <c r="K24" s="234">
        <v>1</v>
      </c>
      <c r="L24" s="261" t="s">
        <v>4416</v>
      </c>
      <c r="M24" s="255">
        <v>45565</v>
      </c>
      <c r="N24" s="234" t="s">
        <v>224</v>
      </c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40"/>
      <c r="AA24" s="234"/>
      <c r="AB24" s="234">
        <v>2</v>
      </c>
    </row>
    <row r="25" spans="1:28" x14ac:dyDescent="0.25">
      <c r="A25" s="229" t="s">
        <v>4449</v>
      </c>
      <c r="B25" s="246"/>
      <c r="C25" s="251" t="s">
        <v>4450</v>
      </c>
      <c r="D25" s="246" t="s">
        <v>4442</v>
      </c>
      <c r="E25" s="251" t="s">
        <v>4451</v>
      </c>
      <c r="F25" s="181" t="s">
        <v>1122</v>
      </c>
      <c r="G25" s="256"/>
      <c r="H25" s="234">
        <v>8</v>
      </c>
      <c r="I25" s="256">
        <f t="shared" si="3"/>
        <v>0</v>
      </c>
      <c r="J25" s="234" t="s">
        <v>4412</v>
      </c>
      <c r="K25" s="234">
        <v>1</v>
      </c>
      <c r="L25" s="261" t="s">
        <v>4416</v>
      </c>
      <c r="M25" s="255">
        <v>45565</v>
      </c>
      <c r="N25" s="234" t="s">
        <v>224</v>
      </c>
      <c r="O25" s="234"/>
      <c r="P25" s="234"/>
      <c r="Q25" s="234">
        <v>1101789741</v>
      </c>
      <c r="R25" s="234"/>
      <c r="S25" s="234"/>
      <c r="T25" s="234"/>
      <c r="U25" s="234"/>
      <c r="V25" s="234"/>
      <c r="W25" s="234"/>
      <c r="X25" s="234"/>
      <c r="Y25" s="234"/>
      <c r="Z25" s="240"/>
      <c r="AA25" s="234"/>
      <c r="AB25" s="234">
        <v>2</v>
      </c>
    </row>
    <row r="26" spans="1:28" x14ac:dyDescent="0.25">
      <c r="A26" s="229" t="s">
        <v>4452</v>
      </c>
      <c r="B26" s="246"/>
      <c r="C26" s="251" t="s">
        <v>4453</v>
      </c>
      <c r="D26" s="246" t="s">
        <v>4442</v>
      </c>
      <c r="E26" s="251" t="s">
        <v>4454</v>
      </c>
      <c r="F26" s="181" t="s">
        <v>1122</v>
      </c>
      <c r="G26" s="256"/>
      <c r="H26" s="234">
        <v>8</v>
      </c>
      <c r="I26" s="256">
        <f t="shared" si="3"/>
        <v>0</v>
      </c>
      <c r="J26" s="234" t="s">
        <v>4412</v>
      </c>
      <c r="K26" s="234">
        <v>1</v>
      </c>
      <c r="L26" s="261" t="s">
        <v>4416</v>
      </c>
      <c r="M26" s="255">
        <v>45567</v>
      </c>
      <c r="N26" s="234" t="s">
        <v>224</v>
      </c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40"/>
      <c r="AA26" s="234"/>
      <c r="AB26" s="234">
        <v>3</v>
      </c>
    </row>
    <row r="27" spans="1:28" x14ac:dyDescent="0.25">
      <c r="A27" s="229"/>
      <c r="B27" s="246"/>
      <c r="C27" s="251" t="s">
        <v>4453</v>
      </c>
      <c r="D27" s="246" t="s">
        <v>4442</v>
      </c>
      <c r="E27" s="251" t="s">
        <v>4454</v>
      </c>
      <c r="F27" s="181" t="s">
        <v>1122</v>
      </c>
      <c r="G27" s="256"/>
      <c r="H27" s="234">
        <v>1</v>
      </c>
      <c r="I27" s="256"/>
      <c r="J27" s="234" t="s">
        <v>4412</v>
      </c>
      <c r="K27" s="234">
        <v>1</v>
      </c>
      <c r="L27" s="261" t="s">
        <v>4416</v>
      </c>
      <c r="M27" s="255">
        <v>45572</v>
      </c>
      <c r="N27" s="234" t="s">
        <v>224</v>
      </c>
      <c r="O27" s="234"/>
      <c r="P27" s="234"/>
      <c r="Q27" s="234">
        <v>1101790686</v>
      </c>
      <c r="R27" s="234"/>
      <c r="S27" s="234"/>
      <c r="T27" s="234"/>
      <c r="U27" s="234"/>
      <c r="V27" s="234"/>
      <c r="W27" s="234"/>
      <c r="X27" s="234"/>
      <c r="Y27" s="234"/>
      <c r="Z27" s="240"/>
      <c r="AA27" s="234"/>
      <c r="AB27" s="234">
        <v>5</v>
      </c>
    </row>
    <row r="28" spans="1:28" x14ac:dyDescent="0.25">
      <c r="A28" s="204"/>
      <c r="B28" s="246"/>
      <c r="C28" s="262" t="s">
        <v>4455</v>
      </c>
      <c r="D28" s="246" t="s">
        <v>4427</v>
      </c>
      <c r="E28" s="263"/>
      <c r="F28" s="263"/>
      <c r="G28" s="234"/>
      <c r="H28" s="234">
        <v>8</v>
      </c>
      <c r="I28" s="256">
        <f t="shared" si="3"/>
        <v>0</v>
      </c>
      <c r="J28" s="234" t="s">
        <v>4412</v>
      </c>
      <c r="K28" s="234">
        <v>1</v>
      </c>
      <c r="L28" s="261" t="s">
        <v>4456</v>
      </c>
      <c r="M28" s="255">
        <v>45567</v>
      </c>
      <c r="N28" s="234" t="s">
        <v>224</v>
      </c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40"/>
      <c r="AA28" s="234"/>
      <c r="AB28" s="234" t="s">
        <v>4414</v>
      </c>
    </row>
    <row r="29" spans="1:28" x14ac:dyDescent="0.25">
      <c r="A29" s="204"/>
      <c r="B29" s="246"/>
      <c r="C29" s="262" t="s">
        <v>4457</v>
      </c>
      <c r="D29" s="246" t="s">
        <v>4427</v>
      </c>
      <c r="E29" s="263"/>
      <c r="F29" s="263"/>
      <c r="G29" s="234"/>
      <c r="H29" s="234">
        <v>8</v>
      </c>
      <c r="I29" s="256">
        <f t="shared" si="3"/>
        <v>0</v>
      </c>
      <c r="J29" s="234" t="s">
        <v>4412</v>
      </c>
      <c r="K29" s="234">
        <v>1</v>
      </c>
      <c r="L29" s="261" t="s">
        <v>4456</v>
      </c>
      <c r="M29" s="255">
        <v>45567</v>
      </c>
      <c r="N29" s="234" t="s">
        <v>224</v>
      </c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40"/>
      <c r="AA29" s="234"/>
      <c r="AB29" s="234" t="s">
        <v>4414</v>
      </c>
    </row>
    <row r="30" spans="1:28" x14ac:dyDescent="0.25">
      <c r="A30" s="229" t="s">
        <v>4458</v>
      </c>
      <c r="B30" s="246"/>
      <c r="C30" s="251" t="s">
        <v>4459</v>
      </c>
      <c r="D30" s="246" t="s">
        <v>4427</v>
      </c>
      <c r="E30" s="251" t="s">
        <v>4460</v>
      </c>
      <c r="F30" s="181" t="s">
        <v>4461</v>
      </c>
      <c r="G30" s="256"/>
      <c r="H30" s="259">
        <v>4</v>
      </c>
      <c r="I30" s="256">
        <f t="shared" si="3"/>
        <v>0</v>
      </c>
      <c r="J30" s="234" t="s">
        <v>4412</v>
      </c>
      <c r="K30" s="234">
        <v>1</v>
      </c>
      <c r="L30" s="261" t="s">
        <v>4416</v>
      </c>
      <c r="M30" s="255">
        <v>45567</v>
      </c>
      <c r="N30" s="234" t="s">
        <v>224</v>
      </c>
      <c r="O30" s="234"/>
      <c r="P30" s="234"/>
      <c r="Q30" s="306">
        <v>1101805917</v>
      </c>
      <c r="R30" s="234"/>
      <c r="S30" s="234"/>
      <c r="T30" s="234"/>
      <c r="U30" s="234"/>
      <c r="V30" s="234"/>
      <c r="W30" s="234"/>
      <c r="X30" s="234"/>
      <c r="Y30" s="234"/>
      <c r="Z30" s="240"/>
      <c r="AA30" s="234"/>
      <c r="AB30" s="234">
        <v>4</v>
      </c>
    </row>
    <row r="31" spans="1:28" x14ac:dyDescent="0.25">
      <c r="A31" s="229" t="s">
        <v>735</v>
      </c>
      <c r="B31" s="246"/>
      <c r="C31" s="251" t="s">
        <v>736</v>
      </c>
      <c r="D31" s="246" t="s">
        <v>4462</v>
      </c>
      <c r="E31" s="251" t="s">
        <v>737</v>
      </c>
      <c r="F31" s="181" t="s">
        <v>1610</v>
      </c>
      <c r="G31" s="256"/>
      <c r="H31" s="259">
        <v>2</v>
      </c>
      <c r="I31" s="256">
        <f t="shared" si="3"/>
        <v>0</v>
      </c>
      <c r="J31" s="234" t="s">
        <v>4412</v>
      </c>
      <c r="K31" s="234">
        <v>1</v>
      </c>
      <c r="L31" s="261" t="s">
        <v>4416</v>
      </c>
      <c r="M31" s="255">
        <v>45567</v>
      </c>
      <c r="N31" s="234" t="s">
        <v>224</v>
      </c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40"/>
      <c r="AA31" s="234"/>
      <c r="AB31" s="234">
        <v>3</v>
      </c>
    </row>
    <row r="32" spans="1:28" x14ac:dyDescent="0.25">
      <c r="A32" s="229" t="s">
        <v>4463</v>
      </c>
      <c r="B32" s="246"/>
      <c r="C32" s="251" t="s">
        <v>4464</v>
      </c>
      <c r="D32" s="246" t="s">
        <v>4465</v>
      </c>
      <c r="E32" s="251" t="s">
        <v>4466</v>
      </c>
      <c r="F32" s="181" t="s">
        <v>1610</v>
      </c>
      <c r="G32" s="256"/>
      <c r="H32" s="259">
        <v>3</v>
      </c>
      <c r="I32" s="256">
        <f t="shared" si="3"/>
        <v>0</v>
      </c>
      <c r="J32" s="234" t="s">
        <v>4412</v>
      </c>
      <c r="K32" s="234">
        <v>1</v>
      </c>
      <c r="L32" s="261" t="s">
        <v>4416</v>
      </c>
      <c r="M32" s="255">
        <v>45567</v>
      </c>
      <c r="N32" s="234" t="s">
        <v>224</v>
      </c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40"/>
      <c r="AA32" s="234"/>
      <c r="AB32" s="234">
        <v>3</v>
      </c>
    </row>
    <row r="33" spans="1:28" x14ac:dyDescent="0.25">
      <c r="A33" s="229" t="s">
        <v>2786</v>
      </c>
      <c r="B33" s="246"/>
      <c r="C33" s="251" t="s">
        <v>2787</v>
      </c>
      <c r="D33" s="246" t="s">
        <v>4467</v>
      </c>
      <c r="E33" s="251" t="s">
        <v>2788</v>
      </c>
      <c r="F33" s="181" t="s">
        <v>1610</v>
      </c>
      <c r="G33" s="256"/>
      <c r="H33" s="259">
        <v>35</v>
      </c>
      <c r="I33" s="256">
        <f t="shared" si="3"/>
        <v>0</v>
      </c>
      <c r="J33" s="234" t="s">
        <v>4412</v>
      </c>
      <c r="K33" s="234">
        <v>1</v>
      </c>
      <c r="L33" s="261" t="s">
        <v>4416</v>
      </c>
      <c r="M33" s="255">
        <v>45567</v>
      </c>
      <c r="N33" s="234" t="s">
        <v>224</v>
      </c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40"/>
      <c r="AA33" s="234"/>
      <c r="AB33" s="234">
        <v>4</v>
      </c>
    </row>
    <row r="34" spans="1:28" x14ac:dyDescent="0.25">
      <c r="A34" s="229" t="s">
        <v>4468</v>
      </c>
      <c r="B34" s="246"/>
      <c r="C34" s="251" t="s">
        <v>4469</v>
      </c>
      <c r="D34" s="246" t="s">
        <v>4446</v>
      </c>
      <c r="E34" s="251" t="s">
        <v>4470</v>
      </c>
      <c r="F34" s="181" t="s">
        <v>1448</v>
      </c>
      <c r="G34" s="256"/>
      <c r="H34" s="259">
        <v>6</v>
      </c>
      <c r="I34" s="256">
        <f t="shared" si="3"/>
        <v>0</v>
      </c>
      <c r="J34" s="234" t="s">
        <v>4412</v>
      </c>
      <c r="K34" s="234">
        <v>1</v>
      </c>
      <c r="L34" s="261" t="s">
        <v>4456</v>
      </c>
      <c r="M34" s="255">
        <v>45567</v>
      </c>
      <c r="N34" s="234" t="s">
        <v>224</v>
      </c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40"/>
      <c r="AA34" s="234"/>
      <c r="AB34" s="234" t="s">
        <v>4414</v>
      </c>
    </row>
    <row r="35" spans="1:28" ht="18.75" x14ac:dyDescent="0.3">
      <c r="A35" s="264" t="s">
        <v>26</v>
      </c>
      <c r="B35" s="246"/>
      <c r="C35" s="251"/>
      <c r="D35" s="246"/>
      <c r="E35" s="251"/>
      <c r="F35" s="181"/>
      <c r="G35" s="256"/>
      <c r="H35" s="259"/>
      <c r="I35" s="256">
        <f t="shared" si="3"/>
        <v>0</v>
      </c>
      <c r="J35" s="234"/>
      <c r="K35" s="234"/>
      <c r="L35" s="260"/>
      <c r="M35" s="255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40"/>
      <c r="AA35" s="234"/>
      <c r="AB35" s="234"/>
    </row>
    <row r="36" spans="1:28" x14ac:dyDescent="0.25">
      <c r="A36" s="229" t="s">
        <v>280</v>
      </c>
      <c r="B36" s="246"/>
      <c r="C36" s="251" t="s">
        <v>4471</v>
      </c>
      <c r="D36" s="246" t="s">
        <v>4472</v>
      </c>
      <c r="E36" s="251" t="s">
        <v>282</v>
      </c>
      <c r="F36" s="181" t="s">
        <v>4473</v>
      </c>
      <c r="G36" s="256"/>
      <c r="H36" s="259">
        <v>1</v>
      </c>
      <c r="I36" s="256">
        <f t="shared" si="3"/>
        <v>0</v>
      </c>
      <c r="J36" s="234" t="s">
        <v>4412</v>
      </c>
      <c r="K36" s="234">
        <v>1</v>
      </c>
      <c r="L36" s="261" t="s">
        <v>4416</v>
      </c>
      <c r="M36" s="255">
        <v>45572</v>
      </c>
      <c r="N36" s="234" t="s">
        <v>224</v>
      </c>
      <c r="O36" s="234"/>
      <c r="P36" s="234"/>
      <c r="Q36" s="234">
        <v>1101790686</v>
      </c>
      <c r="R36" s="234"/>
      <c r="S36" s="234"/>
      <c r="T36" s="234"/>
      <c r="U36" s="234"/>
      <c r="V36" s="234"/>
      <c r="W36" s="234"/>
      <c r="X36" s="234"/>
      <c r="Y36" s="234"/>
      <c r="Z36" s="240"/>
      <c r="AA36" s="234"/>
      <c r="AB36" s="234">
        <v>5</v>
      </c>
    </row>
    <row r="37" spans="1:28" x14ac:dyDescent="0.25">
      <c r="A37" s="229" t="s">
        <v>247</v>
      </c>
      <c r="B37" s="246"/>
      <c r="C37" s="251" t="s">
        <v>4474</v>
      </c>
      <c r="D37" s="246" t="s">
        <v>4472</v>
      </c>
      <c r="E37" s="251" t="s">
        <v>4475</v>
      </c>
      <c r="F37" s="181" t="s">
        <v>4473</v>
      </c>
      <c r="G37" s="256"/>
      <c r="H37" s="259">
        <v>1</v>
      </c>
      <c r="I37" s="256">
        <f t="shared" si="3"/>
        <v>0</v>
      </c>
      <c r="J37" s="234" t="s">
        <v>4412</v>
      </c>
      <c r="K37" s="234">
        <v>1</v>
      </c>
      <c r="L37" s="261" t="s">
        <v>4416</v>
      </c>
      <c r="M37" s="255">
        <v>45572</v>
      </c>
      <c r="N37" s="234" t="s">
        <v>224</v>
      </c>
      <c r="O37" s="234"/>
      <c r="P37" s="234"/>
      <c r="Q37" s="234">
        <v>1101790686</v>
      </c>
      <c r="R37" s="234"/>
      <c r="S37" s="234"/>
      <c r="T37" s="234"/>
      <c r="U37" s="234"/>
      <c r="V37" s="234"/>
      <c r="W37" s="234"/>
      <c r="X37" s="234"/>
      <c r="Y37" s="234"/>
      <c r="Z37" s="240"/>
      <c r="AA37" s="234"/>
      <c r="AB37" s="234">
        <v>5</v>
      </c>
    </row>
    <row r="38" spans="1:28" x14ac:dyDescent="0.25">
      <c r="A38" s="229" t="s">
        <v>228</v>
      </c>
      <c r="B38" s="246"/>
      <c r="C38" s="251" t="s">
        <v>4476</v>
      </c>
      <c r="D38" s="246" t="s">
        <v>4472</v>
      </c>
      <c r="E38" s="251" t="s">
        <v>230</v>
      </c>
      <c r="F38" s="181" t="s">
        <v>4473</v>
      </c>
      <c r="G38" s="256"/>
      <c r="H38" s="259">
        <v>1</v>
      </c>
      <c r="I38" s="256">
        <f t="shared" si="3"/>
        <v>0</v>
      </c>
      <c r="J38" s="234" t="s">
        <v>4412</v>
      </c>
      <c r="K38" s="234">
        <v>1</v>
      </c>
      <c r="L38" s="261" t="s">
        <v>4416</v>
      </c>
      <c r="M38" s="255">
        <v>45572</v>
      </c>
      <c r="N38" s="234" t="s">
        <v>224</v>
      </c>
      <c r="O38" s="234"/>
      <c r="P38" s="234"/>
      <c r="Q38" s="234">
        <v>1101790686</v>
      </c>
      <c r="R38" s="234"/>
      <c r="S38" s="234"/>
      <c r="T38" s="234"/>
      <c r="U38" s="234"/>
      <c r="V38" s="234"/>
      <c r="W38" s="234"/>
      <c r="X38" s="234"/>
      <c r="Y38" s="234"/>
      <c r="Z38" s="240"/>
      <c r="AA38" s="234"/>
      <c r="AB38" s="234">
        <v>5</v>
      </c>
    </row>
    <row r="39" spans="1:28" x14ac:dyDescent="0.25">
      <c r="A39" s="229" t="s">
        <v>631</v>
      </c>
      <c r="B39" s="246"/>
      <c r="C39" s="251" t="s">
        <v>632</v>
      </c>
      <c r="D39" s="246" t="s">
        <v>4472</v>
      </c>
      <c r="E39" s="251" t="s">
        <v>4477</v>
      </c>
      <c r="F39" s="181" t="s">
        <v>4473</v>
      </c>
      <c r="G39" s="256"/>
      <c r="H39" s="259">
        <v>1</v>
      </c>
      <c r="I39" s="256">
        <f t="shared" si="3"/>
        <v>0</v>
      </c>
      <c r="J39" s="234" t="s">
        <v>4412</v>
      </c>
      <c r="K39" s="234">
        <v>1</v>
      </c>
      <c r="L39" s="261" t="s">
        <v>4416</v>
      </c>
      <c r="M39" s="255">
        <v>45572</v>
      </c>
      <c r="N39" s="234" t="s">
        <v>224</v>
      </c>
      <c r="O39" s="234"/>
      <c r="P39" s="234"/>
      <c r="Q39" s="234">
        <v>1101790686</v>
      </c>
      <c r="R39" s="234"/>
      <c r="S39" s="234"/>
      <c r="T39" s="234"/>
      <c r="U39" s="234"/>
      <c r="V39" s="234"/>
      <c r="W39" s="234"/>
      <c r="X39" s="234"/>
      <c r="Y39" s="234"/>
      <c r="Z39" s="240"/>
      <c r="AA39" s="234"/>
      <c r="AB39" s="234">
        <v>5</v>
      </c>
    </row>
    <row r="40" spans="1:28" x14ac:dyDescent="0.25">
      <c r="A40" s="229" t="s">
        <v>4478</v>
      </c>
      <c r="B40" s="246"/>
      <c r="C40" s="251" t="s">
        <v>4479</v>
      </c>
      <c r="D40" s="246" t="s">
        <v>4472</v>
      </c>
      <c r="E40" s="251" t="s">
        <v>4480</v>
      </c>
      <c r="F40" s="181" t="s">
        <v>4481</v>
      </c>
      <c r="G40" s="256"/>
      <c r="H40" s="259">
        <v>2</v>
      </c>
      <c r="I40" s="256">
        <f t="shared" si="3"/>
        <v>0</v>
      </c>
      <c r="J40" s="234" t="s">
        <v>4412</v>
      </c>
      <c r="K40" s="234">
        <v>1</v>
      </c>
      <c r="L40" s="261" t="s">
        <v>4416</v>
      </c>
      <c r="M40" s="255">
        <v>45572</v>
      </c>
      <c r="N40" s="234" t="s">
        <v>224</v>
      </c>
      <c r="O40" s="234"/>
      <c r="P40" s="234"/>
      <c r="Q40" s="234">
        <v>1101790686</v>
      </c>
      <c r="R40" s="234"/>
      <c r="S40" s="234"/>
      <c r="T40" s="234"/>
      <c r="U40" s="234"/>
      <c r="V40" s="234"/>
      <c r="W40" s="234"/>
      <c r="X40" s="234"/>
      <c r="Y40" s="234"/>
      <c r="Z40" s="240"/>
      <c r="AA40" s="234"/>
      <c r="AB40" s="234">
        <v>5</v>
      </c>
    </row>
    <row r="41" spans="1:28" x14ac:dyDescent="0.25">
      <c r="A41" s="229" t="s">
        <v>4482</v>
      </c>
      <c r="B41" s="246"/>
      <c r="C41" s="251" t="s">
        <v>4483</v>
      </c>
      <c r="D41" s="246" t="s">
        <v>4472</v>
      </c>
      <c r="E41" s="251" t="s">
        <v>4484</v>
      </c>
      <c r="F41" s="181" t="s">
        <v>4481</v>
      </c>
      <c r="G41" s="256"/>
      <c r="H41" s="259">
        <v>2</v>
      </c>
      <c r="I41" s="256">
        <f t="shared" si="3"/>
        <v>0</v>
      </c>
      <c r="J41" s="234" t="s">
        <v>4412</v>
      </c>
      <c r="K41" s="234">
        <v>1</v>
      </c>
      <c r="L41" s="261" t="s">
        <v>4416</v>
      </c>
      <c r="M41" s="255">
        <v>45572</v>
      </c>
      <c r="N41" s="234" t="s">
        <v>224</v>
      </c>
      <c r="O41" s="234"/>
      <c r="P41" s="234"/>
      <c r="Q41" s="234">
        <v>1101790686</v>
      </c>
      <c r="R41" s="234"/>
      <c r="S41" s="234"/>
      <c r="T41" s="234"/>
      <c r="U41" s="234"/>
      <c r="V41" s="234"/>
      <c r="W41" s="234"/>
      <c r="X41" s="234"/>
      <c r="Y41" s="234"/>
      <c r="Z41" s="240"/>
      <c r="AA41" s="234"/>
      <c r="AB41" s="234">
        <v>5</v>
      </c>
    </row>
    <row r="42" spans="1:28" x14ac:dyDescent="0.25">
      <c r="A42" s="229" t="s">
        <v>4485</v>
      </c>
      <c r="B42" s="246"/>
      <c r="C42" s="251" t="s">
        <v>4486</v>
      </c>
      <c r="D42" s="246" t="s">
        <v>4472</v>
      </c>
      <c r="E42" s="251" t="s">
        <v>4487</v>
      </c>
      <c r="F42" s="181" t="s">
        <v>2956</v>
      </c>
      <c r="G42" s="256"/>
      <c r="H42" s="259">
        <v>1</v>
      </c>
      <c r="I42" s="256">
        <f t="shared" si="3"/>
        <v>0</v>
      </c>
      <c r="J42" s="234" t="s">
        <v>4412</v>
      </c>
      <c r="K42" s="234">
        <v>2</v>
      </c>
      <c r="L42" s="261" t="s">
        <v>4416</v>
      </c>
      <c r="M42" s="255">
        <v>45572</v>
      </c>
      <c r="N42" s="234" t="s">
        <v>224</v>
      </c>
      <c r="O42" s="234"/>
      <c r="P42" s="234"/>
      <c r="Q42" s="234">
        <v>1101790686</v>
      </c>
      <c r="R42" s="234"/>
      <c r="S42" s="234"/>
      <c r="T42" s="234"/>
      <c r="U42" s="234"/>
      <c r="V42" s="234"/>
      <c r="W42" s="234"/>
      <c r="X42" s="234"/>
      <c r="Y42" s="234"/>
      <c r="Z42" s="240"/>
      <c r="AA42" s="234"/>
      <c r="AB42" s="234">
        <v>5</v>
      </c>
    </row>
    <row r="43" spans="1:28" x14ac:dyDescent="0.25">
      <c r="A43" s="229" t="s">
        <v>481</v>
      </c>
      <c r="B43" s="246"/>
      <c r="C43" s="251" t="s">
        <v>4488</v>
      </c>
      <c r="D43" s="246" t="s">
        <v>4472</v>
      </c>
      <c r="E43" s="251" t="s">
        <v>483</v>
      </c>
      <c r="F43" s="401" t="s">
        <v>484</v>
      </c>
      <c r="G43" s="256"/>
      <c r="H43" s="234">
        <v>2</v>
      </c>
      <c r="I43" s="256">
        <f>H43*G43</f>
        <v>0</v>
      </c>
      <c r="J43" s="234" t="s">
        <v>4489</v>
      </c>
      <c r="K43" s="234">
        <v>2</v>
      </c>
      <c r="L43" s="426" t="s">
        <v>4490</v>
      </c>
      <c r="M43" s="255">
        <v>45742</v>
      </c>
      <c r="N43" s="234" t="s">
        <v>224</v>
      </c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40"/>
      <c r="AA43" s="234"/>
      <c r="AB43" s="234">
        <v>7</v>
      </c>
    </row>
    <row r="44" spans="1:28" x14ac:dyDescent="0.25">
      <c r="A44" s="229"/>
      <c r="B44" s="246"/>
      <c r="C44" s="251"/>
      <c r="D44" s="246"/>
      <c r="E44" s="251"/>
      <c r="F44" s="181"/>
      <c r="G44" s="256"/>
      <c r="H44" s="234"/>
      <c r="I44" s="256">
        <f t="shared" si="3"/>
        <v>0</v>
      </c>
      <c r="J44" s="234"/>
      <c r="K44" s="234"/>
      <c r="L44" s="260"/>
      <c r="M44" s="255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40"/>
      <c r="AA44" s="234"/>
      <c r="AB44" s="234">
        <v>5</v>
      </c>
    </row>
    <row r="45" spans="1:28" x14ac:dyDescent="0.25">
      <c r="A45" s="229" t="s">
        <v>3346</v>
      </c>
      <c r="B45" s="246"/>
      <c r="C45" s="251" t="s">
        <v>3347</v>
      </c>
      <c r="D45" s="246" t="s">
        <v>4491</v>
      </c>
      <c r="E45" s="251" t="s">
        <v>3348</v>
      </c>
      <c r="F45" s="181" t="s">
        <v>3349</v>
      </c>
      <c r="G45" s="256"/>
      <c r="H45" s="234">
        <v>1</v>
      </c>
      <c r="I45" s="256">
        <f t="shared" si="3"/>
        <v>0</v>
      </c>
      <c r="J45" s="234" t="s">
        <v>4412</v>
      </c>
      <c r="K45" s="234">
        <v>1</v>
      </c>
      <c r="L45" s="261" t="s">
        <v>4416</v>
      </c>
      <c r="M45" s="255">
        <v>45587</v>
      </c>
      <c r="N45" s="234" t="s">
        <v>224</v>
      </c>
      <c r="O45" s="234"/>
      <c r="P45" s="234"/>
      <c r="Q45" s="234">
        <v>1101796282</v>
      </c>
      <c r="R45" s="234"/>
      <c r="S45" s="234"/>
      <c r="T45" s="234"/>
      <c r="U45" s="234"/>
      <c r="V45" s="234"/>
      <c r="W45" s="234"/>
      <c r="X45" s="234"/>
      <c r="Y45" s="234"/>
      <c r="Z45" s="240"/>
      <c r="AA45" s="234"/>
      <c r="AB45" s="234">
        <v>5</v>
      </c>
    </row>
    <row r="46" spans="1:28" x14ac:dyDescent="0.25">
      <c r="A46" s="229" t="s">
        <v>3346</v>
      </c>
      <c r="B46" s="246"/>
      <c r="C46" s="251" t="s">
        <v>3347</v>
      </c>
      <c r="D46" s="246" t="s">
        <v>4491</v>
      </c>
      <c r="E46" s="251" t="s">
        <v>3348</v>
      </c>
      <c r="F46" s="181" t="s">
        <v>3349</v>
      </c>
      <c r="G46" s="256"/>
      <c r="H46" s="234">
        <v>1</v>
      </c>
      <c r="I46" s="256">
        <f t="shared" si="3"/>
        <v>0</v>
      </c>
      <c r="J46" s="234" t="s">
        <v>4412</v>
      </c>
      <c r="K46" s="234">
        <v>1</v>
      </c>
      <c r="L46" s="261" t="s">
        <v>4416</v>
      </c>
      <c r="M46" s="255">
        <v>45588</v>
      </c>
      <c r="N46" s="234" t="s">
        <v>224</v>
      </c>
      <c r="O46" s="234"/>
      <c r="P46" s="234"/>
      <c r="Q46" s="234">
        <v>1101796579</v>
      </c>
      <c r="R46" s="234"/>
      <c r="S46" s="234"/>
      <c r="T46" s="234"/>
      <c r="U46" s="234"/>
      <c r="V46" s="234"/>
      <c r="W46" s="234"/>
      <c r="X46" s="234"/>
      <c r="Y46" s="234"/>
      <c r="Z46" s="240"/>
      <c r="AA46" s="234"/>
      <c r="AB46" s="234">
        <v>5</v>
      </c>
    </row>
    <row r="47" spans="1:28" x14ac:dyDescent="0.25">
      <c r="A47" s="229" t="s">
        <v>193</v>
      </c>
      <c r="B47" s="246"/>
      <c r="C47" s="179" t="s">
        <v>194</v>
      </c>
      <c r="D47" s="246" t="s">
        <v>4421</v>
      </c>
      <c r="E47" s="181">
        <v>52258775</v>
      </c>
      <c r="F47" s="181" t="s">
        <v>173</v>
      </c>
      <c r="G47" s="256"/>
      <c r="H47" s="234">
        <v>2</v>
      </c>
      <c r="I47" s="256">
        <f t="shared" si="3"/>
        <v>0</v>
      </c>
      <c r="J47" s="234" t="s">
        <v>197</v>
      </c>
      <c r="K47" s="234">
        <v>1</v>
      </c>
      <c r="L47" s="261" t="s">
        <v>4416</v>
      </c>
      <c r="M47" s="255">
        <v>45624</v>
      </c>
      <c r="N47" s="234" t="s">
        <v>4417</v>
      </c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40"/>
      <c r="AA47" s="234"/>
      <c r="AB47" s="234">
        <v>5</v>
      </c>
    </row>
    <row r="48" spans="1:28" x14ac:dyDescent="0.25">
      <c r="A48" s="229" t="s">
        <v>4492</v>
      </c>
      <c r="B48" s="246"/>
      <c r="C48" s="251" t="s">
        <v>4493</v>
      </c>
      <c r="D48" s="246" t="s">
        <v>4494</v>
      </c>
      <c r="E48" s="251" t="s">
        <v>4495</v>
      </c>
      <c r="F48" s="181" t="s">
        <v>4496</v>
      </c>
      <c r="G48" s="256"/>
      <c r="H48" s="234">
        <v>2</v>
      </c>
      <c r="I48" s="256">
        <f t="shared" si="3"/>
        <v>0</v>
      </c>
      <c r="J48" s="234" t="s">
        <v>4412</v>
      </c>
      <c r="K48" s="234">
        <v>2</v>
      </c>
      <c r="L48" s="426" t="s">
        <v>4490</v>
      </c>
      <c r="M48" s="255">
        <v>45737</v>
      </c>
      <c r="N48" s="234" t="s">
        <v>224</v>
      </c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40"/>
      <c r="AA48" s="234"/>
      <c r="AB48" s="234">
        <v>6</v>
      </c>
    </row>
    <row r="49" spans="1:28" x14ac:dyDescent="0.25">
      <c r="A49" s="456" t="s">
        <v>526</v>
      </c>
      <c r="B49" s="246"/>
      <c r="C49" t="s">
        <v>527</v>
      </c>
      <c r="D49" s="246" t="s">
        <v>4411</v>
      </c>
      <c r="E49" t="s">
        <v>528</v>
      </c>
      <c r="F49" s="181" t="s">
        <v>4497</v>
      </c>
      <c r="G49" s="256"/>
      <c r="H49" s="234">
        <v>2</v>
      </c>
      <c r="I49" s="256">
        <f t="shared" si="3"/>
        <v>0</v>
      </c>
      <c r="J49" s="234" t="s">
        <v>4498</v>
      </c>
      <c r="K49" s="234">
        <v>2</v>
      </c>
      <c r="L49" s="260"/>
      <c r="M49" s="255">
        <v>45922</v>
      </c>
      <c r="N49" s="234" t="s">
        <v>224</v>
      </c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40"/>
      <c r="AA49" s="234"/>
      <c r="AB49" s="234"/>
    </row>
    <row r="50" spans="1:28" x14ac:dyDescent="0.25">
      <c r="A50" s="229"/>
      <c r="B50" s="246"/>
      <c r="C50" s="251"/>
      <c r="D50" s="246"/>
      <c r="E50" s="251"/>
      <c r="F50" s="181"/>
      <c r="G50" s="256"/>
      <c r="H50" s="234"/>
      <c r="I50" s="256">
        <f t="shared" si="3"/>
        <v>0</v>
      </c>
      <c r="J50" s="234"/>
      <c r="K50" s="234"/>
      <c r="L50" s="260"/>
      <c r="M50" s="255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40"/>
      <c r="AA50" s="234"/>
      <c r="AB50" s="234"/>
    </row>
    <row r="51" spans="1:28" x14ac:dyDescent="0.25">
      <c r="A51" s="229"/>
      <c r="B51" s="246"/>
      <c r="C51" s="251"/>
      <c r="D51" s="246"/>
      <c r="E51" s="251"/>
      <c r="F51" s="181"/>
      <c r="G51" s="256"/>
      <c r="H51" s="234"/>
      <c r="I51" s="256">
        <f t="shared" si="3"/>
        <v>0</v>
      </c>
      <c r="J51" s="234"/>
      <c r="K51" s="234"/>
      <c r="L51" s="260"/>
      <c r="M51" s="255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40"/>
      <c r="AA51" s="234"/>
      <c r="AB51" s="234"/>
    </row>
    <row r="52" spans="1:28" x14ac:dyDescent="0.25">
      <c r="A52" s="229"/>
      <c r="B52" s="246"/>
      <c r="C52" s="251"/>
      <c r="D52" s="246"/>
      <c r="E52" s="251"/>
      <c r="F52" s="181"/>
      <c r="G52" s="256"/>
      <c r="H52" s="234"/>
      <c r="I52" s="256">
        <f t="shared" si="3"/>
        <v>0</v>
      </c>
      <c r="J52" s="234"/>
      <c r="K52" s="234"/>
      <c r="L52" s="260"/>
      <c r="M52" s="255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40"/>
      <c r="AA52" s="234"/>
      <c r="AB52" s="234"/>
    </row>
    <row r="53" spans="1:28" x14ac:dyDescent="0.25">
      <c r="A53" s="229"/>
      <c r="B53" s="246"/>
      <c r="C53" s="251"/>
      <c r="D53" s="246"/>
      <c r="E53" s="251"/>
      <c r="F53" s="181"/>
      <c r="G53" s="256"/>
      <c r="H53" s="234"/>
      <c r="I53" s="256">
        <f t="shared" si="3"/>
        <v>0</v>
      </c>
      <c r="J53" s="234"/>
      <c r="K53" s="234"/>
      <c r="L53" s="260"/>
      <c r="M53" s="255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40"/>
      <c r="AA53" s="234"/>
      <c r="AB53" s="234"/>
    </row>
    <row r="54" spans="1:28" x14ac:dyDescent="0.25">
      <c r="A54" s="229"/>
      <c r="B54" s="246"/>
      <c r="C54" s="251"/>
      <c r="D54" s="246"/>
      <c r="E54" s="251"/>
      <c r="F54" s="181"/>
      <c r="G54" s="256"/>
      <c r="H54" s="234"/>
      <c r="I54" s="256">
        <f t="shared" si="3"/>
        <v>0</v>
      </c>
      <c r="J54" s="234"/>
      <c r="K54" s="234"/>
      <c r="L54" s="260"/>
      <c r="M54" s="255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40"/>
      <c r="AA54" s="234"/>
      <c r="AB54" s="234"/>
    </row>
    <row r="55" spans="1:28" x14ac:dyDescent="0.25">
      <c r="A55" s="229"/>
      <c r="B55" s="246"/>
      <c r="C55" s="251"/>
      <c r="D55" s="246"/>
      <c r="E55" s="251"/>
      <c r="F55" s="181"/>
      <c r="G55" s="256"/>
      <c r="H55" s="234"/>
      <c r="I55" s="256"/>
      <c r="J55" s="234"/>
      <c r="K55" s="234"/>
      <c r="L55" s="260"/>
      <c r="M55" s="255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40"/>
      <c r="AA55" s="234"/>
      <c r="AB55" s="234"/>
    </row>
    <row r="56" spans="1:28" x14ac:dyDescent="0.25">
      <c r="A56" s="229"/>
      <c r="B56" s="246"/>
      <c r="C56" s="251"/>
      <c r="D56" s="246"/>
      <c r="E56" s="251"/>
      <c r="F56" s="181"/>
      <c r="G56" s="256"/>
      <c r="H56" s="234"/>
      <c r="I56" s="256"/>
      <c r="J56" s="234"/>
      <c r="K56" s="234"/>
      <c r="L56" s="260"/>
      <c r="M56" s="255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40"/>
      <c r="AA56" s="234"/>
      <c r="AB56" s="234"/>
    </row>
    <row r="57" spans="1:28" x14ac:dyDescent="0.25">
      <c r="A57" s="229"/>
      <c r="B57" s="246"/>
      <c r="C57" s="251"/>
      <c r="D57" s="246"/>
      <c r="E57" s="251"/>
      <c r="F57" s="181"/>
      <c r="G57" s="256"/>
      <c r="H57" s="234"/>
      <c r="I57" s="256"/>
      <c r="J57" s="234"/>
      <c r="K57" s="234"/>
      <c r="L57" s="200"/>
      <c r="M57" s="255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40"/>
      <c r="AA57" s="234"/>
      <c r="AB57" s="234"/>
    </row>
    <row r="58" spans="1:28" x14ac:dyDescent="0.25">
      <c r="A58" s="229"/>
      <c r="B58" s="246"/>
      <c r="C58" s="251"/>
      <c r="D58" s="246"/>
      <c r="E58" s="251"/>
      <c r="F58" s="181"/>
      <c r="G58" s="256"/>
      <c r="H58" s="234"/>
      <c r="I58" s="256"/>
      <c r="J58" s="234"/>
      <c r="K58" s="234"/>
      <c r="L58" s="200"/>
      <c r="M58" s="255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40"/>
      <c r="AA58" s="234"/>
      <c r="AB58" s="234"/>
    </row>
    <row r="59" spans="1:28" x14ac:dyDescent="0.25">
      <c r="A59" s="229"/>
      <c r="B59" s="246"/>
      <c r="C59" s="251"/>
      <c r="D59" s="246"/>
      <c r="E59" s="251"/>
      <c r="F59" s="181"/>
      <c r="G59" s="256"/>
      <c r="H59" s="234"/>
      <c r="I59" s="256"/>
      <c r="J59" s="234"/>
      <c r="K59" s="234"/>
      <c r="L59" s="200"/>
      <c r="M59" s="255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40"/>
      <c r="AA59" s="234"/>
      <c r="AB59" s="234"/>
    </row>
    <row r="60" spans="1:28" x14ac:dyDescent="0.25">
      <c r="A60" s="229"/>
      <c r="B60" s="246"/>
      <c r="C60" s="251"/>
      <c r="D60" s="246"/>
      <c r="E60" s="251"/>
      <c r="F60" s="181"/>
      <c r="G60" s="256"/>
      <c r="H60" s="234"/>
      <c r="I60" s="256"/>
      <c r="J60" s="234"/>
      <c r="K60" s="234"/>
      <c r="L60" s="200"/>
      <c r="M60" s="255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40"/>
      <c r="AA60" s="234"/>
      <c r="AB60" s="234"/>
    </row>
    <row r="61" spans="1:28" x14ac:dyDescent="0.25">
      <c r="A61" s="229"/>
      <c r="B61" s="246"/>
      <c r="C61" s="251"/>
      <c r="D61" s="246"/>
      <c r="E61" s="251"/>
      <c r="F61" s="181"/>
      <c r="G61" s="256"/>
      <c r="H61" s="234"/>
      <c r="I61" s="256"/>
      <c r="J61" s="234"/>
      <c r="K61" s="234"/>
      <c r="L61" s="200"/>
      <c r="M61" s="255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40"/>
      <c r="AA61" s="234"/>
      <c r="AB61" s="234"/>
    </row>
    <row r="62" spans="1:28" x14ac:dyDescent="0.25">
      <c r="A62" s="229"/>
      <c r="B62" s="246"/>
      <c r="C62" s="251"/>
      <c r="D62" s="246"/>
      <c r="E62" s="251"/>
      <c r="F62" s="181"/>
      <c r="G62" s="256"/>
      <c r="H62" s="234"/>
      <c r="I62" s="256"/>
      <c r="J62" s="234"/>
      <c r="K62" s="234"/>
      <c r="L62" s="200"/>
      <c r="M62" s="255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40"/>
      <c r="AA62" s="234"/>
      <c r="AB62" s="234"/>
    </row>
  </sheetData>
  <autoFilter ref="A1:Y54" xr:uid="{B335BB37-CD85-454F-BB70-739591116667}"/>
  <conditionalFormatting sqref="A3:A10">
    <cfRule type="duplicateValues" dxfId="4" priority="105"/>
  </conditionalFormatting>
  <conditionalFormatting sqref="A11:A14 A17:A46 A48 A50:A62">
    <cfRule type="duplicateValues" dxfId="3" priority="106"/>
  </conditionalFormatting>
  <conditionalFormatting sqref="A15:A16">
    <cfRule type="duplicateValues" dxfId="2" priority="2"/>
    <cfRule type="duplicateValues" dxfId="1" priority="3"/>
  </conditionalFormatting>
  <conditionalFormatting sqref="A47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A787C22ACE764EB530734AA71A32F2" ma:contentTypeVersion="6" ma:contentTypeDescription="Crear nuevo documento." ma:contentTypeScope="" ma:versionID="cc9d5fbf009ea94709856d947a700d29">
  <xsd:schema xmlns:xsd="http://www.w3.org/2001/XMLSchema" xmlns:xs="http://www.w3.org/2001/XMLSchema" xmlns:p="http://schemas.microsoft.com/office/2006/metadata/properties" xmlns:ns2="baf16cda-b11d-4571-98b7-3b97c5c88f3a" xmlns:ns3="6debd62b-f911-42c4-b914-d2486f2a63fe" targetNamespace="http://schemas.microsoft.com/office/2006/metadata/properties" ma:root="true" ma:fieldsID="f40d5172ad65f52e49b9ebb25c5aa77c" ns2:_="" ns3:_="">
    <xsd:import namespace="baf16cda-b11d-4571-98b7-3b97c5c88f3a"/>
    <xsd:import namespace="6debd62b-f911-42c4-b914-d2486f2a63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16cda-b11d-4571-98b7-3b97c5c88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bd62b-f911-42c4-b914-d2486f2a63f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3A327A-358F-4638-9DD3-F2F6EF4BB8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C2AB722-3A71-4227-98CB-89022B7053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7164CE-E0F7-4CB0-83B8-2B1A1D514C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f16cda-b11d-4571-98b7-3b97c5c88f3a"/>
    <ds:schemaRef ds:uri="6debd62b-f911-42c4-b914-d2486f2a63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3ec6d7f-540f-4aed-bcfa-6354167a2cc0}" enabled="1" method="Standard" siteId="{7808e005-1489-4374-954b-d3b08f1939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BOM A320 FFS</vt:lpstr>
      <vt:lpstr>EDTs</vt:lpstr>
      <vt:lpstr>obsoleta</vt:lpstr>
      <vt:lpstr>SAP Equipos Compras</vt:lpstr>
      <vt:lpstr>CONTRASEÑAS</vt:lpstr>
      <vt:lpstr>BOM TESTBENCH A320 SN06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indra</dc:creator>
  <cp:keywords/>
  <dc:description/>
  <cp:lastModifiedBy>Rodrigo San Martín, Daniel</cp:lastModifiedBy>
  <cp:revision/>
  <dcterms:created xsi:type="dcterms:W3CDTF">2013-01-22T08:23:17Z</dcterms:created>
  <dcterms:modified xsi:type="dcterms:W3CDTF">2026-04-26T11:47:09Z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0x010100E6A787C22ACE764EB530734AA71A32F2</vt:lpwstr>
  </property>
</Properties>
</file>